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Chart (Pivoted)" sheetId="1" r:id="rId4"/>
    <sheet state="visible" name="Inventory Analysis" sheetId="2" r:id="rId5"/>
    <sheet state="visible" name="Forecast Accuracy" sheetId="3" r:id="rId6"/>
    <sheet state="visible" name="All Forecast Chart" sheetId="4" r:id="rId7"/>
    <sheet state="visible" name="Chosen Forecast Chart " sheetId="5" r:id="rId8"/>
  </sheets>
  <definedNames>
    <definedName localSheetId="2" name="solver_opt">'Forecast Accuracy'!$I$31</definedName>
    <definedName localSheetId="2" name="solver_lhs5">'Forecast Accuracy'!$N$181</definedName>
    <definedName localSheetId="2" name="solver_adj">'Forecast Accuracy'!$N$179:$N$181</definedName>
    <definedName localSheetId="2" name="solver_lhs1">'Forecast Accuracy'!$N$179</definedName>
    <definedName localSheetId="2" name="solver_lhs6">'Forecast Accuracy'!$N$181</definedName>
    <definedName localSheetId="2" name="solver_lhs2">'Forecast Accuracy'!$N$179</definedName>
    <definedName localSheetId="2" name="solver_lhs3">'Forecast Accuracy'!$N$180</definedName>
    <definedName localSheetId="2" name="solver_lhs4">'Forecast Accuracy'!$N$180</definedName>
  </definedNames>
  <calcPr/>
</workbook>
</file>

<file path=xl/sharedStrings.xml><?xml version="1.0" encoding="utf-8"?>
<sst xmlns="http://schemas.openxmlformats.org/spreadsheetml/2006/main" count="413" uniqueCount="69">
  <si>
    <t>Month/ 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</si>
  <si>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</si>
  <si>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</si>
  <si>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</si>
  <si>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</si>
  <si>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</si>
  <si>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</si>
  <si>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</si>
  <si>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</si>
  <si>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</si>
  <si>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</si>
  <si>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</si>
  <si>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</si>
  <si>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Starting</t>
  </si>
  <si>
    <t>Shipped</t>
  </si>
  <si>
    <t>Production</t>
  </si>
  <si>
    <t>Ending</t>
  </si>
  <si>
    <t>Days/Month</t>
  </si>
  <si>
    <t xml:space="preserve">  2013 </t>
  </si>
  <si>
    <t xml:space="preserve">Starting </t>
  </si>
  <si>
    <t xml:space="preserve">Production </t>
  </si>
  <si>
    <t xml:space="preserve">Ending </t>
  </si>
  <si>
    <t xml:space="preserve">January </t>
  </si>
  <si>
    <t xml:space="preserve">February </t>
  </si>
  <si>
    <t xml:space="preserve">Avg Inventory </t>
  </si>
  <si>
    <t xml:space="preserve">Lead Time </t>
  </si>
  <si>
    <t>Calculating Safety Stock</t>
  </si>
  <si>
    <t>Average Demand (d)</t>
  </si>
  <si>
    <t>Standard Deviation of Demand (sd)</t>
  </si>
  <si>
    <t>Average Lead Time (t)</t>
  </si>
  <si>
    <t>Standard Deviation of Lead Time (st)</t>
  </si>
  <si>
    <t>Service Level (Percentage)</t>
  </si>
  <si>
    <t>Service Level (k)</t>
  </si>
  <si>
    <t>Combined Standard Deviation (Sc)</t>
  </si>
  <si>
    <t>Safety Stock (SS)</t>
  </si>
  <si>
    <t xml:space="preserve">Avg Monthly Demand </t>
  </si>
  <si>
    <t>Month</t>
  </si>
  <si>
    <t>Year</t>
  </si>
  <si>
    <t xml:space="preserve">Demand </t>
  </si>
  <si>
    <t xml:space="preserve">Error </t>
  </si>
  <si>
    <t xml:space="preserve">ABS % Error </t>
  </si>
  <si>
    <t xml:space="preserve">Squared Error </t>
  </si>
  <si>
    <t xml:space="preserve">Original </t>
  </si>
  <si>
    <t>Moving Average (3)</t>
  </si>
  <si>
    <t xml:space="preserve">Cumulative Average </t>
  </si>
  <si>
    <t xml:space="preserve">Exponential Smoothing </t>
  </si>
  <si>
    <t xml:space="preserve">Naive Forecast </t>
  </si>
  <si>
    <t>Moving Average (5)</t>
  </si>
  <si>
    <t>Holt-Winters</t>
  </si>
  <si>
    <t xml:space="preserve">Mean Error </t>
  </si>
  <si>
    <t xml:space="preserve">Mean ABS % Error </t>
  </si>
  <si>
    <t xml:space="preserve">Mean Squared Error </t>
  </si>
  <si>
    <t>ALPHA :</t>
  </si>
  <si>
    <t>Days in Month</t>
  </si>
  <si>
    <t xml:space="preserve"> Year</t>
  </si>
  <si>
    <t xml:space="preserve">Level </t>
  </si>
  <si>
    <t>Trend</t>
  </si>
  <si>
    <t xml:space="preserve">Seasonality </t>
  </si>
  <si>
    <t xml:space="preserve">Forecast </t>
  </si>
  <si>
    <t xml:space="preserve">Alpha </t>
  </si>
  <si>
    <t>Beta</t>
  </si>
  <si>
    <t>Gamma</t>
  </si>
  <si>
    <t xml:space="preserve">Period </t>
  </si>
  <si>
    <t>Existing Forecast</t>
  </si>
  <si>
    <t xml:space="preserve">Moving Average (3 month) Forecast </t>
  </si>
  <si>
    <t xml:space="preserve">Cumulative Average Forecast </t>
  </si>
  <si>
    <t xml:space="preserve">Exponential Smoothing Forecast </t>
  </si>
  <si>
    <t xml:space="preserve">Moving Average (5 month) Forecast </t>
  </si>
  <si>
    <t xml:space="preserve">Holt-Winters Forecast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</si>
</sst>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(* #,##0_);_(* \(#,##0\);_(* &quot;-&quot;??_);_(@_)"/>
    <numFmt numFmtId="166" formatCode="_(&quot;$&quot;* #,##0.00_);_(&quot;$&quot;* \(#,##0.00\);_(&quot;$&quot;* &quot;-&quot;??_);_(@_)"/>
  </numFmts>
  <fonts count="5">
    <font>
      <sz val="12.0"/>
      <color rgb="FF000000"/>
      <name val="Arial"/>
      <scheme val="minor"/>
    </font>
    <font>
      <sz val="12.0"/>
      <name val="Calibri"/>
    </font>
    <font>
      <sz val="12.0"/>
      <name val="Arial"/>
    </font>
    <font>
      <b/>
      <sz val="12.0"/>
      <name val="Arial"/>
    </font>
    <font/>
  </fonts>
  <fills count="2">
    <fill>
      <patternFill patternType="none"/>
    </fill>
    <fill>
      <patternFill patternType="lightGray"/>
    </fill>
  </fills>
  <borders count="10">
    <border/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2" fillId="0" fontId="1" numFmtId="0" xfId="0" applyBorder="1" applyFont="1"/>
    <xf borderId="2" fillId="0" fontId="1" numFmtId="164" xfId="0" applyBorder="1" applyFont="1" applyNumberFormat="1"/>
    <xf borderId="2" fillId="0" fontId="1" numFmtId="165" xfId="0" applyBorder="1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9" xfId="0" applyFont="1" applyNumberFormat="1"/>
    <xf borderId="3" fillId="0" fontId="1" numFmtId="0" xfId="0" applyBorder="1" applyFont="1"/>
    <xf borderId="3" fillId="0" fontId="1" numFmtId="165" xfId="0" applyBorder="1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0" fillId="0" fontId="2" numFmtId="49" xfId="0" applyFont="1" applyNumberFormat="1"/>
    <xf borderId="0" fillId="0" fontId="2" numFmtId="4" xfId="0" applyFont="1" applyNumberFormat="1"/>
    <xf borderId="0" fillId="0" fontId="2" numFmtId="2" xfId="0" applyFont="1" applyNumberFormat="1"/>
    <xf borderId="0" fillId="0" fontId="3" numFmtId="0" xfId="0" applyFont="1"/>
    <xf borderId="0" fillId="0" fontId="2" numFmtId="3" xfId="0" applyAlignment="1" applyFont="1" applyNumberFormat="1">
      <alignment horizontal="right"/>
    </xf>
    <xf borderId="0" fillId="0" fontId="2" numFmtId="4" xfId="0" applyAlignment="1" applyFont="1" applyNumberFormat="1">
      <alignment horizontal="right"/>
    </xf>
    <xf borderId="0" fillId="0" fontId="2" numFmtId="2" xfId="0" applyAlignment="1" applyFont="1" applyNumberFormat="1">
      <alignment horizontal="right"/>
    </xf>
    <xf borderId="0" fillId="0" fontId="2" numFmtId="9" xfId="0" applyAlignment="1" applyFont="1" applyNumberFormat="1">
      <alignment horizontal="right"/>
    </xf>
    <xf borderId="0" fillId="0" fontId="2" numFmtId="3" xfId="0" applyFont="1" applyNumberFormat="1"/>
    <xf borderId="0" fillId="0" fontId="2" numFmtId="9" xfId="0" applyFont="1" applyNumberFormat="1"/>
    <xf borderId="4" fillId="0" fontId="3" numFmtId="0" xfId="0" applyBorder="1" applyFont="1"/>
    <xf borderId="2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3" numFmtId="3" xfId="0" applyFont="1" applyNumberFormat="1"/>
    <xf borderId="7" fillId="0" fontId="3" numFmtId="2" xfId="0" applyBorder="1" applyFont="1" applyNumberFormat="1"/>
    <xf borderId="0" fillId="0" fontId="3" numFmtId="10" xfId="0" applyFont="1" applyNumberFormat="1"/>
    <xf borderId="7" fillId="0" fontId="3" numFmtId="10" xfId="0" applyBorder="1" applyFont="1" applyNumberFormat="1"/>
    <xf borderId="0" fillId="0" fontId="3" numFmtId="4" xfId="0" applyFont="1" applyNumberFormat="1"/>
    <xf borderId="7" fillId="0" fontId="3" numFmtId="4" xfId="0" applyBorder="1" applyFont="1" applyNumberFormat="1"/>
    <xf borderId="8" fillId="0" fontId="3" numFmtId="0" xfId="0" applyBorder="1" applyFont="1"/>
    <xf borderId="3" fillId="0" fontId="3" numFmtId="0" xfId="0" applyBorder="1" applyFont="1"/>
    <xf borderId="9" fillId="0" fontId="3" numFmtId="0" xfId="0" applyBorder="1" applyFont="1"/>
    <xf borderId="0" fillId="0" fontId="4" numFmtId="0" xfId="0" applyFont="1"/>
    <xf borderId="0" fillId="0" fontId="4" numFmtId="3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Histogram of Demand </a:t>
            </a:r>
          </a:p>
        </c:rich>
      </c:tx>
      <c:overlay val="0"/>
    </c:title>
    <c:plotArea>
      <c:layout/>
      <c:lineChart>
        <c:ser>
          <c:idx val="0"/>
          <c:order val="0"/>
          <c:tx>
            <c:v>Year</c:v>
          </c:tx>
          <c:spPr>
            <a:ln cmpd="sng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'Inventory Analysis'!$B$31:$B$54</c:f>
            </c:strRef>
          </c:cat>
          <c:val>
            <c:numRef>
              <c:f>'Inventory Analysis'!$C$31:$C$54</c:f>
              <c:numCache/>
            </c:numRef>
          </c:val>
          <c:smooth val="0"/>
        </c:ser>
        <c:ser>
          <c:idx val="1"/>
          <c:order val="1"/>
          <c:tx>
            <c:v>Demand </c:v>
          </c:tx>
          <c:spPr>
            <a:ln cmpd="sng">
              <a:solidFill>
                <a:srgbClr val="0000FF"/>
              </a:solidFill>
            </a:ln>
          </c:spPr>
          <c:marker>
            <c:symbol val="none"/>
          </c:marker>
          <c:cat>
            <c:strRef>
              <c:f>'Inventory Analysis'!$B$31:$B$54</c:f>
            </c:strRef>
          </c:cat>
          <c:val>
            <c:numRef>
              <c:f>'Inventory Analysis'!$D$31:$D$54</c:f>
              <c:numCache/>
            </c:numRef>
          </c:val>
          <c:smooth val="0"/>
        </c:ser>
        <c:axId val="428901408"/>
        <c:axId val="764961995"/>
      </c:lineChart>
      <c:catAx>
        <c:axId val="42890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Demand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4961995"/>
      </c:catAx>
      <c:valAx>
        <c:axId val="764961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890140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All Forecast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'All Forecast Chart'!$B$1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'All Forecast Chart'!$A$2:$A$25</c:f>
            </c:strRef>
          </c:cat>
          <c:val>
            <c:numRef>
              <c:f>'All Forecast Chart'!$B$2:$B$25</c:f>
              <c:numCache/>
            </c:numRef>
          </c:val>
          <c:smooth val="0"/>
        </c:ser>
        <c:ser>
          <c:idx val="1"/>
          <c:order val="1"/>
          <c:tx>
            <c:strRef>
              <c:f>'All Forecast Chart'!$C$1</c:f>
            </c:strRef>
          </c:tx>
          <c:spPr>
            <a:ln cmpd="sng">
              <a:solidFill>
                <a:srgbClr val="666666"/>
              </a:solidFill>
            </a:ln>
          </c:spPr>
          <c:marker>
            <c:symbol val="none"/>
          </c:marker>
          <c:cat>
            <c:strRef>
              <c:f>'All Forecast Chart'!$A$2:$A$25</c:f>
            </c:strRef>
          </c:cat>
          <c:val>
            <c:numRef>
              <c:f>'All Forecast Chart'!$C$2:$C$25</c:f>
              <c:numCache/>
            </c:numRef>
          </c:val>
          <c:smooth val="0"/>
        </c:ser>
        <c:ser>
          <c:idx val="2"/>
          <c:order val="2"/>
          <c:tx>
            <c:strRef>
              <c:f>'All Forecast Chart'!$D$1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'All Forecast Chart'!$A$2:$A$25</c:f>
            </c:strRef>
          </c:cat>
          <c:val>
            <c:numRef>
              <c:f>'All Forecast Chart'!$D$2:$D$25</c:f>
              <c:numCache/>
            </c:numRef>
          </c:val>
          <c:smooth val="0"/>
        </c:ser>
        <c:ser>
          <c:idx val="3"/>
          <c:order val="3"/>
          <c:tx>
            <c:strRef>
              <c:f>'All Forecast Chart'!$E$1</c:f>
            </c:strRef>
          </c:tx>
          <c:spPr>
            <a:ln cmpd="sng">
              <a:solidFill>
                <a:srgbClr val="00FF00"/>
              </a:solidFill>
            </a:ln>
          </c:spPr>
          <c:marker>
            <c:symbol val="none"/>
          </c:marker>
          <c:cat>
            <c:strRef>
              <c:f>'All Forecast Chart'!$A$2:$A$25</c:f>
            </c:strRef>
          </c:cat>
          <c:val>
            <c:numRef>
              <c:f>'All Forecast Chart'!$E$2:$E$25</c:f>
              <c:numCache/>
            </c:numRef>
          </c:val>
          <c:smooth val="0"/>
        </c:ser>
        <c:ser>
          <c:idx val="4"/>
          <c:order val="4"/>
          <c:tx>
            <c:strRef>
              <c:f>'All Forecast Chart'!$F$1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'All Forecast Chart'!$A$2:$A$25</c:f>
            </c:strRef>
          </c:cat>
          <c:val>
            <c:numRef>
              <c:f>'All Forecast Chart'!$F$2:$F$25</c:f>
              <c:numCache/>
            </c:numRef>
          </c:val>
          <c:smooth val="0"/>
        </c:ser>
        <c:ser>
          <c:idx val="5"/>
          <c:order val="5"/>
          <c:tx>
            <c:strRef>
              <c:f>'All Forecast Chart'!$G$1</c:f>
            </c:strRef>
          </c:tx>
          <c:spPr>
            <a:ln cmpd="sng">
              <a:solidFill>
                <a:srgbClr val="9900FF"/>
              </a:solidFill>
            </a:ln>
          </c:spPr>
          <c:marker>
            <c:symbol val="none"/>
          </c:marker>
          <c:cat>
            <c:strRef>
              <c:f>'All Forecast Chart'!$A$2:$A$25</c:f>
            </c:strRef>
          </c:cat>
          <c:val>
            <c:numRef>
              <c:f>'All Forecast Chart'!$G$2:$G$25</c:f>
              <c:numCache/>
            </c:numRef>
          </c:val>
          <c:smooth val="0"/>
        </c:ser>
        <c:ser>
          <c:idx val="6"/>
          <c:order val="6"/>
          <c:tx>
            <c:strRef>
              <c:f>'All Forecast Chart'!$H$1</c:f>
            </c:strRef>
          </c:tx>
          <c:spPr>
            <a:ln cmpd="sng">
              <a:solidFill>
                <a:srgbClr val="FF00FF"/>
              </a:solidFill>
            </a:ln>
          </c:spPr>
          <c:marker>
            <c:symbol val="none"/>
          </c:marker>
          <c:cat>
            <c:strRef>
              <c:f>'All Forecast Chart'!$A$2:$A$25</c:f>
            </c:strRef>
          </c:cat>
          <c:val>
            <c:numRef>
              <c:f>'All Forecast Chart'!$H$2:$H$25</c:f>
              <c:numCache/>
            </c:numRef>
          </c:val>
          <c:smooth val="0"/>
        </c:ser>
        <c:ser>
          <c:idx val="7"/>
          <c:order val="7"/>
          <c:tx>
            <c:strRef>
              <c:f>'All Forecast Chart'!$I$1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'All Forecast Chart'!$A$2:$A$25</c:f>
            </c:strRef>
          </c:cat>
          <c:val>
            <c:numRef>
              <c:f>'All Forecast Chart'!$I$2:$I$25</c:f>
              <c:numCache/>
            </c:numRef>
          </c:val>
          <c:smooth val="0"/>
        </c:ser>
        <c:axId val="1053012770"/>
        <c:axId val="1781186002"/>
      </c:lineChart>
      <c:catAx>
        <c:axId val="1053012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Period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1186002"/>
      </c:catAx>
      <c:valAx>
        <c:axId val="1781186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5301277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Existing Forecast vs. Holt-Winters Forecast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'Chosen Forecast Chart '!$B$1</c:f>
            </c:strRef>
          </c:tx>
          <c:spPr>
            <a:ln cmpd="sng">
              <a:solidFill>
                <a:srgbClr val="0000FF"/>
              </a:solidFill>
            </a:ln>
          </c:spPr>
          <c:marker>
            <c:symbol val="none"/>
          </c:marker>
          <c:cat>
            <c:strRef>
              <c:f>'Chosen Forecast Chart '!$A$2:$A$25</c:f>
            </c:strRef>
          </c:cat>
          <c:val>
            <c:numRef>
              <c:f>'Chosen Forecast Chart '!$B$2:$B$25</c:f>
              <c:numCache/>
            </c:numRef>
          </c:val>
          <c:smooth val="0"/>
        </c:ser>
        <c:ser>
          <c:idx val="1"/>
          <c:order val="1"/>
          <c:tx>
            <c:strRef>
              <c:f>'Chosen Forecast Chart '!$C$1</c:f>
            </c:strRef>
          </c:tx>
          <c:spPr>
            <a:ln cmpd="sng">
              <a:solidFill>
                <a:srgbClr val="666666"/>
              </a:solidFill>
            </a:ln>
          </c:spPr>
          <c:marker>
            <c:symbol val="none"/>
          </c:marker>
          <c:cat>
            <c:strRef>
              <c:f>'Chosen Forecast Chart '!$A$2:$A$25</c:f>
            </c:strRef>
          </c:cat>
          <c:val>
            <c:numRef>
              <c:f>'Chosen Forecast Chart '!$C$2:$C$25</c:f>
              <c:numCache/>
            </c:numRef>
          </c:val>
          <c:smooth val="0"/>
        </c:ser>
        <c:ser>
          <c:idx val="2"/>
          <c:order val="2"/>
          <c:tx>
            <c:strRef>
              <c:f>'Chosen Forecast Chart '!$D$1</c:f>
            </c:strRef>
          </c:tx>
          <c:spPr>
            <a:ln cmpd="sng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'Chosen Forecast Chart '!$A$2:$A$25</c:f>
            </c:strRef>
          </c:cat>
          <c:val>
            <c:numRef>
              <c:f>'Chosen Forecast Chart '!$D$2:$D$25</c:f>
              <c:numCache/>
            </c:numRef>
          </c:val>
          <c:smooth val="0"/>
        </c:ser>
        <c:axId val="1662640258"/>
        <c:axId val="1275187509"/>
      </c:lineChart>
      <c:catAx>
        <c:axId val="1662640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Period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75187509"/>
      </c:catAx>
      <c:valAx>
        <c:axId val="1275187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6264025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29</xdr:row>
      <xdr:rowOff>161925</xdr:rowOff>
    </xdr:from>
    <xdr:ext cx="7620000" cy="4714875"/>
    <xdr:graphicFrame>
      <xdr:nvGraphicFramePr>
        <xdr:cNvPr id="1" name="Chart 1" title="Histogram of Demand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26</xdr:row>
      <xdr:rowOff>0</xdr:rowOff>
    </xdr:from>
    <xdr:ext cx="15992475" cy="9886950"/>
    <xdr:graphicFrame>
      <xdr:nvGraphicFramePr>
        <xdr:cNvPr id="2" name="Chart 2" title="All Forecast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26</xdr:row>
      <xdr:rowOff>38100</xdr:rowOff>
    </xdr:from>
    <xdr:ext cx="13001625" cy="8039100"/>
    <xdr:graphicFrame>
      <xdr:nvGraphicFramePr>
        <xdr:cNvPr id="3" name="Chart 3" title="Existing Forecast vs. Holt-Winters Forecast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14" width="11.0"/>
    <col customWidth="1" min="15" max="15" width="17.5"/>
    <col customWidth="1" min="16" max="16" width="34.88"/>
    <col customWidth="1" min="17" max="17" width="17.5"/>
    <col customWidth="1" min="18" max="18" width="16.0"/>
    <col customWidth="1" min="19" max="19" width="12.5"/>
  </cols>
  <sheetData>
    <row r="1" ht="15.75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ht="15.75" customHeight="1">
      <c r="A2" s="2">
        <v>2013.0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.75" customHeight="1">
      <c r="A3" s="3" t="s">
        <v>13</v>
      </c>
      <c r="B3" s="3"/>
      <c r="C3" s="4">
        <v>120816.0</v>
      </c>
      <c r="D3" s="5">
        <v>125871.35</v>
      </c>
      <c r="E3" s="5">
        <v>120414.71428571429</v>
      </c>
      <c r="F3" s="5">
        <v>132696.0642857143</v>
      </c>
      <c r="G3" s="5">
        <v>125385.90714285715</v>
      </c>
      <c r="H3" s="5">
        <v>124197.11811332134</v>
      </c>
      <c r="I3" s="5">
        <v>135896.97525617847</v>
      </c>
      <c r="J3" s="5">
        <v>121360.81811332132</v>
      </c>
      <c r="K3" s="5">
        <v>141836.21097046416</v>
      </c>
      <c r="L3" s="5">
        <v>129436.0681133213</v>
      </c>
      <c r="M3" s="5">
        <v>131763.91097046415</v>
      </c>
      <c r="N3" s="5">
        <v>127822.27525617843</v>
      </c>
      <c r="O3" s="6"/>
      <c r="P3" s="7"/>
    </row>
    <row r="4" ht="15.75" customHeight="1">
      <c r="A4" s="2" t="s">
        <v>14</v>
      </c>
      <c r="B4" s="2"/>
      <c r="C4" s="6">
        <v>26203.0</v>
      </c>
      <c r="D4" s="6">
        <v>33738.0</v>
      </c>
      <c r="E4" s="6">
        <v>18977.0</v>
      </c>
      <c r="F4" s="6">
        <v>40057.0</v>
      </c>
      <c r="G4" s="6">
        <v>33429.0</v>
      </c>
      <c r="H4" s="6">
        <v>18070.0</v>
      </c>
      <c r="I4" s="6">
        <v>47283.0</v>
      </c>
      <c r="J4" s="6">
        <v>1852.0</v>
      </c>
      <c r="K4" s="6">
        <v>42170.0</v>
      </c>
      <c r="L4" s="6">
        <v>30419.0</v>
      </c>
      <c r="M4" s="6">
        <v>32223.0</v>
      </c>
      <c r="N4" s="6">
        <v>22894.0</v>
      </c>
      <c r="O4" s="6"/>
      <c r="P4" s="7"/>
    </row>
    <row r="5" ht="15.75" customHeight="1">
      <c r="A5" s="2" t="s">
        <v>15</v>
      </c>
      <c r="B5" s="2"/>
      <c r="C5" s="6">
        <v>31258.350000000002</v>
      </c>
      <c r="D5" s="6">
        <v>28281.364285714284</v>
      </c>
      <c r="E5" s="6">
        <v>31258.350000000002</v>
      </c>
      <c r="F5" s="6">
        <v>32746.84285714286</v>
      </c>
      <c r="G5" s="6">
        <v>32240.210970464188</v>
      </c>
      <c r="H5" s="6">
        <v>29769.85714285714</v>
      </c>
      <c r="I5" s="6">
        <v>32746.84285714286</v>
      </c>
      <c r="J5" s="6">
        <v>22327.392857142855</v>
      </c>
      <c r="K5" s="6">
        <v>29769.85714285714</v>
      </c>
      <c r="L5" s="6">
        <v>32746.84285714286</v>
      </c>
      <c r="M5" s="6">
        <v>28281.364285714284</v>
      </c>
      <c r="N5" s="6">
        <v>20838.9</v>
      </c>
      <c r="O5" s="6"/>
      <c r="P5" s="8"/>
    </row>
    <row r="6" ht="15.75" customHeight="1">
      <c r="A6" s="9" t="s">
        <v>16</v>
      </c>
      <c r="B6" s="9"/>
      <c r="C6" s="10">
        <v>125871.35</v>
      </c>
      <c r="D6" s="10">
        <v>120414.71428571429</v>
      </c>
      <c r="E6" s="10">
        <v>132696.0642857143</v>
      </c>
      <c r="F6" s="10">
        <v>125385.90714285715</v>
      </c>
      <c r="G6" s="10">
        <v>124197.11811332134</v>
      </c>
      <c r="H6" s="10">
        <v>135896.97525617847</v>
      </c>
      <c r="I6" s="10">
        <v>121360.81811332132</v>
      </c>
      <c r="J6" s="10">
        <v>141836.21097046416</v>
      </c>
      <c r="K6" s="10">
        <v>129436.0681133213</v>
      </c>
      <c r="L6" s="10">
        <v>131763.91097046415</v>
      </c>
      <c r="M6" s="10">
        <v>127822.27525617843</v>
      </c>
      <c r="N6" s="10">
        <v>125767.17525617842</v>
      </c>
      <c r="O6" s="6"/>
      <c r="P6" s="7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R7" s="7"/>
      <c r="S7" s="6"/>
    </row>
    <row r="8" ht="15.75" customHeight="1">
      <c r="A8" s="2">
        <v>2014.0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R8" s="7"/>
      <c r="S8" s="6"/>
    </row>
    <row r="9" ht="15.75" customHeight="1">
      <c r="A9" s="3" t="s">
        <v>13</v>
      </c>
      <c r="B9" s="3"/>
      <c r="C9" s="5">
        <v>125767.17525617842</v>
      </c>
      <c r="D9" s="5">
        <v>131394.906562593</v>
      </c>
      <c r="E9" s="5">
        <v>126075.37774458714</v>
      </c>
      <c r="F9" s="5">
        <v>139201.10905100172</v>
      </c>
      <c r="G9" s="5">
        <v>132009.9704196265</v>
      </c>
      <c r="H9" s="5">
        <v>130191.7017260411</v>
      </c>
      <c r="I9" s="5">
        <v>144269.43303245568</v>
      </c>
      <c r="J9" s="5">
        <v>129639.29440108046</v>
      </c>
      <c r="K9" s="5">
        <v>149643.1152720235</v>
      </c>
      <c r="L9" s="5">
        <v>138730.8465784381</v>
      </c>
      <c r="M9" s="5">
        <v>141596.7079470629</v>
      </c>
      <c r="N9" s="5">
        <v>136333.04906684684</v>
      </c>
      <c r="R9" s="7"/>
      <c r="S9" s="6"/>
    </row>
    <row r="10" ht="15.75" customHeight="1">
      <c r="A10" s="2" t="s">
        <v>14</v>
      </c>
      <c r="B10" s="2"/>
      <c r="C10" s="6">
        <v>27135.0</v>
      </c>
      <c r="D10" s="6">
        <v>34962.0</v>
      </c>
      <c r="E10" s="6">
        <v>19637.0</v>
      </c>
      <c r="F10" s="6">
        <v>41514.0</v>
      </c>
      <c r="G10" s="6">
        <v>34581.0</v>
      </c>
      <c r="H10" s="6">
        <v>18685.0</v>
      </c>
      <c r="I10" s="6">
        <v>48953.0</v>
      </c>
      <c r="J10" s="6">
        <v>1838.0</v>
      </c>
      <c r="K10" s="6">
        <v>43675.0</v>
      </c>
      <c r="L10" s="6">
        <v>31457.0</v>
      </c>
      <c r="M10" s="6">
        <v>33346.0</v>
      </c>
      <c r="N10" s="6">
        <v>23677.0</v>
      </c>
      <c r="O10" s="6"/>
      <c r="P10" s="7"/>
    </row>
    <row r="11" ht="15.75" customHeight="1">
      <c r="A11" s="2" t="s">
        <v>15</v>
      </c>
      <c r="B11" s="2"/>
      <c r="C11" s="6">
        <v>32762.731306414586</v>
      </c>
      <c r="D11" s="6">
        <v>29642.471181994144</v>
      </c>
      <c r="E11" s="6">
        <v>32762.731306414586</v>
      </c>
      <c r="F11" s="6">
        <v>34322.8613686248</v>
      </c>
      <c r="G11" s="6">
        <v>32762.731306414586</v>
      </c>
      <c r="H11" s="6">
        <v>32762.731306414586</v>
      </c>
      <c r="I11" s="6">
        <v>34322.8613686248</v>
      </c>
      <c r="J11" s="6">
        <v>21841.820870943055</v>
      </c>
      <c r="K11" s="6">
        <v>32762.731306414586</v>
      </c>
      <c r="L11" s="6">
        <v>34322.8613686248</v>
      </c>
      <c r="M11" s="6">
        <v>28082.341119783927</v>
      </c>
      <c r="N11" s="6">
        <v>23401.950933153275</v>
      </c>
      <c r="O11" s="6"/>
    </row>
    <row r="12" ht="15.75" customHeight="1">
      <c r="A12" s="9" t="s">
        <v>16</v>
      </c>
      <c r="B12" s="9"/>
      <c r="C12" s="10">
        <v>131394.906562593</v>
      </c>
      <c r="D12" s="10">
        <v>126075.37774458714</v>
      </c>
      <c r="E12" s="10">
        <v>139201.10905100172</v>
      </c>
      <c r="F12" s="10">
        <v>132009.9704196265</v>
      </c>
      <c r="G12" s="10">
        <v>130191.7017260411</v>
      </c>
      <c r="H12" s="10">
        <v>144269.43303245568</v>
      </c>
      <c r="I12" s="10">
        <v>129639.29440108046</v>
      </c>
      <c r="J12" s="10">
        <v>149643.1152720235</v>
      </c>
      <c r="K12" s="10">
        <v>138730.8465784381</v>
      </c>
      <c r="L12" s="10">
        <v>141596.7079470629</v>
      </c>
      <c r="M12" s="10">
        <v>136333.04906684684</v>
      </c>
      <c r="N12" s="10">
        <v>136058.00000000012</v>
      </c>
    </row>
    <row r="13" ht="15.75" customHeight="1"/>
    <row r="14" ht="15.75" customHeight="1"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ht="15.75" customHeight="1"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ht="15.75" customHeight="1">
      <c r="A16" s="13" t="s">
        <v>0</v>
      </c>
      <c r="B16" s="13" t="s">
        <v>17</v>
      </c>
      <c r="C16" s="14" t="s">
        <v>18</v>
      </c>
      <c r="D16" s="12" t="s">
        <v>19</v>
      </c>
      <c r="E16" s="12" t="s">
        <v>14</v>
      </c>
      <c r="F16" s="12" t="s">
        <v>20</v>
      </c>
      <c r="G16" s="12" t="s">
        <v>21</v>
      </c>
      <c r="H16" s="12"/>
      <c r="I16" s="12"/>
      <c r="J16" s="12"/>
      <c r="K16" s="12"/>
      <c r="L16" s="12"/>
      <c r="M16" s="12"/>
      <c r="N16" s="12"/>
    </row>
    <row r="17" ht="15.75" customHeight="1">
      <c r="A17" s="13" t="s">
        <v>22</v>
      </c>
      <c r="B17" s="13">
        <v>31.0</v>
      </c>
      <c r="C17" s="12"/>
      <c r="D17" s="12" t="str">
        <f t="array" ref="D17:D28">TRANSPOSE(C3:N3)</f>
        <v>  120,816 </v>
      </c>
      <c r="E17" s="12" t="str">
        <f t="array" ref="E17:E28">TRANSPOSE(C4:N4)</f>
        <v>  26,203 </v>
      </c>
      <c r="F17" s="12" t="str">
        <f t="array" ref="F17:F28">TRANSPOSE(C5:N5)</f>
        <v>  31,258 </v>
      </c>
      <c r="G17" s="12" t="str">
        <f t="array" ref="G17:G28">TRANSPOSE(C6:N6)</f>
        <v>  125,871 </v>
      </c>
      <c r="H17" s="12"/>
      <c r="I17" s="15"/>
      <c r="J17" s="12"/>
      <c r="K17" s="12"/>
      <c r="L17" s="12"/>
      <c r="M17" s="12"/>
      <c r="N17" s="12"/>
      <c r="Q17" s="12"/>
    </row>
    <row r="18" ht="15.75" customHeight="1">
      <c r="A18" s="13" t="s">
        <v>23</v>
      </c>
      <c r="B18" s="13">
        <v>28.0</v>
      </c>
      <c r="D18" s="12">
        <v>125871.35</v>
      </c>
      <c r="E18" s="12">
        <v>33738.0</v>
      </c>
      <c r="F18" s="12">
        <v>28281.364285714284</v>
      </c>
      <c r="G18" s="12">
        <v>120414.71428571429</v>
      </c>
      <c r="H18" s="12"/>
      <c r="I18" s="12"/>
      <c r="Q18" s="16"/>
    </row>
    <row r="19" ht="15.75" customHeight="1">
      <c r="A19" s="13" t="s">
        <v>3</v>
      </c>
      <c r="B19" s="13">
        <v>31.0</v>
      </c>
      <c r="D19" s="12">
        <v>120414.71428571429</v>
      </c>
      <c r="E19" s="12">
        <v>18977.0</v>
      </c>
      <c r="F19" s="12">
        <v>31258.350000000002</v>
      </c>
      <c r="G19" s="12">
        <v>132696.0642857143</v>
      </c>
      <c r="H19" s="12"/>
      <c r="I19" s="12"/>
      <c r="Q19" s="13"/>
    </row>
    <row r="20" ht="15.75" customHeight="1">
      <c r="A20" s="13" t="s">
        <v>4</v>
      </c>
      <c r="B20" s="13">
        <v>30.0</v>
      </c>
      <c r="D20" s="12">
        <v>132696.0642857143</v>
      </c>
      <c r="E20" s="12">
        <v>40057.0</v>
      </c>
      <c r="F20" s="12">
        <v>32746.84285714286</v>
      </c>
      <c r="G20" s="12">
        <v>125385.90714285715</v>
      </c>
      <c r="H20" s="12"/>
      <c r="I20" s="12"/>
    </row>
    <row r="21" ht="15.75" customHeight="1">
      <c r="A21" s="13" t="s">
        <v>5</v>
      </c>
      <c r="B21" s="13">
        <v>31.0</v>
      </c>
      <c r="D21" s="12">
        <v>125385.90714285715</v>
      </c>
      <c r="E21" s="12">
        <v>33429.0</v>
      </c>
      <c r="F21" s="12">
        <v>32240.210970464188</v>
      </c>
      <c r="G21" s="12">
        <v>124197.11811332134</v>
      </c>
      <c r="H21" s="12"/>
      <c r="I21" s="12"/>
    </row>
    <row r="22" ht="15.75" customHeight="1">
      <c r="A22" s="13" t="s">
        <v>6</v>
      </c>
      <c r="B22" s="13">
        <v>30.0</v>
      </c>
      <c r="D22" s="12">
        <v>124197.11811332134</v>
      </c>
      <c r="E22" s="12">
        <v>18070.0</v>
      </c>
      <c r="F22" s="12">
        <v>29769.85714285714</v>
      </c>
      <c r="G22" s="12">
        <v>135896.97525617847</v>
      </c>
      <c r="H22" s="12"/>
      <c r="I22" s="12"/>
    </row>
    <row r="23" ht="15.75" customHeight="1">
      <c r="A23" s="13" t="s">
        <v>7</v>
      </c>
      <c r="B23" s="13">
        <v>31.0</v>
      </c>
      <c r="D23" s="12">
        <v>135896.97525617847</v>
      </c>
      <c r="E23" s="12">
        <v>47283.0</v>
      </c>
      <c r="F23" s="12">
        <v>32746.84285714286</v>
      </c>
      <c r="G23" s="12">
        <v>121360.81811332132</v>
      </c>
      <c r="H23" s="12"/>
      <c r="I23" s="12"/>
    </row>
    <row r="24" ht="15.75" customHeight="1">
      <c r="A24" s="13" t="s">
        <v>8</v>
      </c>
      <c r="B24" s="13">
        <v>31.0</v>
      </c>
      <c r="D24" s="12">
        <v>121360.81811332132</v>
      </c>
      <c r="E24" s="12">
        <v>1852.0</v>
      </c>
      <c r="F24" s="12">
        <v>22327.392857142855</v>
      </c>
      <c r="G24" s="12">
        <v>141836.21097046416</v>
      </c>
      <c r="H24" s="12"/>
      <c r="I24" s="12"/>
    </row>
    <row r="25" ht="15.75" customHeight="1">
      <c r="A25" s="13" t="s">
        <v>9</v>
      </c>
      <c r="B25" s="13">
        <v>30.0</v>
      </c>
      <c r="D25" s="12">
        <v>141836.21097046416</v>
      </c>
      <c r="E25" s="12">
        <v>42170.0</v>
      </c>
      <c r="F25" s="12">
        <v>29769.85714285714</v>
      </c>
      <c r="G25" s="12">
        <v>129436.0681133213</v>
      </c>
      <c r="H25" s="12"/>
      <c r="I25" s="12"/>
    </row>
    <row r="26" ht="15.75" customHeight="1">
      <c r="A26" s="13" t="s">
        <v>10</v>
      </c>
      <c r="B26" s="13">
        <v>31.0</v>
      </c>
      <c r="D26" s="12">
        <v>129436.0681133213</v>
      </c>
      <c r="E26" s="12">
        <v>30419.0</v>
      </c>
      <c r="F26" s="12">
        <v>32746.84285714286</v>
      </c>
      <c r="G26" s="12">
        <v>131763.91097046415</v>
      </c>
      <c r="H26" s="12"/>
      <c r="I26" s="12"/>
    </row>
    <row r="27" ht="15.75" customHeight="1">
      <c r="A27" s="13" t="s">
        <v>11</v>
      </c>
      <c r="B27" s="13">
        <v>30.0</v>
      </c>
      <c r="D27" s="12">
        <v>131763.91097046415</v>
      </c>
      <c r="E27" s="12">
        <v>32223.0</v>
      </c>
      <c r="F27" s="12">
        <v>28281.364285714284</v>
      </c>
      <c r="G27" s="12">
        <v>127822.27525617843</v>
      </c>
      <c r="H27" s="12"/>
      <c r="I27" s="12"/>
    </row>
    <row r="28" ht="15.75" customHeight="1">
      <c r="A28" s="13" t="s">
        <v>12</v>
      </c>
      <c r="B28" s="13">
        <v>31.0</v>
      </c>
      <c r="D28" s="12">
        <v>127822.27525617843</v>
      </c>
      <c r="E28" s="12">
        <v>22894.0</v>
      </c>
      <c r="F28" s="12">
        <v>20838.9</v>
      </c>
      <c r="G28" s="12">
        <v>125767.17525617842</v>
      </c>
      <c r="H28" s="12"/>
      <c r="I28" s="12"/>
    </row>
    <row r="29" ht="15.75" customHeight="1">
      <c r="B29" s="13" t="s">
        <v>17</v>
      </c>
      <c r="C29" s="13">
        <v>2014.0</v>
      </c>
      <c r="H29" s="12"/>
      <c r="I29" s="12"/>
    </row>
    <row r="30" ht="15.75" customHeight="1">
      <c r="A30" s="13" t="s">
        <v>22</v>
      </c>
      <c r="B30" s="13">
        <v>31.0</v>
      </c>
      <c r="C30" s="13"/>
      <c r="D30" s="12" t="str">
        <f t="array" ref="D30:D41">TRANSPOSE(C9:N9)</f>
        <v>  125,767 </v>
      </c>
      <c r="E30" s="12" t="str">
        <f t="array" ref="E30:E41">TRANSPOSE(C10:N10)</f>
        <v>  27,135 </v>
      </c>
      <c r="F30" s="12" t="str">
        <f t="array" ref="F30:F41">TRANSPOSE(C11:N11)</f>
        <v>  32,763 </v>
      </c>
      <c r="G30" s="12" t="str">
        <f t="array" ref="G30:G41">TRANSPOSE(C12:N12)</f>
        <v>  131,395 </v>
      </c>
      <c r="H30" s="12"/>
      <c r="I30" s="12"/>
    </row>
    <row r="31" ht="15.75" customHeight="1">
      <c r="A31" s="13" t="s">
        <v>23</v>
      </c>
      <c r="B31" s="13">
        <v>28.0</v>
      </c>
      <c r="D31" s="12">
        <v>131394.906562593</v>
      </c>
      <c r="E31" s="12">
        <v>34962.0</v>
      </c>
      <c r="F31" s="12">
        <v>29642.471181994144</v>
      </c>
      <c r="G31" s="12">
        <v>126075.37774458714</v>
      </c>
      <c r="H31" s="12"/>
      <c r="I31" s="12"/>
    </row>
    <row r="32" ht="15.75" customHeight="1">
      <c r="A32" s="13" t="s">
        <v>3</v>
      </c>
      <c r="B32" s="13">
        <v>31.0</v>
      </c>
      <c r="D32" s="12">
        <v>126075.37774458714</v>
      </c>
      <c r="E32" s="12">
        <v>19637.0</v>
      </c>
      <c r="F32" s="12">
        <v>32762.731306414586</v>
      </c>
      <c r="G32" s="12">
        <v>139201.10905100172</v>
      </c>
      <c r="H32" s="12"/>
      <c r="I32" s="12"/>
    </row>
    <row r="33" ht="15.75" customHeight="1">
      <c r="A33" s="13" t="s">
        <v>4</v>
      </c>
      <c r="B33" s="13">
        <v>30.0</v>
      </c>
      <c r="D33" s="12">
        <v>139201.10905100172</v>
      </c>
      <c r="E33" s="12">
        <v>41514.0</v>
      </c>
      <c r="F33" s="12">
        <v>34322.8613686248</v>
      </c>
      <c r="G33" s="12">
        <v>132009.9704196265</v>
      </c>
      <c r="H33" s="12"/>
      <c r="I33" s="12"/>
    </row>
    <row r="34" ht="15.75" customHeight="1">
      <c r="A34" s="13" t="s">
        <v>5</v>
      </c>
      <c r="B34" s="13">
        <v>31.0</v>
      </c>
      <c r="D34" s="12">
        <v>132009.9704196265</v>
      </c>
      <c r="E34" s="12">
        <v>34581.0</v>
      </c>
      <c r="F34" s="12">
        <v>32762.731306414586</v>
      </c>
      <c r="G34" s="12">
        <v>130191.7017260411</v>
      </c>
      <c r="H34" s="12"/>
      <c r="I34" s="12"/>
    </row>
    <row r="35" ht="15.75" customHeight="1">
      <c r="A35" s="13" t="s">
        <v>6</v>
      </c>
      <c r="B35" s="13">
        <v>30.0</v>
      </c>
      <c r="D35" s="12">
        <v>130191.7017260411</v>
      </c>
      <c r="E35" s="12">
        <v>18685.0</v>
      </c>
      <c r="F35" s="12">
        <v>32762.731306414586</v>
      </c>
      <c r="G35" s="12">
        <v>144269.43303245568</v>
      </c>
      <c r="H35" s="12"/>
      <c r="I35" s="12"/>
    </row>
    <row r="36" ht="15.75" customHeight="1">
      <c r="A36" s="13" t="s">
        <v>7</v>
      </c>
      <c r="B36" s="13">
        <v>31.0</v>
      </c>
      <c r="D36" s="12">
        <v>144269.43303245568</v>
      </c>
      <c r="E36" s="12">
        <v>48953.0</v>
      </c>
      <c r="F36" s="12">
        <v>34322.8613686248</v>
      </c>
      <c r="G36" s="12">
        <v>129639.29440108046</v>
      </c>
      <c r="H36" s="12"/>
      <c r="I36" s="12"/>
    </row>
    <row r="37" ht="15.75" customHeight="1">
      <c r="A37" s="13" t="s">
        <v>8</v>
      </c>
      <c r="B37" s="13">
        <v>31.0</v>
      </c>
      <c r="D37" s="12">
        <v>129639.29440108046</v>
      </c>
      <c r="E37" s="12">
        <v>1838.0</v>
      </c>
      <c r="F37" s="12">
        <v>21841.820870943055</v>
      </c>
      <c r="G37" s="12">
        <v>149643.1152720235</v>
      </c>
      <c r="H37" s="12"/>
      <c r="I37" s="12"/>
    </row>
    <row r="38" ht="15.75" customHeight="1">
      <c r="A38" s="13" t="s">
        <v>9</v>
      </c>
      <c r="B38" s="13">
        <v>30.0</v>
      </c>
      <c r="D38" s="12">
        <v>149643.1152720235</v>
      </c>
      <c r="E38" s="12">
        <v>43675.0</v>
      </c>
      <c r="F38" s="12">
        <v>32762.731306414586</v>
      </c>
      <c r="G38" s="12">
        <v>138730.8465784381</v>
      </c>
      <c r="H38" s="12"/>
      <c r="I38" s="12"/>
    </row>
    <row r="39" ht="15.75" customHeight="1">
      <c r="A39" s="13" t="s">
        <v>10</v>
      </c>
      <c r="B39" s="13">
        <v>31.0</v>
      </c>
      <c r="D39" s="12">
        <v>138730.8465784381</v>
      </c>
      <c r="E39" s="12">
        <v>31457.0</v>
      </c>
      <c r="F39" s="12">
        <v>34322.8613686248</v>
      </c>
      <c r="G39" s="12">
        <v>141596.7079470629</v>
      </c>
      <c r="H39" s="12"/>
      <c r="I39" s="12"/>
    </row>
    <row r="40" ht="15.75" customHeight="1">
      <c r="A40" s="13" t="s">
        <v>11</v>
      </c>
      <c r="B40" s="13">
        <v>30.0</v>
      </c>
      <c r="D40" s="12">
        <v>141596.7079470629</v>
      </c>
      <c r="E40" s="12">
        <v>33346.0</v>
      </c>
      <c r="F40" s="12">
        <v>28082.341119783927</v>
      </c>
      <c r="G40" s="12">
        <v>136333.04906684684</v>
      </c>
      <c r="H40" s="12"/>
      <c r="I40" s="12"/>
    </row>
    <row r="41" ht="15.75" customHeight="1">
      <c r="A41" s="13" t="s">
        <v>12</v>
      </c>
      <c r="B41" s="13">
        <v>31.0</v>
      </c>
      <c r="D41" s="12">
        <v>136333.04906684684</v>
      </c>
      <c r="E41" s="12">
        <v>23677.0</v>
      </c>
      <c r="F41" s="12">
        <v>23401.950933153275</v>
      </c>
      <c r="G41" s="12">
        <v>136058.00000000012</v>
      </c>
      <c r="H41" s="12"/>
      <c r="I41" s="1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8" width="12.5"/>
    <col customWidth="1" min="9" max="9" width="22.5"/>
    <col customWidth="1" min="10" max="10" width="12.5"/>
    <col customWidth="1" min="11" max="11" width="35.75"/>
    <col customWidth="1" min="12" max="15" width="12.5"/>
  </cols>
  <sheetData>
    <row r="1">
      <c r="A1" s="13" t="s">
        <v>0</v>
      </c>
      <c r="B1" s="13" t="s">
        <v>18</v>
      </c>
      <c r="C1" s="13" t="s">
        <v>19</v>
      </c>
      <c r="D1" s="13" t="s">
        <v>14</v>
      </c>
      <c r="E1" s="13" t="s">
        <v>20</v>
      </c>
      <c r="F1" s="13" t="s">
        <v>21</v>
      </c>
      <c r="G1" s="13" t="s">
        <v>24</v>
      </c>
      <c r="H1" s="13" t="s">
        <v>25</v>
      </c>
      <c r="I1" s="13"/>
      <c r="J1" s="13"/>
      <c r="K1" s="17" t="s">
        <v>26</v>
      </c>
      <c r="L1" s="13"/>
      <c r="M1" s="13"/>
    </row>
    <row r="2">
      <c r="A2" s="13" t="s">
        <v>22</v>
      </c>
      <c r="B2" s="13"/>
      <c r="C2" s="18">
        <v>120816.0</v>
      </c>
      <c r="D2" s="18">
        <v>26203.0</v>
      </c>
      <c r="E2" s="18">
        <v>31258.350000000002</v>
      </c>
      <c r="F2" s="18">
        <v>125871.35</v>
      </c>
      <c r="G2" s="19" t="str">
        <f t="shared" ref="G2:G25" si="1">(C2+F2)/2</f>
        <v>123,343.68</v>
      </c>
      <c r="H2" s="20" t="str">
        <f t="shared" ref="H2:H25" si="2">G2/D2</f>
        <v>4.71</v>
      </c>
      <c r="I2" s="13"/>
      <c r="J2" s="18"/>
      <c r="K2" s="13"/>
      <c r="L2" s="13"/>
      <c r="M2" s="13"/>
    </row>
    <row r="3">
      <c r="A3" s="13" t="s">
        <v>23</v>
      </c>
      <c r="B3" s="13"/>
      <c r="C3" s="18">
        <v>125871.35</v>
      </c>
      <c r="D3" s="18">
        <v>33738.0</v>
      </c>
      <c r="E3" s="18">
        <v>28281.364285714284</v>
      </c>
      <c r="F3" s="18">
        <v>120414.71428571429</v>
      </c>
      <c r="G3" s="19" t="str">
        <f t="shared" si="1"/>
        <v>123,143.03</v>
      </c>
      <c r="H3" s="20" t="str">
        <f t="shared" si="2"/>
        <v>3.65</v>
      </c>
      <c r="I3" s="13"/>
      <c r="J3" s="18"/>
      <c r="K3" s="13" t="s">
        <v>27</v>
      </c>
      <c r="L3" s="18" t="str">
        <f>AVERAGE(D2:D25)</f>
        <v>29,449</v>
      </c>
      <c r="M3" s="13"/>
    </row>
    <row r="4">
      <c r="A4" s="13" t="s">
        <v>3</v>
      </c>
      <c r="B4" s="13"/>
      <c r="C4" s="18">
        <v>120414.71428571429</v>
      </c>
      <c r="D4" s="18">
        <v>18977.0</v>
      </c>
      <c r="E4" s="18">
        <v>31258.350000000002</v>
      </c>
      <c r="F4" s="18">
        <v>132696.0642857143</v>
      </c>
      <c r="G4" s="19" t="str">
        <f t="shared" si="1"/>
        <v>126,555.39</v>
      </c>
      <c r="H4" s="20" t="str">
        <f t="shared" si="2"/>
        <v>6.67</v>
      </c>
      <c r="I4" s="13"/>
      <c r="J4" s="18"/>
      <c r="K4" s="13" t="s">
        <v>28</v>
      </c>
      <c r="L4" s="20" t="str">
        <f>STDEV(D2:D25)</f>
        <v>12348.20</v>
      </c>
      <c r="M4" s="13"/>
    </row>
    <row r="5">
      <c r="A5" s="13" t="s">
        <v>4</v>
      </c>
      <c r="B5" s="13"/>
      <c r="C5" s="18">
        <v>132696.0642857143</v>
      </c>
      <c r="D5" s="18">
        <v>40057.0</v>
      </c>
      <c r="E5" s="18">
        <v>32746.84285714286</v>
      </c>
      <c r="F5" s="18">
        <v>125385.90714285715</v>
      </c>
      <c r="G5" s="19" t="str">
        <f t="shared" si="1"/>
        <v>129,040.99</v>
      </c>
      <c r="H5" s="20" t="str">
        <f t="shared" si="2"/>
        <v>3.22</v>
      </c>
      <c r="I5" s="13"/>
      <c r="J5" s="18"/>
      <c r="K5" s="13" t="s">
        <v>29</v>
      </c>
      <c r="L5" s="20" t="str">
        <f>AVERAGE(H2:H25)</f>
        <v>10.25</v>
      </c>
      <c r="M5" s="13"/>
    </row>
    <row r="6">
      <c r="A6" s="13" t="s">
        <v>5</v>
      </c>
      <c r="B6" s="13"/>
      <c r="C6" s="18">
        <v>125385.90714285715</v>
      </c>
      <c r="D6" s="18">
        <v>33429.0</v>
      </c>
      <c r="E6" s="18">
        <v>32240.210970464188</v>
      </c>
      <c r="F6" s="18">
        <v>124197.11811332134</v>
      </c>
      <c r="G6" s="19" t="str">
        <f t="shared" si="1"/>
        <v>124,791.51</v>
      </c>
      <c r="H6" s="20" t="str">
        <f t="shared" si="2"/>
        <v>3.73</v>
      </c>
      <c r="I6" s="13"/>
      <c r="J6" s="18"/>
      <c r="K6" s="13" t="s">
        <v>30</v>
      </c>
      <c r="L6" s="20" t="str">
        <f>STDEV(H2:H25)</f>
        <v>19.55</v>
      </c>
      <c r="M6" s="13"/>
    </row>
    <row r="7">
      <c r="A7" s="13" t="s">
        <v>6</v>
      </c>
      <c r="B7" s="13"/>
      <c r="C7" s="18">
        <v>124197.11811332134</v>
      </c>
      <c r="D7" s="18">
        <v>18070.0</v>
      </c>
      <c r="E7" s="18">
        <v>29769.85714285714</v>
      </c>
      <c r="F7" s="18">
        <v>135896.97525617847</v>
      </c>
      <c r="G7" s="19" t="str">
        <f t="shared" si="1"/>
        <v>130,047.05</v>
      </c>
      <c r="H7" s="20" t="str">
        <f t="shared" si="2"/>
        <v>7.20</v>
      </c>
      <c r="I7" s="13"/>
      <c r="J7" s="18"/>
      <c r="K7" s="13" t="s">
        <v>31</v>
      </c>
      <c r="L7" s="21">
        <v>0.95</v>
      </c>
      <c r="M7" s="13"/>
    </row>
    <row r="8">
      <c r="A8" s="13" t="s">
        <v>7</v>
      </c>
      <c r="B8" s="13"/>
      <c r="C8" s="18">
        <v>135896.97525617847</v>
      </c>
      <c r="D8" s="18">
        <v>47283.0</v>
      </c>
      <c r="E8" s="18">
        <v>32746.84285714286</v>
      </c>
      <c r="F8" s="18">
        <v>121360.81811332132</v>
      </c>
      <c r="G8" s="19" t="str">
        <f t="shared" si="1"/>
        <v>128,628.90</v>
      </c>
      <c r="H8" s="20" t="str">
        <f t="shared" si="2"/>
        <v>2.72</v>
      </c>
      <c r="I8" s="13"/>
      <c r="J8" s="18"/>
      <c r="K8" s="13" t="s">
        <v>32</v>
      </c>
      <c r="L8" s="20" t="str">
        <f>NORMSINV(L7)</f>
        <v>1.64</v>
      </c>
      <c r="M8" s="13"/>
    </row>
    <row r="9">
      <c r="A9" s="13" t="s">
        <v>8</v>
      </c>
      <c r="B9" s="13"/>
      <c r="C9" s="18">
        <v>121360.81811332132</v>
      </c>
      <c r="D9" s="18">
        <v>1852.0</v>
      </c>
      <c r="E9" s="18">
        <v>22327.392857142855</v>
      </c>
      <c r="F9" s="18">
        <v>141836.21097046416</v>
      </c>
      <c r="G9" s="19" t="str">
        <f t="shared" si="1"/>
        <v>131,598.51</v>
      </c>
      <c r="H9" s="20" t="str">
        <f t="shared" si="2"/>
        <v>71.06</v>
      </c>
      <c r="I9" s="13"/>
      <c r="J9" s="18"/>
      <c r="K9" s="17" t="s">
        <v>33</v>
      </c>
      <c r="L9" s="20" t="str">
        <f>SQRT(L5*(L4^2)+(L3^2)*(L6^2))</f>
        <v>576977.17</v>
      </c>
      <c r="M9" s="13"/>
    </row>
    <row r="10">
      <c r="A10" s="13" t="s">
        <v>9</v>
      </c>
      <c r="B10" s="13"/>
      <c r="C10" s="18">
        <v>141836.21097046416</v>
      </c>
      <c r="D10" s="18">
        <v>42170.0</v>
      </c>
      <c r="E10" s="18">
        <v>29769.85714285714</v>
      </c>
      <c r="F10" s="18">
        <v>129436.0681133213</v>
      </c>
      <c r="G10" s="19" t="str">
        <f t="shared" si="1"/>
        <v>135,636.14</v>
      </c>
      <c r="H10" s="20" t="str">
        <f t="shared" si="2"/>
        <v>3.22</v>
      </c>
      <c r="I10" s="13"/>
      <c r="J10" s="18"/>
      <c r="K10" s="17" t="s">
        <v>34</v>
      </c>
      <c r="L10" s="19" t="str">
        <f>L8*L9</f>
        <v>949,042.98</v>
      </c>
      <c r="M10" s="13"/>
    </row>
    <row r="11">
      <c r="A11" s="13" t="s">
        <v>10</v>
      </c>
      <c r="B11" s="13"/>
      <c r="C11" s="18">
        <v>129436.0681133213</v>
      </c>
      <c r="D11" s="18">
        <v>30419.0</v>
      </c>
      <c r="E11" s="18">
        <v>32746.84285714286</v>
      </c>
      <c r="F11" s="18">
        <v>131763.91097046415</v>
      </c>
      <c r="G11" s="19" t="str">
        <f t="shared" si="1"/>
        <v>130,599.99</v>
      </c>
      <c r="H11" s="20" t="str">
        <f t="shared" si="2"/>
        <v>4.29</v>
      </c>
      <c r="I11" s="13"/>
      <c r="J11" s="18"/>
      <c r="K11" s="20"/>
      <c r="L11" s="20"/>
      <c r="M11" s="13"/>
      <c r="N11" s="13"/>
      <c r="O11" s="13"/>
    </row>
    <row r="12">
      <c r="A12" s="13" t="s">
        <v>11</v>
      </c>
      <c r="B12" s="13"/>
      <c r="C12" s="18">
        <v>131763.91097046415</v>
      </c>
      <c r="D12" s="18">
        <v>32223.0</v>
      </c>
      <c r="E12" s="18">
        <v>28281.364285714284</v>
      </c>
      <c r="F12" s="18">
        <v>127822.27525617843</v>
      </c>
      <c r="G12" s="19" t="str">
        <f t="shared" si="1"/>
        <v>129,793.09</v>
      </c>
      <c r="H12" s="20" t="str">
        <f t="shared" si="2"/>
        <v>4.03</v>
      </c>
      <c r="I12" s="13"/>
      <c r="J12" s="18"/>
      <c r="K12" s="20"/>
      <c r="L12" s="20"/>
      <c r="M12" s="13"/>
      <c r="N12" s="13"/>
      <c r="O12" s="13"/>
    </row>
    <row r="13">
      <c r="A13" s="13" t="s">
        <v>12</v>
      </c>
      <c r="B13" s="13"/>
      <c r="C13" s="18">
        <v>127822.27525617843</v>
      </c>
      <c r="D13" s="18">
        <v>22894.0</v>
      </c>
      <c r="E13" s="18">
        <v>20838.9</v>
      </c>
      <c r="F13" s="18">
        <v>125767.17525617842</v>
      </c>
      <c r="G13" s="19" t="str">
        <f t="shared" si="1"/>
        <v>126,794.73</v>
      </c>
      <c r="H13" s="20" t="str">
        <f t="shared" si="2"/>
        <v>5.54</v>
      </c>
      <c r="I13" s="13"/>
      <c r="J13" s="18"/>
      <c r="K13" s="20"/>
      <c r="L13" s="20"/>
      <c r="M13" s="13"/>
      <c r="N13" s="13"/>
      <c r="O13" s="13"/>
    </row>
    <row r="14">
      <c r="A14" s="13" t="s">
        <v>22</v>
      </c>
      <c r="B14" s="13"/>
      <c r="C14" s="18">
        <v>125767.17525617842</v>
      </c>
      <c r="D14" s="18">
        <v>27135.0</v>
      </c>
      <c r="E14" s="18">
        <v>32762.731306414586</v>
      </c>
      <c r="F14" s="18">
        <v>131394.906562593</v>
      </c>
      <c r="G14" s="19" t="str">
        <f t="shared" si="1"/>
        <v>128,581.04</v>
      </c>
      <c r="H14" s="20" t="str">
        <f t="shared" si="2"/>
        <v>4.74</v>
      </c>
      <c r="I14" s="13"/>
      <c r="J14" s="18"/>
      <c r="K14" s="20"/>
      <c r="L14" s="20"/>
      <c r="M14" s="13"/>
      <c r="N14" s="13"/>
      <c r="O14" s="13"/>
    </row>
    <row r="15">
      <c r="A15" s="13" t="s">
        <v>23</v>
      </c>
      <c r="B15" s="13"/>
      <c r="C15" s="18">
        <v>131394.906562593</v>
      </c>
      <c r="D15" s="18">
        <v>34962.0</v>
      </c>
      <c r="E15" s="18">
        <v>29642.471181994144</v>
      </c>
      <c r="F15" s="18">
        <v>126075.37774458714</v>
      </c>
      <c r="G15" s="19" t="str">
        <f t="shared" si="1"/>
        <v>128,735.14</v>
      </c>
      <c r="H15" s="20" t="str">
        <f t="shared" si="2"/>
        <v>3.68</v>
      </c>
      <c r="I15" s="13"/>
      <c r="J15" s="18"/>
      <c r="K15" s="20"/>
      <c r="L15" s="20"/>
      <c r="M15" s="13"/>
      <c r="N15" s="13"/>
      <c r="O15" s="13"/>
    </row>
    <row r="16">
      <c r="A16" s="13" t="s">
        <v>3</v>
      </c>
      <c r="B16" s="13"/>
      <c r="C16" s="18">
        <v>126075.37774458714</v>
      </c>
      <c r="D16" s="18">
        <v>19637.0</v>
      </c>
      <c r="E16" s="18">
        <v>32762.731306414586</v>
      </c>
      <c r="F16" s="18">
        <v>139201.10905100172</v>
      </c>
      <c r="G16" s="19" t="str">
        <f t="shared" si="1"/>
        <v>132,638.24</v>
      </c>
      <c r="H16" s="20" t="str">
        <f t="shared" si="2"/>
        <v>6.75</v>
      </c>
      <c r="I16" s="13"/>
      <c r="J16" s="18"/>
      <c r="K16" s="20"/>
      <c r="L16" s="20"/>
      <c r="M16" s="13"/>
      <c r="N16" s="13"/>
      <c r="O16" s="13"/>
    </row>
    <row r="17">
      <c r="A17" s="13" t="s">
        <v>4</v>
      </c>
      <c r="B17" s="13"/>
      <c r="C17" s="18">
        <v>139201.10905100172</v>
      </c>
      <c r="D17" s="18">
        <v>41514.0</v>
      </c>
      <c r="E17" s="18">
        <v>34322.8613686248</v>
      </c>
      <c r="F17" s="18">
        <v>132009.9704196265</v>
      </c>
      <c r="G17" s="19" t="str">
        <f t="shared" si="1"/>
        <v>135,605.54</v>
      </c>
      <c r="H17" s="20" t="str">
        <f t="shared" si="2"/>
        <v>3.27</v>
      </c>
      <c r="I17" s="13" t="s">
        <v>35</v>
      </c>
      <c r="J17" s="22" t="str">
        <f>AVERAGE(D2:D25)</f>
        <v>29,449</v>
      </c>
      <c r="L17" s="20"/>
      <c r="M17" s="13"/>
      <c r="N17" s="13"/>
      <c r="O17" s="13"/>
    </row>
    <row r="18">
      <c r="A18" s="13" t="s">
        <v>5</v>
      </c>
      <c r="B18" s="13"/>
      <c r="C18" s="18">
        <v>132009.9704196265</v>
      </c>
      <c r="D18" s="18">
        <v>34581.0</v>
      </c>
      <c r="E18" s="18">
        <v>32762.731306414586</v>
      </c>
      <c r="F18" s="18">
        <v>130191.7017260411</v>
      </c>
      <c r="G18" s="19" t="str">
        <f t="shared" si="1"/>
        <v>131,100.84</v>
      </c>
      <c r="H18" s="20" t="str">
        <f t="shared" si="2"/>
        <v>3.79</v>
      </c>
      <c r="I18" s="13" t="s">
        <v>22</v>
      </c>
      <c r="J18" s="13" t="str">
        <f t="shared" ref="J18:J29" si="3">(D2+D14)/2</f>
        <v>26669</v>
      </c>
      <c r="K18" s="13" t="str">
        <f t="shared" ref="K18:K29" si="4">IF(J18&gt;J17, "Above Average", "Below Average")</f>
        <v>Below Average</v>
      </c>
      <c r="L18" s="20"/>
      <c r="M18" s="13"/>
      <c r="N18" s="13"/>
      <c r="O18" s="13"/>
    </row>
    <row r="19">
      <c r="A19" s="13" t="s">
        <v>6</v>
      </c>
      <c r="B19" s="13"/>
      <c r="C19" s="18">
        <v>130191.7017260411</v>
      </c>
      <c r="D19" s="18">
        <v>18685.0</v>
      </c>
      <c r="E19" s="18">
        <v>32762.731306414586</v>
      </c>
      <c r="F19" s="18">
        <v>144269.43303245568</v>
      </c>
      <c r="G19" s="19" t="str">
        <f t="shared" si="1"/>
        <v>137,230.57</v>
      </c>
      <c r="H19" s="20" t="str">
        <f t="shared" si="2"/>
        <v>7.34</v>
      </c>
      <c r="I19" s="13" t="s">
        <v>23</v>
      </c>
      <c r="J19" s="13" t="str">
        <f t="shared" si="3"/>
        <v>34350</v>
      </c>
      <c r="K19" s="13" t="str">
        <f t="shared" si="4"/>
        <v>Above Average</v>
      </c>
      <c r="L19" s="20"/>
      <c r="M19" s="13"/>
      <c r="N19" s="13"/>
      <c r="O19" s="13"/>
    </row>
    <row r="20">
      <c r="A20" s="13" t="s">
        <v>7</v>
      </c>
      <c r="B20" s="13"/>
      <c r="C20" s="18">
        <v>144269.43303245568</v>
      </c>
      <c r="D20" s="18">
        <v>48953.0</v>
      </c>
      <c r="E20" s="18">
        <v>34322.8613686248</v>
      </c>
      <c r="F20" s="18">
        <v>129639.29440108046</v>
      </c>
      <c r="G20" s="19" t="str">
        <f t="shared" si="1"/>
        <v>136,954.36</v>
      </c>
      <c r="H20" s="20" t="str">
        <f t="shared" si="2"/>
        <v>2.80</v>
      </c>
      <c r="I20" s="13" t="s">
        <v>3</v>
      </c>
      <c r="J20" s="13" t="str">
        <f t="shared" si="3"/>
        <v>19307</v>
      </c>
      <c r="K20" s="13" t="str">
        <f t="shared" si="4"/>
        <v>Below Average</v>
      </c>
      <c r="L20" s="20"/>
      <c r="M20" s="13"/>
      <c r="N20" s="13"/>
      <c r="O20" s="13"/>
    </row>
    <row r="21" ht="15.75" customHeight="1">
      <c r="A21" s="13" t="s">
        <v>8</v>
      </c>
      <c r="B21" s="13"/>
      <c r="C21" s="18">
        <v>129639.29440108046</v>
      </c>
      <c r="D21" s="18">
        <v>1838.0</v>
      </c>
      <c r="E21" s="18">
        <v>21841.820870943055</v>
      </c>
      <c r="F21" s="18">
        <v>149643.1152720235</v>
      </c>
      <c r="G21" s="19" t="str">
        <f t="shared" si="1"/>
        <v>139,641.20</v>
      </c>
      <c r="H21" s="20" t="str">
        <f t="shared" si="2"/>
        <v>75.97</v>
      </c>
      <c r="I21" s="13" t="s">
        <v>4</v>
      </c>
      <c r="J21" s="13" t="str">
        <f t="shared" si="3"/>
        <v>40785.5</v>
      </c>
      <c r="K21" s="13" t="str">
        <f t="shared" si="4"/>
        <v>Above Average</v>
      </c>
      <c r="L21" s="20"/>
      <c r="M21" s="13"/>
      <c r="N21" s="13"/>
      <c r="O21" s="13"/>
    </row>
    <row r="22" ht="15.75" customHeight="1">
      <c r="A22" s="13" t="s">
        <v>9</v>
      </c>
      <c r="B22" s="13"/>
      <c r="C22" s="18">
        <v>149643.1152720235</v>
      </c>
      <c r="D22" s="18">
        <v>43675.0</v>
      </c>
      <c r="E22" s="18">
        <v>32762.731306414586</v>
      </c>
      <c r="F22" s="18">
        <v>138730.8465784381</v>
      </c>
      <c r="G22" s="19" t="str">
        <f t="shared" si="1"/>
        <v>144,186.98</v>
      </c>
      <c r="H22" s="20" t="str">
        <f t="shared" si="2"/>
        <v>3.30</v>
      </c>
      <c r="I22" s="13" t="s">
        <v>5</v>
      </c>
      <c r="J22" s="13" t="str">
        <f t="shared" si="3"/>
        <v>34005</v>
      </c>
      <c r="K22" s="13" t="str">
        <f t="shared" si="4"/>
        <v>Below Average</v>
      </c>
      <c r="L22" s="20"/>
      <c r="M22" s="13"/>
      <c r="N22" s="13"/>
      <c r="O22" s="13"/>
    </row>
    <row r="23" ht="15.75" customHeight="1">
      <c r="A23" s="13" t="s">
        <v>10</v>
      </c>
      <c r="B23" s="13"/>
      <c r="C23" s="18">
        <v>138730.8465784381</v>
      </c>
      <c r="D23" s="18">
        <v>31457.0</v>
      </c>
      <c r="E23" s="18">
        <v>34322.8613686248</v>
      </c>
      <c r="F23" s="18">
        <v>141596.7079470629</v>
      </c>
      <c r="G23" s="19" t="str">
        <f t="shared" si="1"/>
        <v>140,163.78</v>
      </c>
      <c r="H23" s="20" t="str">
        <f t="shared" si="2"/>
        <v>4.46</v>
      </c>
      <c r="I23" s="13" t="s">
        <v>6</v>
      </c>
      <c r="J23" s="13" t="str">
        <f t="shared" si="3"/>
        <v>18377.5</v>
      </c>
      <c r="K23" s="13" t="str">
        <f t="shared" si="4"/>
        <v>Below Average</v>
      </c>
      <c r="L23" s="20"/>
      <c r="M23" s="13"/>
      <c r="N23" s="13"/>
      <c r="O23" s="13"/>
    </row>
    <row r="24" ht="15.75" customHeight="1">
      <c r="A24" s="13" t="s">
        <v>11</v>
      </c>
      <c r="B24" s="13"/>
      <c r="C24" s="18">
        <v>141596.7079470629</v>
      </c>
      <c r="D24" s="18">
        <v>33346.0</v>
      </c>
      <c r="E24" s="18">
        <v>28082.341119783927</v>
      </c>
      <c r="F24" s="18">
        <v>136333.04906684684</v>
      </c>
      <c r="G24" s="19" t="str">
        <f t="shared" si="1"/>
        <v>138,964.88</v>
      </c>
      <c r="H24" s="20" t="str">
        <f t="shared" si="2"/>
        <v>4.17</v>
      </c>
      <c r="I24" s="13" t="s">
        <v>7</v>
      </c>
      <c r="J24" s="13" t="str">
        <f t="shared" si="3"/>
        <v>48118</v>
      </c>
      <c r="K24" s="13" t="str">
        <f t="shared" si="4"/>
        <v>Above Average</v>
      </c>
      <c r="L24" s="20"/>
      <c r="M24" s="13"/>
      <c r="N24" s="13"/>
      <c r="O24" s="13"/>
    </row>
    <row r="25" ht="15.75" customHeight="1">
      <c r="A25" s="13" t="s">
        <v>12</v>
      </c>
      <c r="B25" s="13"/>
      <c r="C25" s="18">
        <v>136333.04906684684</v>
      </c>
      <c r="D25" s="18">
        <v>23677.0</v>
      </c>
      <c r="E25" s="18">
        <v>23401.950933153275</v>
      </c>
      <c r="F25" s="18">
        <v>136058.00000000012</v>
      </c>
      <c r="G25" s="19" t="str">
        <f t="shared" si="1"/>
        <v>136,195.52</v>
      </c>
      <c r="H25" s="20" t="str">
        <f t="shared" si="2"/>
        <v>5.75</v>
      </c>
      <c r="I25" s="13" t="s">
        <v>8</v>
      </c>
      <c r="J25" s="13" t="str">
        <f t="shared" si="3"/>
        <v>1845</v>
      </c>
      <c r="K25" s="13" t="str">
        <f t="shared" si="4"/>
        <v>Below Average</v>
      </c>
      <c r="L25" s="20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 t="s">
        <v>9</v>
      </c>
      <c r="J26" s="13" t="str">
        <f t="shared" si="3"/>
        <v>42922.5</v>
      </c>
      <c r="K26" s="13" t="str">
        <f t="shared" si="4"/>
        <v>Above Average</v>
      </c>
      <c r="L26" s="13"/>
      <c r="M26" s="13"/>
      <c r="N26" s="13"/>
      <c r="O26" s="13"/>
    </row>
    <row r="27" ht="15.75" customHeight="1">
      <c r="I27" s="13" t="s">
        <v>10</v>
      </c>
      <c r="J27" s="13" t="str">
        <f t="shared" si="3"/>
        <v>30938</v>
      </c>
      <c r="K27" s="13" t="str">
        <f t="shared" si="4"/>
        <v>Below Average</v>
      </c>
    </row>
    <row r="28" ht="15.75" customHeight="1">
      <c r="I28" s="13" t="s">
        <v>11</v>
      </c>
      <c r="J28" s="13" t="str">
        <f t="shared" si="3"/>
        <v>32784.5</v>
      </c>
      <c r="K28" s="13" t="str">
        <f t="shared" si="4"/>
        <v>Above Average</v>
      </c>
    </row>
    <row r="29" ht="15.75" customHeight="1">
      <c r="I29" s="13" t="s">
        <v>12</v>
      </c>
      <c r="J29" s="13" t="str">
        <f t="shared" si="3"/>
        <v>23285.5</v>
      </c>
      <c r="K29" s="13" t="str">
        <f t="shared" si="4"/>
        <v>Below Average</v>
      </c>
    </row>
    <row r="30" ht="15.75" customHeight="1">
      <c r="B30" s="13" t="s">
        <v>36</v>
      </c>
      <c r="C30" s="13" t="s">
        <v>37</v>
      </c>
      <c r="D30" s="13" t="s">
        <v>38</v>
      </c>
    </row>
    <row r="31" ht="15.75" customHeight="1">
      <c r="B31" s="13" t="s">
        <v>22</v>
      </c>
      <c r="C31" s="13">
        <v>2013.0</v>
      </c>
      <c r="D31" s="18">
        <v>26203.0</v>
      </c>
    </row>
    <row r="32" ht="15.75" customHeight="1">
      <c r="B32" s="13" t="s">
        <v>23</v>
      </c>
      <c r="C32" s="13"/>
      <c r="D32" s="18">
        <v>33738.0</v>
      </c>
    </row>
    <row r="33" ht="15.75" customHeight="1">
      <c r="B33" s="13" t="s">
        <v>3</v>
      </c>
      <c r="C33" s="13"/>
      <c r="D33" s="18">
        <v>18977.0</v>
      </c>
    </row>
    <row r="34" ht="15.75" customHeight="1">
      <c r="B34" s="13" t="s">
        <v>4</v>
      </c>
      <c r="C34" s="13"/>
      <c r="D34" s="18">
        <v>40057.0</v>
      </c>
    </row>
    <row r="35" ht="15.75" customHeight="1">
      <c r="B35" s="13" t="s">
        <v>5</v>
      </c>
      <c r="C35" s="13"/>
      <c r="D35" s="18">
        <v>33429.0</v>
      </c>
    </row>
    <row r="36" ht="15.75" customHeight="1">
      <c r="B36" s="13" t="s">
        <v>6</v>
      </c>
      <c r="C36" s="13"/>
      <c r="D36" s="18">
        <v>18070.0</v>
      </c>
    </row>
    <row r="37" ht="15.75" customHeight="1">
      <c r="B37" s="13" t="s">
        <v>7</v>
      </c>
      <c r="C37" s="13"/>
      <c r="D37" s="18">
        <v>47283.0</v>
      </c>
    </row>
    <row r="38" ht="15.75" customHeight="1">
      <c r="B38" s="13" t="s">
        <v>8</v>
      </c>
      <c r="C38" s="13"/>
      <c r="D38" s="18">
        <v>1852.0</v>
      </c>
    </row>
    <row r="39" ht="15.75" customHeight="1">
      <c r="B39" s="13" t="s">
        <v>9</v>
      </c>
      <c r="C39" s="13"/>
      <c r="D39" s="18">
        <v>42170.0</v>
      </c>
    </row>
    <row r="40" ht="15.75" customHeight="1">
      <c r="B40" s="13" t="s">
        <v>10</v>
      </c>
      <c r="C40" s="13"/>
      <c r="D40" s="18">
        <v>30419.0</v>
      </c>
    </row>
    <row r="41" ht="15.75" customHeight="1">
      <c r="B41" s="13" t="s">
        <v>11</v>
      </c>
      <c r="C41" s="13"/>
      <c r="D41" s="18">
        <v>32223.0</v>
      </c>
    </row>
    <row r="42" ht="15.75" customHeight="1">
      <c r="B42" s="13" t="s">
        <v>12</v>
      </c>
      <c r="C42" s="13"/>
      <c r="D42" s="18">
        <v>22894.0</v>
      </c>
    </row>
    <row r="43" ht="15.75" customHeight="1">
      <c r="B43" s="13" t="s">
        <v>22</v>
      </c>
      <c r="C43" s="13">
        <v>2014.0</v>
      </c>
      <c r="D43" s="18">
        <v>27135.0</v>
      </c>
      <c r="I43" s="13"/>
    </row>
    <row r="44" ht="15.75" customHeight="1">
      <c r="B44" s="13" t="s">
        <v>23</v>
      </c>
      <c r="C44" s="13"/>
      <c r="D44" s="18">
        <v>34962.0</v>
      </c>
      <c r="I44" s="13"/>
    </row>
    <row r="45" ht="15.75" customHeight="1">
      <c r="B45" s="13" t="s">
        <v>3</v>
      </c>
      <c r="C45" s="13"/>
      <c r="D45" s="18">
        <v>19637.0</v>
      </c>
      <c r="I45" s="13"/>
    </row>
    <row r="46" ht="15.75" customHeight="1">
      <c r="B46" s="13" t="s">
        <v>4</v>
      </c>
      <c r="C46" s="13"/>
      <c r="D46" s="18">
        <v>41514.0</v>
      </c>
      <c r="I46" s="13"/>
    </row>
    <row r="47" ht="15.75" customHeight="1">
      <c r="B47" s="13" t="s">
        <v>5</v>
      </c>
      <c r="C47" s="13"/>
      <c r="D47" s="18">
        <v>34581.0</v>
      </c>
      <c r="I47" s="13"/>
    </row>
    <row r="48" ht="15.75" customHeight="1">
      <c r="B48" s="13" t="s">
        <v>6</v>
      </c>
      <c r="C48" s="13"/>
      <c r="D48" s="18">
        <v>18685.0</v>
      </c>
      <c r="I48" s="13"/>
    </row>
    <row r="49" ht="15.75" customHeight="1">
      <c r="B49" s="13" t="s">
        <v>7</v>
      </c>
      <c r="C49" s="13"/>
      <c r="D49" s="18">
        <v>48953.0</v>
      </c>
      <c r="I49" s="13"/>
    </row>
    <row r="50" ht="15.75" customHeight="1">
      <c r="B50" s="13" t="s">
        <v>8</v>
      </c>
      <c r="C50" s="13"/>
      <c r="D50" s="18">
        <v>1838.0</v>
      </c>
      <c r="I50" s="13"/>
    </row>
    <row r="51" ht="15.75" customHeight="1">
      <c r="B51" s="13" t="s">
        <v>9</v>
      </c>
      <c r="C51" s="13"/>
      <c r="D51" s="18">
        <v>43675.0</v>
      </c>
      <c r="I51" s="13"/>
    </row>
    <row r="52" ht="15.75" customHeight="1">
      <c r="B52" s="13" t="s">
        <v>10</v>
      </c>
      <c r="C52" s="13"/>
      <c r="D52" s="18">
        <v>31457.0</v>
      </c>
      <c r="I52" s="13"/>
    </row>
    <row r="53" ht="15.75" customHeight="1">
      <c r="B53" s="13" t="s">
        <v>11</v>
      </c>
      <c r="C53" s="13"/>
      <c r="D53" s="18">
        <v>33346.0</v>
      </c>
      <c r="I53" s="13"/>
    </row>
    <row r="54" ht="15.75" customHeight="1">
      <c r="B54" s="13" t="s">
        <v>12</v>
      </c>
      <c r="C54" s="13"/>
      <c r="D54" s="18">
        <v>23677.0</v>
      </c>
      <c r="I54" s="13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</sheetData>
  <conditionalFormatting sqref="I18:I29">
    <cfRule type="cellIs" dxfId="0" priority="1" operator="equal">
      <formula>"Above Average"</formula>
    </cfRule>
  </conditionalFormatting>
  <conditionalFormatting sqref="I18:I29">
    <cfRule type="expression" dxfId="1" priority="2">
      <formula>$K18:K29="Above Average"</formula>
    </cfRule>
  </conditionalFormatting>
  <conditionalFormatting sqref="I18:I29">
    <cfRule type="expression" dxfId="2" priority="3">
      <formula>$K18:K29="Below Average"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1.5"/>
    <col customWidth="1" min="3" max="3" width="17.0"/>
    <col customWidth="1" min="4" max="4" width="20.13"/>
    <col customWidth="1" min="5" max="5" width="23.75"/>
    <col customWidth="1" min="6" max="6" width="27.63"/>
    <col customWidth="1" min="7" max="7" width="16.38"/>
    <col customWidth="1" min="8" max="8" width="19.38"/>
    <col customWidth="1" min="9" max="9" width="21.38"/>
    <col customWidth="1" min="10" max="11" width="12.5"/>
    <col customWidth="1" min="12" max="12" width="19.5"/>
    <col customWidth="1" min="13" max="13" width="12.5"/>
    <col customWidth="1" min="14" max="14" width="35.25"/>
    <col customWidth="1" min="15" max="16" width="12.5"/>
    <col customWidth="1" min="17" max="17" width="14.5"/>
    <col customWidth="1" min="18" max="18" width="14.13"/>
    <col customWidth="1" min="19" max="21" width="12.5"/>
  </cols>
  <sheetData>
    <row r="1">
      <c r="A1" s="13" t="s">
        <v>0</v>
      </c>
      <c r="B1" s="13" t="s">
        <v>18</v>
      </c>
      <c r="C1" s="13" t="s">
        <v>19</v>
      </c>
      <c r="D1" s="13" t="s">
        <v>14</v>
      </c>
      <c r="E1" s="13" t="s">
        <v>20</v>
      </c>
      <c r="F1" s="13" t="s">
        <v>21</v>
      </c>
      <c r="G1" s="13" t="s">
        <v>24</v>
      </c>
      <c r="H1" s="13" t="s">
        <v>25</v>
      </c>
      <c r="J1" s="13" t="s">
        <v>39</v>
      </c>
      <c r="K1" s="13" t="s">
        <v>40</v>
      </c>
      <c r="L1" s="13" t="s">
        <v>41</v>
      </c>
      <c r="N1" s="17" t="s">
        <v>26</v>
      </c>
    </row>
    <row r="2">
      <c r="A2" s="13" t="s">
        <v>22</v>
      </c>
      <c r="C2" s="22">
        <v>120816.0</v>
      </c>
      <c r="D2" s="22">
        <v>26203.0</v>
      </c>
      <c r="E2" s="22">
        <v>31258.350000000002</v>
      </c>
      <c r="F2" s="22">
        <v>125871.35</v>
      </c>
      <c r="G2" s="15" t="str">
        <f t="shared" ref="G2:G25" si="1">(C2+F2)/2</f>
        <v>123,343.68</v>
      </c>
      <c r="H2" s="16" t="str">
        <f t="shared" ref="H2:H25" si="2">G2/D2</f>
        <v>4.71</v>
      </c>
      <c r="J2" s="22" t="str">
        <f t="shared" ref="J2:J25" si="3">D2-E2</f>
        <v>-5,055</v>
      </c>
      <c r="K2" s="16" t="str">
        <f t="shared" ref="K2:K25" si="4">ABS(D2-E2)/D2</f>
        <v>0.19</v>
      </c>
      <c r="L2" s="16" t="str">
        <f t="shared" ref="L2:L25" si="5">(D2-E2)^2</f>
        <v>25556563.62</v>
      </c>
      <c r="N2" s="13"/>
    </row>
    <row r="3">
      <c r="A3" s="13" t="s">
        <v>23</v>
      </c>
      <c r="C3" s="22">
        <v>125871.35</v>
      </c>
      <c r="D3" s="22">
        <v>33738.0</v>
      </c>
      <c r="E3" s="22">
        <v>28281.364285714284</v>
      </c>
      <c r="F3" s="22">
        <v>120414.71428571429</v>
      </c>
      <c r="G3" s="15" t="str">
        <f t="shared" si="1"/>
        <v>123,143.03</v>
      </c>
      <c r="H3" s="16" t="str">
        <f t="shared" si="2"/>
        <v>3.65</v>
      </c>
      <c r="J3" s="22" t="str">
        <f t="shared" si="3"/>
        <v>5,457</v>
      </c>
      <c r="K3" s="16" t="str">
        <f t="shared" si="4"/>
        <v>0.16</v>
      </c>
      <c r="L3" s="16" t="str">
        <f t="shared" si="5"/>
        <v>29774873.32</v>
      </c>
      <c r="N3" s="13" t="s">
        <v>27</v>
      </c>
      <c r="O3" s="22" t="str">
        <f>AVERAGE(D2:D25)</f>
        <v>29,449</v>
      </c>
    </row>
    <row r="4">
      <c r="A4" s="13" t="s">
        <v>3</v>
      </c>
      <c r="C4" s="22">
        <v>120414.71428571429</v>
      </c>
      <c r="D4" s="22">
        <v>18977.0</v>
      </c>
      <c r="E4" s="22">
        <v>31258.350000000002</v>
      </c>
      <c r="F4" s="22">
        <v>132696.0642857143</v>
      </c>
      <c r="G4" s="15" t="str">
        <f t="shared" si="1"/>
        <v>126,555.39</v>
      </c>
      <c r="H4" s="16" t="str">
        <f t="shared" si="2"/>
        <v>6.67</v>
      </c>
      <c r="J4" s="22" t="str">
        <f t="shared" si="3"/>
        <v>-12,281</v>
      </c>
      <c r="K4" s="16" t="str">
        <f t="shared" si="4"/>
        <v>0.65</v>
      </c>
      <c r="L4" s="16" t="str">
        <f t="shared" si="5"/>
        <v>150831557.82</v>
      </c>
      <c r="N4" s="13" t="s">
        <v>28</v>
      </c>
      <c r="O4" s="16" t="str">
        <f>STDEV(D2:D25)</f>
        <v>12348.20</v>
      </c>
    </row>
    <row r="5">
      <c r="A5" s="13" t="s">
        <v>4</v>
      </c>
      <c r="C5" s="22">
        <v>132696.0642857143</v>
      </c>
      <c r="D5" s="22">
        <v>40057.0</v>
      </c>
      <c r="E5" s="22">
        <v>32746.84285714286</v>
      </c>
      <c r="F5" s="22">
        <v>125385.90714285715</v>
      </c>
      <c r="G5" s="15" t="str">
        <f t="shared" si="1"/>
        <v>129,040.99</v>
      </c>
      <c r="H5" s="16" t="str">
        <f t="shared" si="2"/>
        <v>3.22</v>
      </c>
      <c r="J5" s="22" t="str">
        <f t="shared" si="3"/>
        <v>7,310</v>
      </c>
      <c r="K5" s="16" t="str">
        <f t="shared" si="4"/>
        <v>0.18</v>
      </c>
      <c r="L5" s="16" t="str">
        <f t="shared" si="5"/>
        <v>53438397.45</v>
      </c>
      <c r="N5" s="13" t="s">
        <v>29</v>
      </c>
      <c r="O5" s="16" t="str">
        <f>AVERAGE(H2:H25)</f>
        <v>10.25</v>
      </c>
    </row>
    <row r="6">
      <c r="A6" s="13" t="s">
        <v>5</v>
      </c>
      <c r="C6" s="22">
        <v>125385.90714285715</v>
      </c>
      <c r="D6" s="22">
        <v>33429.0</v>
      </c>
      <c r="E6" s="22">
        <v>32240.210970464188</v>
      </c>
      <c r="F6" s="22">
        <v>124197.11811332134</v>
      </c>
      <c r="G6" s="15" t="str">
        <f t="shared" si="1"/>
        <v>124,791.51</v>
      </c>
      <c r="H6" s="16" t="str">
        <f t="shared" si="2"/>
        <v>3.73</v>
      </c>
      <c r="J6" s="22" t="str">
        <f t="shared" si="3"/>
        <v>1,189</v>
      </c>
      <c r="K6" s="16" t="str">
        <f t="shared" si="4"/>
        <v>0.04</v>
      </c>
      <c r="L6" s="16" t="str">
        <f t="shared" si="5"/>
        <v>1413219.36</v>
      </c>
      <c r="N6" s="13" t="s">
        <v>30</v>
      </c>
      <c r="O6" s="16" t="str">
        <f>STDEV(H2:H25)</f>
        <v>19.55</v>
      </c>
    </row>
    <row r="7">
      <c r="A7" s="13" t="s">
        <v>6</v>
      </c>
      <c r="C7" s="22">
        <v>124197.11811332134</v>
      </c>
      <c r="D7" s="22">
        <v>18070.0</v>
      </c>
      <c r="E7" s="22">
        <v>29769.85714285714</v>
      </c>
      <c r="F7" s="22">
        <v>135896.97525617847</v>
      </c>
      <c r="G7" s="15" t="str">
        <f t="shared" si="1"/>
        <v>130,047.05</v>
      </c>
      <c r="H7" s="16" t="str">
        <f t="shared" si="2"/>
        <v>7.20</v>
      </c>
      <c r="J7" s="22" t="str">
        <f t="shared" si="3"/>
        <v>-11,700</v>
      </c>
      <c r="K7" s="16" t="str">
        <f t="shared" si="4"/>
        <v>0.65</v>
      </c>
      <c r="L7" s="16" t="str">
        <f t="shared" si="5"/>
        <v>136886657.16</v>
      </c>
      <c r="N7" s="13" t="s">
        <v>31</v>
      </c>
      <c r="O7" s="23">
        <v>0.95</v>
      </c>
    </row>
    <row r="8">
      <c r="A8" s="13" t="s">
        <v>7</v>
      </c>
      <c r="C8" s="22">
        <v>135896.97525617847</v>
      </c>
      <c r="D8" s="22">
        <v>47283.0</v>
      </c>
      <c r="E8" s="22">
        <v>32746.84285714286</v>
      </c>
      <c r="F8" s="22">
        <v>121360.81811332132</v>
      </c>
      <c r="G8" s="15" t="str">
        <f t="shared" si="1"/>
        <v>128,628.90</v>
      </c>
      <c r="H8" s="16" t="str">
        <f t="shared" si="2"/>
        <v>2.72</v>
      </c>
      <c r="J8" s="22" t="str">
        <f t="shared" si="3"/>
        <v>14,536</v>
      </c>
      <c r="K8" s="16" t="str">
        <f t="shared" si="4"/>
        <v>0.31</v>
      </c>
      <c r="L8" s="16" t="str">
        <f t="shared" si="5"/>
        <v>211299864.48</v>
      </c>
      <c r="N8" s="13" t="s">
        <v>32</v>
      </c>
      <c r="O8" s="16" t="str">
        <f>NORMSINV(O7)</f>
        <v>1.64</v>
      </c>
    </row>
    <row r="9">
      <c r="A9" s="13" t="s">
        <v>8</v>
      </c>
      <c r="C9" s="22">
        <v>121360.81811332132</v>
      </c>
      <c r="D9" s="22">
        <v>1852.0</v>
      </c>
      <c r="E9" s="22">
        <v>22327.392857142855</v>
      </c>
      <c r="F9" s="22">
        <v>141836.21097046416</v>
      </c>
      <c r="G9" s="15" t="str">
        <f t="shared" si="1"/>
        <v>131,598.51</v>
      </c>
      <c r="H9" s="16" t="str">
        <f t="shared" si="2"/>
        <v>71.06</v>
      </c>
      <c r="J9" s="22" t="str">
        <f t="shared" si="3"/>
        <v>-20,475</v>
      </c>
      <c r="K9" s="16" t="str">
        <f t="shared" si="4"/>
        <v>11.06</v>
      </c>
      <c r="L9" s="16" t="str">
        <f t="shared" si="5"/>
        <v>419241712.65</v>
      </c>
      <c r="N9" s="17" t="s">
        <v>33</v>
      </c>
      <c r="O9" s="16" t="str">
        <f>SQRT(O5*(O4^2)+(O3^2)*(O6^2))</f>
        <v>576977.17</v>
      </c>
    </row>
    <row r="10">
      <c r="A10" s="13" t="s">
        <v>9</v>
      </c>
      <c r="C10" s="22">
        <v>141836.21097046416</v>
      </c>
      <c r="D10" s="22">
        <v>42170.0</v>
      </c>
      <c r="E10" s="22">
        <v>29769.85714285714</v>
      </c>
      <c r="F10" s="22">
        <v>129436.0681133213</v>
      </c>
      <c r="G10" s="15" t="str">
        <f t="shared" si="1"/>
        <v>135,636.14</v>
      </c>
      <c r="H10" s="16" t="str">
        <f t="shared" si="2"/>
        <v>3.22</v>
      </c>
      <c r="J10" s="22" t="str">
        <f t="shared" si="3"/>
        <v>12,400</v>
      </c>
      <c r="K10" s="16" t="str">
        <f t="shared" si="4"/>
        <v>0.29</v>
      </c>
      <c r="L10" s="16" t="str">
        <f t="shared" si="5"/>
        <v>153763542.88</v>
      </c>
      <c r="N10" s="17" t="s">
        <v>34</v>
      </c>
      <c r="O10" s="15" t="str">
        <f>O8*O9</f>
        <v>949,042.98</v>
      </c>
    </row>
    <row r="11">
      <c r="A11" s="13" t="s">
        <v>10</v>
      </c>
      <c r="C11" s="22">
        <v>129436.0681133213</v>
      </c>
      <c r="D11" s="22">
        <v>30419.0</v>
      </c>
      <c r="E11" s="22">
        <v>32746.84285714286</v>
      </c>
      <c r="F11" s="22">
        <v>131763.91097046415</v>
      </c>
      <c r="G11" s="15" t="str">
        <f t="shared" si="1"/>
        <v>130,599.99</v>
      </c>
      <c r="H11" s="16" t="str">
        <f t="shared" si="2"/>
        <v>4.29</v>
      </c>
      <c r="J11" s="22" t="str">
        <f t="shared" si="3"/>
        <v>-2,328</v>
      </c>
      <c r="K11" s="16" t="str">
        <f t="shared" si="4"/>
        <v>0.08</v>
      </c>
      <c r="L11" s="16" t="str">
        <f t="shared" si="5"/>
        <v>5418852.37</v>
      </c>
    </row>
    <row r="12">
      <c r="A12" s="13" t="s">
        <v>11</v>
      </c>
      <c r="C12" s="22">
        <v>131763.91097046415</v>
      </c>
      <c r="D12" s="22">
        <v>32223.0</v>
      </c>
      <c r="E12" s="22">
        <v>28281.364285714284</v>
      </c>
      <c r="F12" s="22">
        <v>127822.27525617843</v>
      </c>
      <c r="G12" s="15" t="str">
        <f t="shared" si="1"/>
        <v>129,793.09</v>
      </c>
      <c r="H12" s="16" t="str">
        <f t="shared" si="2"/>
        <v>4.03</v>
      </c>
      <c r="J12" s="22" t="str">
        <f t="shared" si="3"/>
        <v>3,942</v>
      </c>
      <c r="K12" s="16" t="str">
        <f t="shared" si="4"/>
        <v>0.12</v>
      </c>
      <c r="L12" s="16" t="str">
        <f t="shared" si="5"/>
        <v>15536492.10</v>
      </c>
    </row>
    <row r="13">
      <c r="A13" s="13" t="s">
        <v>12</v>
      </c>
      <c r="C13" s="22">
        <v>127822.27525617843</v>
      </c>
      <c r="D13" s="22">
        <v>22894.0</v>
      </c>
      <c r="E13" s="22">
        <v>20838.9</v>
      </c>
      <c r="F13" s="22">
        <v>125767.17525617842</v>
      </c>
      <c r="G13" s="15" t="str">
        <f t="shared" si="1"/>
        <v>126,794.73</v>
      </c>
      <c r="H13" s="16" t="str">
        <f t="shared" si="2"/>
        <v>5.54</v>
      </c>
      <c r="J13" s="22" t="str">
        <f t="shared" si="3"/>
        <v>2,055</v>
      </c>
      <c r="K13" s="16" t="str">
        <f t="shared" si="4"/>
        <v>0.09</v>
      </c>
      <c r="L13" s="16" t="str">
        <f t="shared" si="5"/>
        <v>4223436.01</v>
      </c>
    </row>
    <row r="14">
      <c r="A14" s="13" t="s">
        <v>22</v>
      </c>
      <c r="B14" s="13"/>
      <c r="C14" s="22">
        <v>125767.17525617842</v>
      </c>
      <c r="D14" s="22">
        <v>27135.0</v>
      </c>
      <c r="E14" s="22">
        <v>32762.731306414586</v>
      </c>
      <c r="F14" s="22">
        <v>131394.906562593</v>
      </c>
      <c r="G14" s="15" t="str">
        <f t="shared" si="1"/>
        <v>128,581.04</v>
      </c>
      <c r="H14" s="16" t="str">
        <f t="shared" si="2"/>
        <v>4.74</v>
      </c>
      <c r="J14" s="22" t="str">
        <f t="shared" si="3"/>
        <v>-5,628</v>
      </c>
      <c r="K14" s="16" t="str">
        <f t="shared" si="4"/>
        <v>0.21</v>
      </c>
      <c r="L14" s="16" t="str">
        <f t="shared" si="5"/>
        <v>31671359.66</v>
      </c>
    </row>
    <row r="15">
      <c r="A15" s="13" t="s">
        <v>23</v>
      </c>
      <c r="C15" s="22">
        <v>131394.906562593</v>
      </c>
      <c r="D15" s="22">
        <v>34962.0</v>
      </c>
      <c r="E15" s="22">
        <v>29642.471181994144</v>
      </c>
      <c r="F15" s="22">
        <v>126075.37774458714</v>
      </c>
      <c r="G15" s="15" t="str">
        <f t="shared" si="1"/>
        <v>128,735.14</v>
      </c>
      <c r="H15" s="16" t="str">
        <f t="shared" si="2"/>
        <v>3.68</v>
      </c>
      <c r="J15" s="22" t="str">
        <f t="shared" si="3"/>
        <v>5,320</v>
      </c>
      <c r="K15" s="16" t="str">
        <f t="shared" si="4"/>
        <v>0.15</v>
      </c>
      <c r="L15" s="16" t="str">
        <f t="shared" si="5"/>
        <v>28297386.85</v>
      </c>
    </row>
    <row r="16">
      <c r="A16" s="13" t="s">
        <v>3</v>
      </c>
      <c r="C16" s="22">
        <v>126075.37774458714</v>
      </c>
      <c r="D16" s="22">
        <v>19637.0</v>
      </c>
      <c r="E16" s="22">
        <v>32762.731306414586</v>
      </c>
      <c r="F16" s="22">
        <v>139201.10905100172</v>
      </c>
      <c r="G16" s="15" t="str">
        <f t="shared" si="1"/>
        <v>132,638.24</v>
      </c>
      <c r="H16" s="16" t="str">
        <f t="shared" si="2"/>
        <v>6.75</v>
      </c>
      <c r="J16" s="22" t="str">
        <f t="shared" si="3"/>
        <v>-13,126</v>
      </c>
      <c r="K16" s="16" t="str">
        <f t="shared" si="4"/>
        <v>0.67</v>
      </c>
      <c r="L16" s="16" t="str">
        <f t="shared" si="5"/>
        <v>172284822.33</v>
      </c>
    </row>
    <row r="17">
      <c r="A17" s="13" t="s">
        <v>4</v>
      </c>
      <c r="C17" s="22">
        <v>139201.10905100172</v>
      </c>
      <c r="D17" s="22">
        <v>41514.0</v>
      </c>
      <c r="E17" s="22">
        <v>34322.8613686248</v>
      </c>
      <c r="F17" s="22">
        <v>132009.9704196265</v>
      </c>
      <c r="G17" s="15" t="str">
        <f t="shared" si="1"/>
        <v>135,605.54</v>
      </c>
      <c r="H17" s="16" t="str">
        <f t="shared" si="2"/>
        <v>3.27</v>
      </c>
      <c r="J17" s="22" t="str">
        <f t="shared" si="3"/>
        <v>7,191</v>
      </c>
      <c r="K17" s="16" t="str">
        <f t="shared" si="4"/>
        <v>0.17</v>
      </c>
      <c r="L17" s="16" t="str">
        <f t="shared" si="5"/>
        <v>51712474.82</v>
      </c>
    </row>
    <row r="18">
      <c r="A18" s="13" t="s">
        <v>5</v>
      </c>
      <c r="C18" s="22">
        <v>132009.9704196265</v>
      </c>
      <c r="D18" s="22">
        <v>34581.0</v>
      </c>
      <c r="E18" s="22">
        <v>32762.731306414586</v>
      </c>
      <c r="F18" s="22">
        <v>130191.7017260411</v>
      </c>
      <c r="G18" s="15" t="str">
        <f t="shared" si="1"/>
        <v>131,100.84</v>
      </c>
      <c r="H18" s="16" t="str">
        <f t="shared" si="2"/>
        <v>3.79</v>
      </c>
      <c r="J18" s="22" t="str">
        <f t="shared" si="3"/>
        <v>1,818</v>
      </c>
      <c r="K18" s="16" t="str">
        <f t="shared" si="4"/>
        <v>0.05</v>
      </c>
      <c r="L18" s="16" t="str">
        <f t="shared" si="5"/>
        <v>3306101.04</v>
      </c>
    </row>
    <row r="19">
      <c r="A19" s="13" t="s">
        <v>6</v>
      </c>
      <c r="C19" s="22">
        <v>130191.7017260411</v>
      </c>
      <c r="D19" s="22">
        <v>18685.0</v>
      </c>
      <c r="E19" s="22">
        <v>32762.731306414586</v>
      </c>
      <c r="F19" s="22">
        <v>144269.43303245568</v>
      </c>
      <c r="G19" s="15" t="str">
        <f t="shared" si="1"/>
        <v>137,230.57</v>
      </c>
      <c r="H19" s="16" t="str">
        <f t="shared" si="2"/>
        <v>7.34</v>
      </c>
      <c r="J19" s="22" t="str">
        <f t="shared" si="3"/>
        <v>-14,078</v>
      </c>
      <c r="K19" s="16" t="str">
        <f t="shared" si="4"/>
        <v>0.75</v>
      </c>
      <c r="L19" s="16" t="str">
        <f t="shared" si="5"/>
        <v>198182518.74</v>
      </c>
    </row>
    <row r="20" ht="15.75" customHeight="1">
      <c r="A20" s="13" t="s">
        <v>7</v>
      </c>
      <c r="C20" s="22">
        <v>144269.43303245568</v>
      </c>
      <c r="D20" s="22">
        <v>48953.0</v>
      </c>
      <c r="E20" s="22">
        <v>34322.8613686248</v>
      </c>
      <c r="F20" s="22">
        <v>129639.29440108046</v>
      </c>
      <c r="G20" s="15" t="str">
        <f t="shared" si="1"/>
        <v>136,954.36</v>
      </c>
      <c r="H20" s="16" t="str">
        <f t="shared" si="2"/>
        <v>2.80</v>
      </c>
      <c r="J20" s="22" t="str">
        <f t="shared" si="3"/>
        <v>14,630</v>
      </c>
      <c r="K20" s="16" t="str">
        <f t="shared" si="4"/>
        <v>0.30</v>
      </c>
      <c r="L20" s="16" t="str">
        <f t="shared" si="5"/>
        <v>214040956.37</v>
      </c>
    </row>
    <row r="21" ht="15.75" customHeight="1">
      <c r="A21" s="13" t="s">
        <v>8</v>
      </c>
      <c r="C21" s="22">
        <v>129639.29440108046</v>
      </c>
      <c r="D21" s="22">
        <v>1838.0</v>
      </c>
      <c r="E21" s="22">
        <v>21841.820870943055</v>
      </c>
      <c r="F21" s="22">
        <v>149643.1152720235</v>
      </c>
      <c r="G21" s="15" t="str">
        <f t="shared" si="1"/>
        <v>139,641.20</v>
      </c>
      <c r="H21" s="16" t="str">
        <f t="shared" si="2"/>
        <v>75.97</v>
      </c>
      <c r="J21" s="22" t="str">
        <f t="shared" si="3"/>
        <v>-20,004</v>
      </c>
      <c r="K21" s="16" t="str">
        <f t="shared" si="4"/>
        <v>10.88</v>
      </c>
      <c r="L21" s="16" t="str">
        <f t="shared" si="5"/>
        <v>400152849.44</v>
      </c>
    </row>
    <row r="22" ht="15.75" customHeight="1">
      <c r="A22" s="13" t="s">
        <v>9</v>
      </c>
      <c r="C22" s="22">
        <v>149643.1152720235</v>
      </c>
      <c r="D22" s="22">
        <v>43675.0</v>
      </c>
      <c r="E22" s="22">
        <v>32762.731306414586</v>
      </c>
      <c r="F22" s="22">
        <v>138730.8465784381</v>
      </c>
      <c r="G22" s="15" t="str">
        <f t="shared" si="1"/>
        <v>144,186.98</v>
      </c>
      <c r="H22" s="16" t="str">
        <f t="shared" si="2"/>
        <v>3.30</v>
      </c>
      <c r="J22" s="22" t="str">
        <f t="shared" si="3"/>
        <v>10,912</v>
      </c>
      <c r="K22" s="16" t="str">
        <f t="shared" si="4"/>
        <v>0.25</v>
      </c>
      <c r="L22" s="16" t="str">
        <f t="shared" si="5"/>
        <v>119077608.04</v>
      </c>
    </row>
    <row r="23" ht="15.75" customHeight="1">
      <c r="A23" s="13" t="s">
        <v>10</v>
      </c>
      <c r="C23" s="22">
        <v>138730.8465784381</v>
      </c>
      <c r="D23" s="22">
        <v>31457.0</v>
      </c>
      <c r="E23" s="22">
        <v>34322.8613686248</v>
      </c>
      <c r="F23" s="22">
        <v>141596.7079470629</v>
      </c>
      <c r="G23" s="15" t="str">
        <f t="shared" si="1"/>
        <v>140,163.78</v>
      </c>
      <c r="H23" s="16" t="str">
        <f t="shared" si="2"/>
        <v>4.46</v>
      </c>
      <c r="J23" s="22" t="str">
        <f t="shared" si="3"/>
        <v>-2,866</v>
      </c>
      <c r="K23" s="16" t="str">
        <f t="shared" si="4"/>
        <v>0.09</v>
      </c>
      <c r="L23" s="16" t="str">
        <f t="shared" si="5"/>
        <v>8213161.38</v>
      </c>
    </row>
    <row r="24" ht="15.75" customHeight="1">
      <c r="A24" s="13" t="s">
        <v>11</v>
      </c>
      <c r="C24" s="22">
        <v>141596.7079470629</v>
      </c>
      <c r="D24" s="22">
        <v>33346.0</v>
      </c>
      <c r="E24" s="22">
        <v>28082.341119783927</v>
      </c>
      <c r="F24" s="22">
        <v>136333.04906684684</v>
      </c>
      <c r="G24" s="15" t="str">
        <f t="shared" si="1"/>
        <v>138,964.88</v>
      </c>
      <c r="H24" s="16" t="str">
        <f t="shared" si="2"/>
        <v>4.17</v>
      </c>
      <c r="J24" s="22" t="str">
        <f t="shared" si="3"/>
        <v>5,264</v>
      </c>
      <c r="K24" s="16" t="str">
        <f t="shared" si="4"/>
        <v>0.16</v>
      </c>
      <c r="L24" s="16" t="str">
        <f t="shared" si="5"/>
        <v>27706104.81</v>
      </c>
    </row>
    <row r="25" ht="15.75" customHeight="1">
      <c r="A25" s="13" t="s">
        <v>12</v>
      </c>
      <c r="C25" s="22">
        <v>136333.04906684684</v>
      </c>
      <c r="D25" s="22">
        <v>23677.0</v>
      </c>
      <c r="E25" s="22">
        <v>23401.950933153275</v>
      </c>
      <c r="F25" s="22">
        <v>136058.00000000012</v>
      </c>
      <c r="G25" s="15" t="str">
        <f t="shared" si="1"/>
        <v>136,195.52</v>
      </c>
      <c r="H25" s="16" t="str">
        <f t="shared" si="2"/>
        <v>5.75</v>
      </c>
      <c r="J25" s="22" t="str">
        <f t="shared" si="3"/>
        <v>275</v>
      </c>
      <c r="K25" s="16" t="str">
        <f t="shared" si="4"/>
        <v>0.01</v>
      </c>
      <c r="L25" s="16" t="str">
        <f t="shared" si="5"/>
        <v>75651.99</v>
      </c>
    </row>
    <row r="26" ht="15.75" customHeight="1"/>
    <row r="27" ht="15.75" customHeight="1">
      <c r="B27" s="24"/>
      <c r="C27" s="25" t="s">
        <v>42</v>
      </c>
      <c r="D27" s="25" t="s">
        <v>43</v>
      </c>
      <c r="E27" s="25" t="s">
        <v>44</v>
      </c>
      <c r="F27" s="25" t="s">
        <v>45</v>
      </c>
      <c r="G27" s="25" t="s">
        <v>46</v>
      </c>
      <c r="H27" s="25" t="s">
        <v>47</v>
      </c>
      <c r="I27" s="26" t="s">
        <v>48</v>
      </c>
    </row>
    <row r="28" ht="15.75" customHeight="1">
      <c r="B28" s="27"/>
      <c r="C28" s="17"/>
      <c r="D28" s="17"/>
      <c r="E28" s="17"/>
      <c r="F28" s="17"/>
      <c r="G28" s="17"/>
      <c r="H28" s="17"/>
      <c r="I28" s="28"/>
    </row>
    <row r="29" ht="15.75" customHeight="1">
      <c r="B29" s="27" t="s">
        <v>49</v>
      </c>
      <c r="C29" s="29" t="str">
        <f>AVERAGE(J7:J25)</f>
        <v>-624</v>
      </c>
      <c r="D29" s="29" t="str">
        <f>AVERAGE(J41:J59)</f>
        <v>-530</v>
      </c>
      <c r="E29" s="29" t="str">
        <f>AVERAGE(J69:J88)</f>
        <v>72</v>
      </c>
      <c r="F29" s="29" t="str">
        <f>AVERAGE(J99:J117)</f>
        <v>-559</v>
      </c>
      <c r="G29" s="29" t="str">
        <f>AVERAGE(J127:J145)</f>
        <v>-513</v>
      </c>
      <c r="H29" s="29" t="str">
        <f>AVERAGE(J155:J173)</f>
        <v>-449</v>
      </c>
      <c r="I29" s="30" t="str">
        <f>AVERAGE(P178:P201)</f>
        <v>1120.13</v>
      </c>
    </row>
    <row r="30" ht="15.75" customHeight="1">
      <c r="B30" s="27" t="s">
        <v>50</v>
      </c>
      <c r="C30" s="31" t="str">
        <f>AVERAGE(K7:K25)</f>
        <v>138.39%</v>
      </c>
      <c r="D30" s="31" t="str">
        <f>AVERAGE(K41:K59)</f>
        <v>210.63%</v>
      </c>
      <c r="E30" s="31" t="str">
        <f>AVERAGE(K69:K88)</f>
        <v>180.66%</v>
      </c>
      <c r="F30" s="31" t="str">
        <f>AVERAGE(K99:K117)</f>
        <v>165.48%</v>
      </c>
      <c r="G30" s="31" t="str">
        <f>AVERAGE(K127:K145)</f>
        <v>308.46%</v>
      </c>
      <c r="H30" s="31" t="str">
        <f>AVERAGE(K155:K173)</f>
        <v>199.35%</v>
      </c>
      <c r="I30" s="32" t="str">
        <f>AVERAGE(Q178:Q201)</f>
        <v>16.87%</v>
      </c>
    </row>
    <row r="31" ht="15.75" customHeight="1">
      <c r="B31" s="27" t="s">
        <v>51</v>
      </c>
      <c r="C31" s="33" t="str">
        <f>AVERAGE(L7:L25)</f>
        <v>115,846,923.85</v>
      </c>
      <c r="D31" s="33" t="str">
        <f>AVERAGE(L41:L59)</f>
        <v>236,613,651.11</v>
      </c>
      <c r="E31" s="33" t="str">
        <f>AVERAGE(L69:L88)</f>
        <v>178,638,843.40</v>
      </c>
      <c r="F31" s="33" t="str">
        <f>AVERAGE(L99:L117)</f>
        <v>148,158,517.63</v>
      </c>
      <c r="G31" s="33" t="str">
        <f>AVERAGE(L127:L145)</f>
        <v>591,225,730.84</v>
      </c>
      <c r="H31" s="33" t="str">
        <f>AVERAGE(L155:L173)</f>
        <v>199,160,754.47</v>
      </c>
      <c r="I31" s="34" t="str">
        <f>AVERAGE(R178:R201)</f>
        <v>46,091,035.80</v>
      </c>
    </row>
    <row r="32" ht="15.75" customHeight="1">
      <c r="B32" s="35"/>
      <c r="C32" s="36"/>
      <c r="D32" s="36"/>
      <c r="E32" s="36"/>
      <c r="F32" s="36"/>
      <c r="G32" s="36"/>
      <c r="H32" s="36"/>
      <c r="I32" s="37"/>
    </row>
    <row r="33" ht="15.75" customHeight="1"/>
    <row r="34" ht="15.75" customHeight="1">
      <c r="B34" s="17" t="s">
        <v>43</v>
      </c>
    </row>
    <row r="35" ht="15.75" customHeight="1">
      <c r="A35" s="13" t="s">
        <v>0</v>
      </c>
      <c r="B35" s="13" t="s">
        <v>18</v>
      </c>
      <c r="C35" s="13" t="s">
        <v>19</v>
      </c>
      <c r="D35" s="13" t="s">
        <v>14</v>
      </c>
      <c r="E35" s="13" t="s">
        <v>20</v>
      </c>
      <c r="F35" s="13" t="s">
        <v>21</v>
      </c>
      <c r="J35" s="13" t="s">
        <v>39</v>
      </c>
      <c r="K35" s="13" t="s">
        <v>40</v>
      </c>
      <c r="L35" s="13" t="s">
        <v>41</v>
      </c>
    </row>
    <row r="36" ht="15.75" customHeight="1">
      <c r="A36" s="13" t="s">
        <v>22</v>
      </c>
      <c r="C36" s="22">
        <v>120816.0</v>
      </c>
      <c r="D36" s="22">
        <v>26203.0</v>
      </c>
      <c r="E36" s="22">
        <v>31258.350000000002</v>
      </c>
      <c r="F36" s="22">
        <v>125871.35</v>
      </c>
      <c r="J36" s="22" t="str">
        <f t="shared" ref="J36:J59" si="6">D36-E36</f>
        <v>-5,055</v>
      </c>
      <c r="K36" s="16" t="str">
        <f t="shared" ref="K36:K59" si="7">ABS(D36-E36)/D36</f>
        <v>0.19</v>
      </c>
      <c r="L36" s="13" t="str">
        <f t="shared" ref="L36:L59" si="8">(D36-E36)^2</f>
        <v>25556563.62</v>
      </c>
    </row>
    <row r="37" ht="15.75" customHeight="1">
      <c r="A37" s="13" t="s">
        <v>23</v>
      </c>
      <c r="C37" s="22">
        <v>125871.35</v>
      </c>
      <c r="D37" s="22">
        <v>33738.0</v>
      </c>
      <c r="E37" s="22">
        <v>28281.364285714284</v>
      </c>
      <c r="F37" s="22">
        <v>120414.71428571429</v>
      </c>
      <c r="J37" s="22" t="str">
        <f t="shared" si="6"/>
        <v>5,457</v>
      </c>
      <c r="K37" s="16" t="str">
        <f t="shared" si="7"/>
        <v>0.16</v>
      </c>
      <c r="L37" s="13" t="str">
        <f t="shared" si="8"/>
        <v>29774873.32</v>
      </c>
    </row>
    <row r="38" ht="15.75" customHeight="1">
      <c r="A38" s="13" t="s">
        <v>3</v>
      </c>
      <c r="C38" s="22">
        <v>120414.71428571429</v>
      </c>
      <c r="D38" s="22">
        <v>18977.0</v>
      </c>
      <c r="E38" s="22">
        <v>31258.350000000002</v>
      </c>
      <c r="F38" s="22">
        <v>132696.0642857143</v>
      </c>
      <c r="J38" s="22" t="str">
        <f t="shared" si="6"/>
        <v>-12,281</v>
      </c>
      <c r="K38" s="16" t="str">
        <f t="shared" si="7"/>
        <v>0.65</v>
      </c>
      <c r="L38" s="13" t="str">
        <f t="shared" si="8"/>
        <v>150831557.8</v>
      </c>
    </row>
    <row r="39" ht="15.75" customHeight="1">
      <c r="A39" s="13" t="s">
        <v>4</v>
      </c>
      <c r="C39" s="22" t="str">
        <f t="shared" ref="C39:C59" si="9">F38</f>
        <v>132,696</v>
      </c>
      <c r="D39" s="22">
        <v>40057.0</v>
      </c>
      <c r="E39" s="22" t="str">
        <f t="shared" ref="E39:E59" si="10">ROUND(AVERAGE(D36:D38),0)</f>
        <v>26,306</v>
      </c>
      <c r="F39" s="22" t="str">
        <f t="shared" ref="F39:F59" si="11">(C39+E39)-D39</f>
        <v>118,945</v>
      </c>
      <c r="J39" s="22" t="str">
        <f t="shared" si="6"/>
        <v>13,751</v>
      </c>
      <c r="K39" s="16" t="str">
        <f t="shared" si="7"/>
        <v>0.34</v>
      </c>
      <c r="L39" s="13" t="str">
        <f t="shared" si="8"/>
        <v>189090001</v>
      </c>
    </row>
    <row r="40" ht="15.75" customHeight="1">
      <c r="A40" s="13" t="s">
        <v>5</v>
      </c>
      <c r="C40" s="22" t="str">
        <f t="shared" si="9"/>
        <v>118,945</v>
      </c>
      <c r="D40" s="22">
        <v>33429.0</v>
      </c>
      <c r="E40" s="22" t="str">
        <f t="shared" si="10"/>
        <v>30,924</v>
      </c>
      <c r="F40" s="22" t="str">
        <f t="shared" si="11"/>
        <v>116,440</v>
      </c>
      <c r="J40" s="22" t="str">
        <f t="shared" si="6"/>
        <v>2,505</v>
      </c>
      <c r="K40" s="16" t="str">
        <f t="shared" si="7"/>
        <v>0.07</v>
      </c>
      <c r="L40" s="13" t="str">
        <f t="shared" si="8"/>
        <v>6275025</v>
      </c>
    </row>
    <row r="41" ht="15.75" customHeight="1">
      <c r="A41" s="13" t="s">
        <v>6</v>
      </c>
      <c r="C41" s="22" t="str">
        <f t="shared" si="9"/>
        <v>116,440</v>
      </c>
      <c r="D41" s="22">
        <v>18070.0</v>
      </c>
      <c r="E41" s="22" t="str">
        <f t="shared" si="10"/>
        <v>30,821</v>
      </c>
      <c r="F41" s="22" t="str">
        <f t="shared" si="11"/>
        <v>129,191</v>
      </c>
      <c r="J41" s="22" t="str">
        <f t="shared" si="6"/>
        <v>-12,751</v>
      </c>
      <c r="K41" s="16" t="str">
        <f t="shared" si="7"/>
        <v>0.71</v>
      </c>
      <c r="L41" s="13" t="str">
        <f t="shared" si="8"/>
        <v>162588001</v>
      </c>
    </row>
    <row r="42" ht="15.75" customHeight="1">
      <c r="A42" s="13" t="s">
        <v>7</v>
      </c>
      <c r="C42" s="22" t="str">
        <f t="shared" si="9"/>
        <v>129,191</v>
      </c>
      <c r="D42" s="22">
        <v>47283.0</v>
      </c>
      <c r="E42" s="22" t="str">
        <f t="shared" si="10"/>
        <v>30,519</v>
      </c>
      <c r="F42" s="22" t="str">
        <f t="shared" si="11"/>
        <v>112,427</v>
      </c>
      <c r="J42" s="22" t="str">
        <f t="shared" si="6"/>
        <v>16,764</v>
      </c>
      <c r="K42" s="16" t="str">
        <f t="shared" si="7"/>
        <v>0.35</v>
      </c>
      <c r="L42" s="13" t="str">
        <f t="shared" si="8"/>
        <v>281031696</v>
      </c>
    </row>
    <row r="43" ht="15.75" customHeight="1">
      <c r="A43" s="13" t="s">
        <v>8</v>
      </c>
      <c r="C43" s="22" t="str">
        <f t="shared" si="9"/>
        <v>112,427</v>
      </c>
      <c r="D43" s="22">
        <v>1852.0</v>
      </c>
      <c r="E43" s="22" t="str">
        <f t="shared" si="10"/>
        <v>32,927</v>
      </c>
      <c r="F43" s="22" t="str">
        <f t="shared" si="11"/>
        <v>143,502</v>
      </c>
      <c r="J43" s="22" t="str">
        <f t="shared" si="6"/>
        <v>-31,075</v>
      </c>
      <c r="K43" s="16" t="str">
        <f t="shared" si="7"/>
        <v>16.78</v>
      </c>
      <c r="L43" s="13" t="str">
        <f t="shared" si="8"/>
        <v>965655625</v>
      </c>
    </row>
    <row r="44" ht="15.75" customHeight="1">
      <c r="A44" s="13" t="s">
        <v>9</v>
      </c>
      <c r="C44" s="22" t="str">
        <f t="shared" si="9"/>
        <v>143,502</v>
      </c>
      <c r="D44" s="22">
        <v>42170.0</v>
      </c>
      <c r="E44" s="22" t="str">
        <f t="shared" si="10"/>
        <v>22,402</v>
      </c>
      <c r="F44" s="22" t="str">
        <f t="shared" si="11"/>
        <v>123,734</v>
      </c>
      <c r="J44" s="22" t="str">
        <f t="shared" si="6"/>
        <v>19,768</v>
      </c>
      <c r="K44" s="16" t="str">
        <f t="shared" si="7"/>
        <v>0.47</v>
      </c>
      <c r="L44" s="13" t="str">
        <f t="shared" si="8"/>
        <v>390773824</v>
      </c>
    </row>
    <row r="45" ht="15.75" customHeight="1">
      <c r="A45" s="13" t="s">
        <v>10</v>
      </c>
      <c r="C45" s="22" t="str">
        <f t="shared" si="9"/>
        <v>123,734</v>
      </c>
      <c r="D45" s="22">
        <v>30419.0</v>
      </c>
      <c r="E45" s="22" t="str">
        <f t="shared" si="10"/>
        <v>30,435</v>
      </c>
      <c r="F45" s="22" t="str">
        <f t="shared" si="11"/>
        <v>123,750</v>
      </c>
      <c r="J45" s="22" t="str">
        <f t="shared" si="6"/>
        <v>-16</v>
      </c>
      <c r="K45" s="16" t="str">
        <f t="shared" si="7"/>
        <v>0.00</v>
      </c>
      <c r="L45" s="13" t="str">
        <f t="shared" si="8"/>
        <v>256</v>
      </c>
    </row>
    <row r="46" ht="15.75" customHeight="1">
      <c r="A46" s="13" t="s">
        <v>11</v>
      </c>
      <c r="C46" s="22" t="str">
        <f t="shared" si="9"/>
        <v>123,750</v>
      </c>
      <c r="D46" s="22">
        <v>32223.0</v>
      </c>
      <c r="E46" s="22" t="str">
        <f t="shared" si="10"/>
        <v>24,814</v>
      </c>
      <c r="F46" s="22" t="str">
        <f t="shared" si="11"/>
        <v>116,341</v>
      </c>
      <c r="J46" s="22" t="str">
        <f t="shared" si="6"/>
        <v>7,409</v>
      </c>
      <c r="K46" s="16" t="str">
        <f t="shared" si="7"/>
        <v>0.23</v>
      </c>
      <c r="L46" s="13" t="str">
        <f t="shared" si="8"/>
        <v>54893281</v>
      </c>
    </row>
    <row r="47" ht="15.75" customHeight="1">
      <c r="A47" s="13" t="s">
        <v>12</v>
      </c>
      <c r="C47" s="22" t="str">
        <f t="shared" si="9"/>
        <v>116,341</v>
      </c>
      <c r="D47" s="22">
        <v>22894.0</v>
      </c>
      <c r="E47" s="22" t="str">
        <f t="shared" si="10"/>
        <v>34,937</v>
      </c>
      <c r="F47" s="22" t="str">
        <f t="shared" si="11"/>
        <v>128,384</v>
      </c>
      <c r="J47" s="22" t="str">
        <f t="shared" si="6"/>
        <v>-12,043</v>
      </c>
      <c r="K47" s="16" t="str">
        <f t="shared" si="7"/>
        <v>0.53</v>
      </c>
      <c r="L47" s="13" t="str">
        <f t="shared" si="8"/>
        <v>145033849</v>
      </c>
    </row>
    <row r="48" ht="15.75" customHeight="1">
      <c r="A48" s="13" t="s">
        <v>22</v>
      </c>
      <c r="B48" s="13"/>
      <c r="C48" s="22" t="str">
        <f t="shared" si="9"/>
        <v>128,384</v>
      </c>
      <c r="D48" s="22">
        <v>27135.0</v>
      </c>
      <c r="E48" s="22" t="str">
        <f t="shared" si="10"/>
        <v>28,512</v>
      </c>
      <c r="F48" s="22" t="str">
        <f t="shared" si="11"/>
        <v>129,761</v>
      </c>
      <c r="J48" s="22" t="str">
        <f t="shared" si="6"/>
        <v>-1,377</v>
      </c>
      <c r="K48" s="16" t="str">
        <f t="shared" si="7"/>
        <v>0.05</v>
      </c>
      <c r="L48" s="13" t="str">
        <f t="shared" si="8"/>
        <v>1896129</v>
      </c>
    </row>
    <row r="49" ht="15.75" customHeight="1">
      <c r="A49" s="13" t="s">
        <v>23</v>
      </c>
      <c r="C49" s="22" t="str">
        <f t="shared" si="9"/>
        <v>129,761</v>
      </c>
      <c r="D49" s="22">
        <v>34962.0</v>
      </c>
      <c r="E49" s="22" t="str">
        <f t="shared" si="10"/>
        <v>27,417</v>
      </c>
      <c r="F49" s="22" t="str">
        <f t="shared" si="11"/>
        <v>122,216</v>
      </c>
      <c r="J49" s="22" t="str">
        <f t="shared" si="6"/>
        <v>7,545</v>
      </c>
      <c r="K49" s="16" t="str">
        <f t="shared" si="7"/>
        <v>0.22</v>
      </c>
      <c r="L49" s="13" t="str">
        <f t="shared" si="8"/>
        <v>56927025</v>
      </c>
    </row>
    <row r="50" ht="15.75" customHeight="1">
      <c r="A50" s="13" t="s">
        <v>3</v>
      </c>
      <c r="C50" s="22" t="str">
        <f t="shared" si="9"/>
        <v>122,216</v>
      </c>
      <c r="D50" s="22">
        <v>19637.0</v>
      </c>
      <c r="E50" s="22" t="str">
        <f t="shared" si="10"/>
        <v>28,330</v>
      </c>
      <c r="F50" s="22" t="str">
        <f t="shared" si="11"/>
        <v>130,909</v>
      </c>
      <c r="J50" s="22" t="str">
        <f t="shared" si="6"/>
        <v>-8,693</v>
      </c>
      <c r="K50" s="16" t="str">
        <f t="shared" si="7"/>
        <v>0.44</v>
      </c>
      <c r="L50" s="13" t="str">
        <f t="shared" si="8"/>
        <v>75568249</v>
      </c>
    </row>
    <row r="51" ht="15.75" customHeight="1">
      <c r="A51" s="13" t="s">
        <v>4</v>
      </c>
      <c r="C51" s="22" t="str">
        <f t="shared" si="9"/>
        <v>130,909</v>
      </c>
      <c r="D51" s="22">
        <v>41514.0</v>
      </c>
      <c r="E51" s="22" t="str">
        <f t="shared" si="10"/>
        <v>27,245</v>
      </c>
      <c r="F51" s="22" t="str">
        <f t="shared" si="11"/>
        <v>116,640</v>
      </c>
      <c r="J51" s="22" t="str">
        <f t="shared" si="6"/>
        <v>14,269</v>
      </c>
      <c r="K51" s="16" t="str">
        <f t="shared" si="7"/>
        <v>0.34</v>
      </c>
      <c r="L51" s="13" t="str">
        <f t="shared" si="8"/>
        <v>203604361</v>
      </c>
    </row>
    <row r="52" ht="15.75" customHeight="1">
      <c r="A52" s="13" t="s">
        <v>5</v>
      </c>
      <c r="C52" s="22" t="str">
        <f t="shared" si="9"/>
        <v>116,640</v>
      </c>
      <c r="D52" s="22">
        <v>34581.0</v>
      </c>
      <c r="E52" s="22" t="str">
        <f t="shared" si="10"/>
        <v>32,038</v>
      </c>
      <c r="F52" s="22" t="str">
        <f t="shared" si="11"/>
        <v>114,097</v>
      </c>
      <c r="J52" s="22" t="str">
        <f t="shared" si="6"/>
        <v>2,543</v>
      </c>
      <c r="K52" s="16" t="str">
        <f t="shared" si="7"/>
        <v>0.07</v>
      </c>
      <c r="L52" s="13" t="str">
        <f t="shared" si="8"/>
        <v>6466849</v>
      </c>
    </row>
    <row r="53" ht="15.75" customHeight="1">
      <c r="A53" s="13" t="s">
        <v>6</v>
      </c>
      <c r="C53" s="22" t="str">
        <f t="shared" si="9"/>
        <v>114,097</v>
      </c>
      <c r="D53" s="22">
        <v>18685.0</v>
      </c>
      <c r="E53" s="22" t="str">
        <f t="shared" si="10"/>
        <v>31,911</v>
      </c>
      <c r="F53" s="22" t="str">
        <f t="shared" si="11"/>
        <v>127,323</v>
      </c>
      <c r="J53" s="22" t="str">
        <f t="shared" si="6"/>
        <v>-13,226</v>
      </c>
      <c r="K53" s="16" t="str">
        <f t="shared" si="7"/>
        <v>0.71</v>
      </c>
      <c r="L53" s="13" t="str">
        <f t="shared" si="8"/>
        <v>174927076</v>
      </c>
    </row>
    <row r="54" ht="15.75" customHeight="1">
      <c r="A54" s="13" t="s">
        <v>7</v>
      </c>
      <c r="C54" s="22" t="str">
        <f t="shared" si="9"/>
        <v>127,323</v>
      </c>
      <c r="D54" s="22">
        <v>48953.0</v>
      </c>
      <c r="E54" s="22" t="str">
        <f t="shared" si="10"/>
        <v>31,593</v>
      </c>
      <c r="F54" s="22" t="str">
        <f t="shared" si="11"/>
        <v>109,963</v>
      </c>
      <c r="J54" s="22" t="str">
        <f t="shared" si="6"/>
        <v>17,360</v>
      </c>
      <c r="K54" s="16" t="str">
        <f t="shared" si="7"/>
        <v>0.35</v>
      </c>
      <c r="L54" s="13" t="str">
        <f t="shared" si="8"/>
        <v>301369600</v>
      </c>
    </row>
    <row r="55" ht="15.75" customHeight="1">
      <c r="A55" s="13" t="s">
        <v>8</v>
      </c>
      <c r="C55" s="22" t="str">
        <f t="shared" si="9"/>
        <v>109,963</v>
      </c>
      <c r="D55" s="22">
        <v>1838.0</v>
      </c>
      <c r="E55" s="22" t="str">
        <f t="shared" si="10"/>
        <v>34,073</v>
      </c>
      <c r="F55" s="22" t="str">
        <f t="shared" si="11"/>
        <v>142,198</v>
      </c>
      <c r="J55" s="22" t="str">
        <f t="shared" si="6"/>
        <v>-32,235</v>
      </c>
      <c r="K55" s="16" t="str">
        <f t="shared" si="7"/>
        <v>17.54</v>
      </c>
      <c r="L55" s="13" t="str">
        <f t="shared" si="8"/>
        <v>1039095225</v>
      </c>
    </row>
    <row r="56" ht="15.75" customHeight="1">
      <c r="A56" s="13" t="s">
        <v>9</v>
      </c>
      <c r="C56" s="22" t="str">
        <f t="shared" si="9"/>
        <v>142,198</v>
      </c>
      <c r="D56" s="22">
        <v>43675.0</v>
      </c>
      <c r="E56" s="22" t="str">
        <f t="shared" si="10"/>
        <v>23,159</v>
      </c>
      <c r="F56" s="22" t="str">
        <f t="shared" si="11"/>
        <v>121,682</v>
      </c>
      <c r="J56" s="22" t="str">
        <f t="shared" si="6"/>
        <v>20,516</v>
      </c>
      <c r="K56" s="16" t="str">
        <f t="shared" si="7"/>
        <v>0.47</v>
      </c>
      <c r="L56" s="13" t="str">
        <f t="shared" si="8"/>
        <v>420906256</v>
      </c>
    </row>
    <row r="57" ht="15.75" customHeight="1">
      <c r="A57" s="13" t="s">
        <v>10</v>
      </c>
      <c r="C57" s="22" t="str">
        <f t="shared" si="9"/>
        <v>121,682</v>
      </c>
      <c r="D57" s="22">
        <v>31457.0</v>
      </c>
      <c r="E57" s="22" t="str">
        <f t="shared" si="10"/>
        <v>31,489</v>
      </c>
      <c r="F57" s="22" t="str">
        <f t="shared" si="11"/>
        <v>121,714</v>
      </c>
      <c r="J57" s="22" t="str">
        <f t="shared" si="6"/>
        <v>-32</v>
      </c>
      <c r="K57" s="16" t="str">
        <f t="shared" si="7"/>
        <v>0.00</v>
      </c>
      <c r="L57" s="13" t="str">
        <f t="shared" si="8"/>
        <v>1024</v>
      </c>
    </row>
    <row r="58" ht="15.75" customHeight="1">
      <c r="A58" s="13" t="s">
        <v>11</v>
      </c>
      <c r="C58" s="22" t="str">
        <f t="shared" si="9"/>
        <v>121,714</v>
      </c>
      <c r="D58" s="22">
        <v>33346.0</v>
      </c>
      <c r="E58" s="22" t="str">
        <f t="shared" si="10"/>
        <v>25,657</v>
      </c>
      <c r="F58" s="22" t="str">
        <f t="shared" si="11"/>
        <v>114,025</v>
      </c>
      <c r="J58" s="22" t="str">
        <f t="shared" si="6"/>
        <v>7,689</v>
      </c>
      <c r="K58" s="16" t="str">
        <f t="shared" si="7"/>
        <v>0.23</v>
      </c>
      <c r="L58" s="13" t="str">
        <f t="shared" si="8"/>
        <v>59120721</v>
      </c>
    </row>
    <row r="59" ht="15.75" customHeight="1">
      <c r="A59" s="13" t="s">
        <v>12</v>
      </c>
      <c r="C59" s="22" t="str">
        <f t="shared" si="9"/>
        <v>114,025</v>
      </c>
      <c r="D59" s="22">
        <v>23677.0</v>
      </c>
      <c r="E59" s="22" t="str">
        <f t="shared" si="10"/>
        <v>36,159</v>
      </c>
      <c r="F59" s="22" t="str">
        <f t="shared" si="11"/>
        <v>126,507</v>
      </c>
      <c r="J59" s="22" t="str">
        <f t="shared" si="6"/>
        <v>-12,482</v>
      </c>
      <c r="K59" s="16" t="str">
        <f t="shared" si="7"/>
        <v>0.53</v>
      </c>
      <c r="L59" s="13" t="str">
        <f t="shared" si="8"/>
        <v>155800324</v>
      </c>
    </row>
    <row r="60" ht="15.75" customHeight="1"/>
    <row r="61" ht="15.75" customHeight="1"/>
    <row r="62" ht="15.75" customHeight="1"/>
    <row r="63" ht="15.75" customHeight="1">
      <c r="B63" s="17" t="s">
        <v>44</v>
      </c>
    </row>
    <row r="64" ht="15.75" customHeight="1">
      <c r="A64" s="13" t="s">
        <v>0</v>
      </c>
      <c r="B64" s="13" t="s">
        <v>18</v>
      </c>
      <c r="C64" s="13" t="s">
        <v>19</v>
      </c>
      <c r="D64" s="13" t="s">
        <v>14</v>
      </c>
      <c r="E64" s="13" t="s">
        <v>20</v>
      </c>
      <c r="F64" s="13" t="s">
        <v>21</v>
      </c>
      <c r="J64" s="13" t="s">
        <v>39</v>
      </c>
      <c r="K64" s="13" t="s">
        <v>40</v>
      </c>
      <c r="L64" s="13" t="s">
        <v>41</v>
      </c>
    </row>
    <row r="65" ht="15.75" customHeight="1">
      <c r="A65" s="13" t="s">
        <v>22</v>
      </c>
      <c r="C65" s="22">
        <v>120816.0</v>
      </c>
      <c r="D65" s="22">
        <v>26203.0</v>
      </c>
      <c r="E65" s="22">
        <v>31258.350000000002</v>
      </c>
      <c r="F65" s="22">
        <v>125871.35</v>
      </c>
      <c r="J65" s="22" t="str">
        <f t="shared" ref="J65:J88" si="12">D65-E65</f>
        <v>-5,055</v>
      </c>
      <c r="K65" s="16" t="str">
        <f t="shared" ref="K65:K88" si="13">ABS(D65-E65)/D65</f>
        <v>0.19</v>
      </c>
      <c r="L65" s="13" t="str">
        <f t="shared" ref="L65:L88" si="14">(D65-E65)^2</f>
        <v>25556563.62</v>
      </c>
    </row>
    <row r="66" ht="15.75" customHeight="1">
      <c r="A66" s="13" t="s">
        <v>23</v>
      </c>
      <c r="C66" s="22">
        <v>125871.35</v>
      </c>
      <c r="D66" s="22">
        <v>33738.0</v>
      </c>
      <c r="E66" s="22">
        <v>28281.364285714284</v>
      </c>
      <c r="F66" s="22">
        <v>120414.71428571429</v>
      </c>
      <c r="J66" s="22" t="str">
        <f t="shared" si="12"/>
        <v>5,457</v>
      </c>
      <c r="K66" s="16" t="str">
        <f t="shared" si="13"/>
        <v>0.16</v>
      </c>
      <c r="L66" s="13" t="str">
        <f t="shared" si="14"/>
        <v>29774873.32</v>
      </c>
    </row>
    <row r="67" ht="15.75" customHeight="1">
      <c r="A67" s="13" t="s">
        <v>3</v>
      </c>
      <c r="C67" s="22">
        <v>120414.71428571429</v>
      </c>
      <c r="D67" s="22">
        <v>18977.0</v>
      </c>
      <c r="E67" s="22">
        <v>31258.350000000002</v>
      </c>
      <c r="F67" s="22">
        <v>132696.0642857143</v>
      </c>
      <c r="J67" s="22" t="str">
        <f t="shared" si="12"/>
        <v>-12,281</v>
      </c>
      <c r="K67" s="16" t="str">
        <f t="shared" si="13"/>
        <v>0.65</v>
      </c>
      <c r="L67" s="13" t="str">
        <f t="shared" si="14"/>
        <v>150831557.8</v>
      </c>
    </row>
    <row r="68" ht="15.75" customHeight="1">
      <c r="A68" s="13" t="s">
        <v>4</v>
      </c>
      <c r="C68" s="22" t="str">
        <f t="shared" ref="C68:C88" si="15">F67</f>
        <v>132,696</v>
      </c>
      <c r="D68" s="22">
        <v>40057.0</v>
      </c>
      <c r="E68" s="22" t="str">
        <f t="shared" ref="E68:E88" si="16">ROUND(AVERAGE(D$65:D67),0)</f>
        <v>26,306</v>
      </c>
      <c r="F68" s="22" t="str">
        <f t="shared" ref="F68:F88" si="17">(C68+E68)-D68</f>
        <v>118,945</v>
      </c>
      <c r="J68" s="22" t="str">
        <f t="shared" si="12"/>
        <v>13,751</v>
      </c>
      <c r="K68" s="16" t="str">
        <f t="shared" si="13"/>
        <v>0.34</v>
      </c>
      <c r="L68" s="13" t="str">
        <f t="shared" si="14"/>
        <v>189090001</v>
      </c>
    </row>
    <row r="69" ht="15.75" customHeight="1">
      <c r="A69" s="13" t="s">
        <v>5</v>
      </c>
      <c r="C69" s="22" t="str">
        <f t="shared" si="15"/>
        <v>118,945</v>
      </c>
      <c r="D69" s="22">
        <v>33429.0</v>
      </c>
      <c r="E69" s="22" t="str">
        <f t="shared" si="16"/>
        <v>29,744</v>
      </c>
      <c r="F69" s="22" t="str">
        <f t="shared" si="17"/>
        <v>115,260</v>
      </c>
      <c r="J69" s="22" t="str">
        <f t="shared" si="12"/>
        <v>3,685</v>
      </c>
      <c r="K69" s="16" t="str">
        <f t="shared" si="13"/>
        <v>0.11</v>
      </c>
      <c r="L69" s="13" t="str">
        <f t="shared" si="14"/>
        <v>13579225</v>
      </c>
    </row>
    <row r="70" ht="15.75" customHeight="1">
      <c r="A70" s="13" t="s">
        <v>6</v>
      </c>
      <c r="C70" s="22" t="str">
        <f t="shared" si="15"/>
        <v>115,260</v>
      </c>
      <c r="D70" s="22">
        <v>18070.0</v>
      </c>
      <c r="E70" s="22" t="str">
        <f t="shared" si="16"/>
        <v>30,481</v>
      </c>
      <c r="F70" s="22" t="str">
        <f t="shared" si="17"/>
        <v>127,671</v>
      </c>
      <c r="J70" s="22" t="str">
        <f t="shared" si="12"/>
        <v>-12,411</v>
      </c>
      <c r="K70" s="16" t="str">
        <f t="shared" si="13"/>
        <v>0.69</v>
      </c>
      <c r="L70" s="13" t="str">
        <f t="shared" si="14"/>
        <v>154032921</v>
      </c>
    </row>
    <row r="71" ht="15.75" customHeight="1">
      <c r="A71" s="13" t="s">
        <v>7</v>
      </c>
      <c r="C71" s="22" t="str">
        <f t="shared" si="15"/>
        <v>127,671</v>
      </c>
      <c r="D71" s="22">
        <v>47283.0</v>
      </c>
      <c r="E71" s="22" t="str">
        <f t="shared" si="16"/>
        <v>28,412</v>
      </c>
      <c r="F71" s="22" t="str">
        <f t="shared" si="17"/>
        <v>108,800</v>
      </c>
      <c r="J71" s="22" t="str">
        <f t="shared" si="12"/>
        <v>18,871</v>
      </c>
      <c r="K71" s="16" t="str">
        <f t="shared" si="13"/>
        <v>0.40</v>
      </c>
      <c r="L71" s="13" t="str">
        <f t="shared" si="14"/>
        <v>356114641</v>
      </c>
    </row>
    <row r="72" ht="15.75" customHeight="1">
      <c r="A72" s="13" t="s">
        <v>8</v>
      </c>
      <c r="C72" s="22" t="str">
        <f t="shared" si="15"/>
        <v>108,800</v>
      </c>
      <c r="D72" s="22">
        <v>1852.0</v>
      </c>
      <c r="E72" s="22" t="str">
        <f t="shared" si="16"/>
        <v>31,108</v>
      </c>
      <c r="F72" s="22" t="str">
        <f t="shared" si="17"/>
        <v>138,056</v>
      </c>
      <c r="J72" s="22" t="str">
        <f t="shared" si="12"/>
        <v>-29,256</v>
      </c>
      <c r="K72" s="16" t="str">
        <f t="shared" si="13"/>
        <v>15.80</v>
      </c>
      <c r="L72" s="13" t="str">
        <f t="shared" si="14"/>
        <v>855913536</v>
      </c>
    </row>
    <row r="73" ht="15.75" customHeight="1">
      <c r="A73" s="13" t="s">
        <v>9</v>
      </c>
      <c r="C73" s="22" t="str">
        <f t="shared" si="15"/>
        <v>138,056</v>
      </c>
      <c r="D73" s="22">
        <v>42170.0</v>
      </c>
      <c r="E73" s="22" t="str">
        <f t="shared" si="16"/>
        <v>27,451</v>
      </c>
      <c r="F73" s="22" t="str">
        <f t="shared" si="17"/>
        <v>123,337</v>
      </c>
      <c r="J73" s="22" t="str">
        <f t="shared" si="12"/>
        <v>14,719</v>
      </c>
      <c r="K73" s="16" t="str">
        <f t="shared" si="13"/>
        <v>0.35</v>
      </c>
      <c r="L73" s="13" t="str">
        <f t="shared" si="14"/>
        <v>216648961</v>
      </c>
    </row>
    <row r="74" ht="15.75" customHeight="1">
      <c r="A74" s="13" t="s">
        <v>10</v>
      </c>
      <c r="C74" s="22" t="str">
        <f t="shared" si="15"/>
        <v>123,337</v>
      </c>
      <c r="D74" s="22">
        <v>30419.0</v>
      </c>
      <c r="E74" s="22" t="str">
        <f t="shared" si="16"/>
        <v>29,087</v>
      </c>
      <c r="F74" s="22" t="str">
        <f t="shared" si="17"/>
        <v>122,005</v>
      </c>
      <c r="J74" s="22" t="str">
        <f t="shared" si="12"/>
        <v>1,332</v>
      </c>
      <c r="K74" s="16" t="str">
        <f t="shared" si="13"/>
        <v>0.04</v>
      </c>
      <c r="L74" s="13" t="str">
        <f t="shared" si="14"/>
        <v>1774224</v>
      </c>
    </row>
    <row r="75" ht="15.75" customHeight="1">
      <c r="A75" s="13" t="s">
        <v>11</v>
      </c>
      <c r="C75" s="22" t="str">
        <f t="shared" si="15"/>
        <v>122,005</v>
      </c>
      <c r="D75" s="22">
        <v>32223.0</v>
      </c>
      <c r="E75" s="22" t="str">
        <f t="shared" si="16"/>
        <v>29,220</v>
      </c>
      <c r="F75" s="22" t="str">
        <f t="shared" si="17"/>
        <v>119,002</v>
      </c>
      <c r="J75" s="22" t="str">
        <f t="shared" si="12"/>
        <v>3,003</v>
      </c>
      <c r="K75" s="16" t="str">
        <f t="shared" si="13"/>
        <v>0.09</v>
      </c>
      <c r="L75" s="13" t="str">
        <f t="shared" si="14"/>
        <v>9018009</v>
      </c>
    </row>
    <row r="76" ht="15.75" customHeight="1">
      <c r="A76" s="13" t="s">
        <v>12</v>
      </c>
      <c r="C76" s="22" t="str">
        <f t="shared" si="15"/>
        <v>119,002</v>
      </c>
      <c r="D76" s="22">
        <v>22894.0</v>
      </c>
      <c r="E76" s="22" t="str">
        <f t="shared" si="16"/>
        <v>29,493</v>
      </c>
      <c r="F76" s="22" t="str">
        <f t="shared" si="17"/>
        <v>125,601</v>
      </c>
      <c r="J76" s="22" t="str">
        <f t="shared" si="12"/>
        <v>-6,599</v>
      </c>
      <c r="K76" s="16" t="str">
        <f t="shared" si="13"/>
        <v>0.29</v>
      </c>
      <c r="L76" s="13" t="str">
        <f t="shared" si="14"/>
        <v>43546801</v>
      </c>
    </row>
    <row r="77" ht="15.75" customHeight="1">
      <c r="A77" s="13" t="s">
        <v>22</v>
      </c>
      <c r="B77" s="13"/>
      <c r="C77" s="22" t="str">
        <f t="shared" si="15"/>
        <v>125,601</v>
      </c>
      <c r="D77" s="22">
        <v>27135.0</v>
      </c>
      <c r="E77" s="22" t="str">
        <f t="shared" si="16"/>
        <v>28,943</v>
      </c>
      <c r="F77" s="22" t="str">
        <f t="shared" si="17"/>
        <v>127,409</v>
      </c>
      <c r="J77" s="22" t="str">
        <f t="shared" si="12"/>
        <v>-1,808</v>
      </c>
      <c r="K77" s="16" t="str">
        <f t="shared" si="13"/>
        <v>0.07</v>
      </c>
      <c r="L77" s="13" t="str">
        <f t="shared" si="14"/>
        <v>3268864</v>
      </c>
    </row>
    <row r="78" ht="15.75" customHeight="1">
      <c r="A78" s="13" t="s">
        <v>23</v>
      </c>
      <c r="C78" s="22" t="str">
        <f t="shared" si="15"/>
        <v>127,409</v>
      </c>
      <c r="D78" s="22">
        <v>34962.0</v>
      </c>
      <c r="E78" s="22" t="str">
        <f t="shared" si="16"/>
        <v>28,804</v>
      </c>
      <c r="F78" s="22" t="str">
        <f t="shared" si="17"/>
        <v>121,251</v>
      </c>
      <c r="J78" s="22" t="str">
        <f t="shared" si="12"/>
        <v>6,158</v>
      </c>
      <c r="K78" s="16" t="str">
        <f t="shared" si="13"/>
        <v>0.18</v>
      </c>
      <c r="L78" s="13" t="str">
        <f t="shared" si="14"/>
        <v>37920964</v>
      </c>
    </row>
    <row r="79" ht="15.75" customHeight="1">
      <c r="A79" s="13" t="s">
        <v>3</v>
      </c>
      <c r="C79" s="22" t="str">
        <f t="shared" si="15"/>
        <v>121,251</v>
      </c>
      <c r="D79" s="22">
        <v>19637.0</v>
      </c>
      <c r="E79" s="22" t="str">
        <f t="shared" si="16"/>
        <v>29,244</v>
      </c>
      <c r="F79" s="22" t="str">
        <f t="shared" si="17"/>
        <v>130,858</v>
      </c>
      <c r="J79" s="22" t="str">
        <f t="shared" si="12"/>
        <v>-9,607</v>
      </c>
      <c r="K79" s="16" t="str">
        <f t="shared" si="13"/>
        <v>0.49</v>
      </c>
      <c r="L79" s="13" t="str">
        <f t="shared" si="14"/>
        <v>92294449</v>
      </c>
    </row>
    <row r="80" ht="15.75" customHeight="1">
      <c r="A80" s="13" t="s">
        <v>4</v>
      </c>
      <c r="C80" s="22" t="str">
        <f t="shared" si="15"/>
        <v>130,858</v>
      </c>
      <c r="D80" s="22">
        <v>41514.0</v>
      </c>
      <c r="E80" s="22" t="str">
        <f t="shared" si="16"/>
        <v>28,603</v>
      </c>
      <c r="F80" s="22" t="str">
        <f t="shared" si="17"/>
        <v>117,947</v>
      </c>
      <c r="J80" s="22" t="str">
        <f t="shared" si="12"/>
        <v>12,911</v>
      </c>
      <c r="K80" s="16" t="str">
        <f t="shared" si="13"/>
        <v>0.31</v>
      </c>
      <c r="L80" s="13" t="str">
        <f t="shared" si="14"/>
        <v>166693921</v>
      </c>
    </row>
    <row r="81" ht="15.75" customHeight="1">
      <c r="A81" s="13" t="s">
        <v>5</v>
      </c>
      <c r="C81" s="22" t="str">
        <f t="shared" si="15"/>
        <v>117,947</v>
      </c>
      <c r="D81" s="22">
        <v>34581.0</v>
      </c>
      <c r="E81" s="22" t="str">
        <f t="shared" si="16"/>
        <v>29,410</v>
      </c>
      <c r="F81" s="22" t="str">
        <f t="shared" si="17"/>
        <v>112,776</v>
      </c>
      <c r="J81" s="22" t="str">
        <f t="shared" si="12"/>
        <v>5,171</v>
      </c>
      <c r="K81" s="16" t="str">
        <f t="shared" si="13"/>
        <v>0.15</v>
      </c>
      <c r="L81" s="13" t="str">
        <f t="shared" si="14"/>
        <v>26739241</v>
      </c>
    </row>
    <row r="82" ht="15.75" customHeight="1">
      <c r="A82" s="13" t="s">
        <v>6</v>
      </c>
      <c r="C82" s="22" t="str">
        <f t="shared" si="15"/>
        <v>112,776</v>
      </c>
      <c r="D82" s="22">
        <v>18685.0</v>
      </c>
      <c r="E82" s="22" t="str">
        <f t="shared" si="16"/>
        <v>29,714</v>
      </c>
      <c r="F82" s="22" t="str">
        <f t="shared" si="17"/>
        <v>123,805</v>
      </c>
      <c r="J82" s="22" t="str">
        <f t="shared" si="12"/>
        <v>-11,029</v>
      </c>
      <c r="K82" s="16" t="str">
        <f t="shared" si="13"/>
        <v>0.59</v>
      </c>
      <c r="L82" s="13" t="str">
        <f t="shared" si="14"/>
        <v>121638841</v>
      </c>
    </row>
    <row r="83" ht="15.75" customHeight="1">
      <c r="A83" s="13" t="s">
        <v>7</v>
      </c>
      <c r="C83" s="22" t="str">
        <f t="shared" si="15"/>
        <v>123,805</v>
      </c>
      <c r="D83" s="22">
        <v>48953.0</v>
      </c>
      <c r="E83" s="22" t="str">
        <f t="shared" si="16"/>
        <v>29,102</v>
      </c>
      <c r="F83" s="22" t="str">
        <f t="shared" si="17"/>
        <v>103,954</v>
      </c>
      <c r="J83" s="22" t="str">
        <f t="shared" si="12"/>
        <v>19,851</v>
      </c>
      <c r="K83" s="16" t="str">
        <f t="shared" si="13"/>
        <v>0.41</v>
      </c>
      <c r="L83" s="13" t="str">
        <f t="shared" si="14"/>
        <v>394062201</v>
      </c>
    </row>
    <row r="84" ht="15.75" customHeight="1">
      <c r="A84" s="13" t="s">
        <v>8</v>
      </c>
      <c r="C84" s="22" t="str">
        <f t="shared" si="15"/>
        <v>103,954</v>
      </c>
      <c r="D84" s="22">
        <v>1838.0</v>
      </c>
      <c r="E84" s="22" t="str">
        <f t="shared" si="16"/>
        <v>30,146</v>
      </c>
      <c r="F84" s="22" t="str">
        <f t="shared" si="17"/>
        <v>132,262</v>
      </c>
      <c r="J84" s="22" t="str">
        <f t="shared" si="12"/>
        <v>-28,308</v>
      </c>
      <c r="K84" s="16" t="str">
        <f t="shared" si="13"/>
        <v>15.40</v>
      </c>
      <c r="L84" s="13" t="str">
        <f t="shared" si="14"/>
        <v>801342864</v>
      </c>
    </row>
    <row r="85" ht="15.75" customHeight="1">
      <c r="A85" s="13" t="s">
        <v>9</v>
      </c>
      <c r="C85" s="22" t="str">
        <f t="shared" si="15"/>
        <v>132,262</v>
      </c>
      <c r="D85" s="22">
        <v>43675.0</v>
      </c>
      <c r="E85" s="22" t="str">
        <f t="shared" si="16"/>
        <v>28,731</v>
      </c>
      <c r="F85" s="22" t="str">
        <f t="shared" si="17"/>
        <v>117,318</v>
      </c>
      <c r="J85" s="22" t="str">
        <f t="shared" si="12"/>
        <v>14,944</v>
      </c>
      <c r="K85" s="16" t="str">
        <f t="shared" si="13"/>
        <v>0.34</v>
      </c>
      <c r="L85" s="13" t="str">
        <f t="shared" si="14"/>
        <v>223323136</v>
      </c>
    </row>
    <row r="86" ht="15.75" customHeight="1">
      <c r="A86" s="13" t="s">
        <v>10</v>
      </c>
      <c r="C86" s="22" t="str">
        <f t="shared" si="15"/>
        <v>117,318</v>
      </c>
      <c r="D86" s="22">
        <v>31457.0</v>
      </c>
      <c r="E86" s="22" t="str">
        <f t="shared" si="16"/>
        <v>29,443</v>
      </c>
      <c r="F86" s="22" t="str">
        <f t="shared" si="17"/>
        <v>115,304</v>
      </c>
      <c r="J86" s="22" t="str">
        <f t="shared" si="12"/>
        <v>2,014</v>
      </c>
      <c r="K86" s="16" t="str">
        <f t="shared" si="13"/>
        <v>0.06</v>
      </c>
      <c r="L86" s="13" t="str">
        <f t="shared" si="14"/>
        <v>4056196</v>
      </c>
    </row>
    <row r="87" ht="15.75" customHeight="1">
      <c r="A87" s="13" t="s">
        <v>11</v>
      </c>
      <c r="C87" s="22" t="str">
        <f t="shared" si="15"/>
        <v>115,304</v>
      </c>
      <c r="D87" s="22">
        <v>33346.0</v>
      </c>
      <c r="E87" s="22" t="str">
        <f t="shared" si="16"/>
        <v>29,534</v>
      </c>
      <c r="F87" s="22" t="str">
        <f t="shared" si="17"/>
        <v>111,492</v>
      </c>
      <c r="J87" s="22" t="str">
        <f t="shared" si="12"/>
        <v>3,812</v>
      </c>
      <c r="K87" s="16" t="str">
        <f t="shared" si="13"/>
        <v>0.11</v>
      </c>
      <c r="L87" s="13" t="str">
        <f t="shared" si="14"/>
        <v>14531344</v>
      </c>
    </row>
    <row r="88" ht="15.75" customHeight="1">
      <c r="A88" s="13" t="s">
        <v>12</v>
      </c>
      <c r="C88" s="22" t="str">
        <f t="shared" si="15"/>
        <v>111,492</v>
      </c>
      <c r="D88" s="22">
        <v>23677.0</v>
      </c>
      <c r="E88" s="22" t="str">
        <f t="shared" si="16"/>
        <v>29,700</v>
      </c>
      <c r="F88" s="22" t="str">
        <f t="shared" si="17"/>
        <v>117,515</v>
      </c>
      <c r="J88" s="22" t="str">
        <f t="shared" si="12"/>
        <v>-6,023</v>
      </c>
      <c r="K88" s="16" t="str">
        <f t="shared" si="13"/>
        <v>0.25</v>
      </c>
      <c r="L88" s="13" t="str">
        <f t="shared" si="14"/>
        <v>36276529</v>
      </c>
    </row>
    <row r="89" ht="15.75" customHeight="1"/>
    <row r="90" ht="15.75" customHeight="1"/>
    <row r="91" ht="15.75" customHeight="1"/>
    <row r="92" ht="15.75" customHeight="1">
      <c r="B92" s="17" t="s">
        <v>45</v>
      </c>
    </row>
    <row r="93" ht="15.75" customHeight="1">
      <c r="A93" s="13" t="s">
        <v>0</v>
      </c>
      <c r="B93" s="13" t="s">
        <v>18</v>
      </c>
      <c r="C93" s="13" t="s">
        <v>19</v>
      </c>
      <c r="D93" s="13" t="s">
        <v>14</v>
      </c>
      <c r="E93" s="13" t="s">
        <v>20</v>
      </c>
      <c r="F93" s="13" t="s">
        <v>21</v>
      </c>
      <c r="J93" s="13" t="s">
        <v>39</v>
      </c>
      <c r="K93" s="13" t="s">
        <v>40</v>
      </c>
      <c r="L93" s="13" t="s">
        <v>41</v>
      </c>
    </row>
    <row r="94" ht="15.75" customHeight="1">
      <c r="A94" s="13" t="s">
        <v>22</v>
      </c>
      <c r="C94" s="22">
        <v>120816.0</v>
      </c>
      <c r="D94" s="22">
        <v>26203.0</v>
      </c>
      <c r="E94" s="22">
        <v>31258.350000000002</v>
      </c>
      <c r="F94" s="22">
        <v>125871.35</v>
      </c>
      <c r="J94" s="22" t="str">
        <f t="shared" ref="J94:J117" si="18">D94-E94</f>
        <v>-5,055</v>
      </c>
      <c r="K94" s="16" t="str">
        <f t="shared" ref="K94:K117" si="19">ABS(D94-E94)/D94</f>
        <v>0.19</v>
      </c>
      <c r="L94" s="13" t="str">
        <f t="shared" ref="L94:L117" si="20">(D94-E94)^2</f>
        <v>25556563.62</v>
      </c>
    </row>
    <row r="95" ht="15.75" customHeight="1">
      <c r="A95" s="13" t="s">
        <v>23</v>
      </c>
      <c r="C95" s="22">
        <v>125871.35</v>
      </c>
      <c r="D95" s="22">
        <v>33738.0</v>
      </c>
      <c r="E95" s="22">
        <v>28281.364285714284</v>
      </c>
      <c r="F95" s="22">
        <v>120414.71428571429</v>
      </c>
      <c r="J95" s="22" t="str">
        <f t="shared" si="18"/>
        <v>5,457</v>
      </c>
      <c r="K95" s="16" t="str">
        <f t="shared" si="19"/>
        <v>0.16</v>
      </c>
      <c r="L95" s="13" t="str">
        <f t="shared" si="20"/>
        <v>29774873.32</v>
      </c>
    </row>
    <row r="96" ht="15.75" customHeight="1">
      <c r="A96" s="13" t="s">
        <v>3</v>
      </c>
      <c r="C96" s="22">
        <v>120414.71428571429</v>
      </c>
      <c r="D96" s="22">
        <v>18977.0</v>
      </c>
      <c r="E96" s="22">
        <v>31258.350000000002</v>
      </c>
      <c r="F96" s="22">
        <v>132696.0642857143</v>
      </c>
      <c r="J96" s="22" t="str">
        <f t="shared" si="18"/>
        <v>-12,281</v>
      </c>
      <c r="K96" s="16" t="str">
        <f t="shared" si="19"/>
        <v>0.65</v>
      </c>
      <c r="L96" s="13" t="str">
        <f t="shared" si="20"/>
        <v>150831557.8</v>
      </c>
      <c r="M96" s="17" t="s">
        <v>52</v>
      </c>
      <c r="N96" s="13">
        <v>0.5001208364242846</v>
      </c>
      <c r="O96" s="13"/>
      <c r="P96" s="13"/>
      <c r="Q96" s="13"/>
      <c r="R96" s="13"/>
      <c r="S96" s="13"/>
      <c r="T96" s="13"/>
      <c r="U96" s="13"/>
    </row>
    <row r="97" ht="15.75" customHeight="1">
      <c r="A97" s="13" t="s">
        <v>4</v>
      </c>
      <c r="C97" s="22" t="str">
        <f t="shared" ref="C97:C117" si="21">F96</f>
        <v>132,696</v>
      </c>
      <c r="D97" s="22">
        <v>40057.0</v>
      </c>
      <c r="E97" s="13" t="str">
        <f t="shared" ref="E97:E117" si="22">ROUND(N$96*D95+(1-N$96)*E96,0)</f>
        <v>32498</v>
      </c>
      <c r="F97" s="22" t="str">
        <f t="shared" ref="F97:F117" si="23">(C97+E97)-D97</f>
        <v>125,137</v>
      </c>
      <c r="J97" s="22" t="str">
        <f t="shared" si="18"/>
        <v>7,559</v>
      </c>
      <c r="K97" s="16" t="str">
        <f t="shared" si="19"/>
        <v>0.19</v>
      </c>
      <c r="L97" s="13" t="str">
        <f t="shared" si="20"/>
        <v>57138481</v>
      </c>
    </row>
    <row r="98" ht="15.75" customHeight="1">
      <c r="A98" s="13" t="s">
        <v>5</v>
      </c>
      <c r="C98" s="22" t="str">
        <f t="shared" si="21"/>
        <v>125,137</v>
      </c>
      <c r="D98" s="22">
        <v>33429.0</v>
      </c>
      <c r="E98" s="13" t="str">
        <f t="shared" si="22"/>
        <v>25736</v>
      </c>
      <c r="F98" s="22" t="str">
        <f t="shared" si="23"/>
        <v>117,444</v>
      </c>
      <c r="J98" s="22" t="str">
        <f t="shared" si="18"/>
        <v>7,693</v>
      </c>
      <c r="K98" s="16" t="str">
        <f t="shared" si="19"/>
        <v>0.23</v>
      </c>
      <c r="L98" s="13" t="str">
        <f t="shared" si="20"/>
        <v>59182249</v>
      </c>
    </row>
    <row r="99" ht="15.75" customHeight="1">
      <c r="A99" s="13" t="s">
        <v>6</v>
      </c>
      <c r="C99" s="22" t="str">
        <f t="shared" si="21"/>
        <v>117,444</v>
      </c>
      <c r="D99" s="22">
        <v>18070.0</v>
      </c>
      <c r="E99" s="13" t="str">
        <f t="shared" si="22"/>
        <v>32898</v>
      </c>
      <c r="F99" s="22" t="str">
        <f t="shared" si="23"/>
        <v>132,272</v>
      </c>
      <c r="J99" s="22" t="str">
        <f t="shared" si="18"/>
        <v>-14,828</v>
      </c>
      <c r="K99" s="16" t="str">
        <f t="shared" si="19"/>
        <v>0.82</v>
      </c>
      <c r="L99" s="13" t="str">
        <f t="shared" si="20"/>
        <v>219869584</v>
      </c>
    </row>
    <row r="100" ht="15.75" customHeight="1">
      <c r="A100" s="13" t="s">
        <v>7</v>
      </c>
      <c r="C100" s="22" t="str">
        <f t="shared" si="21"/>
        <v>132,272</v>
      </c>
      <c r="D100" s="22">
        <v>47283.0</v>
      </c>
      <c r="E100" s="13" t="str">
        <f t="shared" si="22"/>
        <v>33164</v>
      </c>
      <c r="F100" s="22" t="str">
        <f t="shared" si="23"/>
        <v>118,153</v>
      </c>
      <c r="J100" s="22" t="str">
        <f t="shared" si="18"/>
        <v>14,119</v>
      </c>
      <c r="K100" s="16" t="str">
        <f t="shared" si="19"/>
        <v>0.30</v>
      </c>
      <c r="L100" s="13" t="str">
        <f t="shared" si="20"/>
        <v>199346161</v>
      </c>
    </row>
    <row r="101" ht="15.75" customHeight="1">
      <c r="A101" s="13" t="s">
        <v>8</v>
      </c>
      <c r="C101" s="22" t="str">
        <f t="shared" si="21"/>
        <v>118,153</v>
      </c>
      <c r="D101" s="22">
        <v>1852.0</v>
      </c>
      <c r="E101" s="13" t="str">
        <f t="shared" si="22"/>
        <v>25615</v>
      </c>
      <c r="F101" s="22" t="str">
        <f t="shared" si="23"/>
        <v>141,916</v>
      </c>
      <c r="J101" s="22" t="str">
        <f t="shared" si="18"/>
        <v>-23,763</v>
      </c>
      <c r="K101" s="16" t="str">
        <f t="shared" si="19"/>
        <v>12.83</v>
      </c>
      <c r="L101" s="13" t="str">
        <f t="shared" si="20"/>
        <v>564680169</v>
      </c>
    </row>
    <row r="102" ht="15.75" customHeight="1">
      <c r="A102" s="13" t="s">
        <v>9</v>
      </c>
      <c r="C102" s="22" t="str">
        <f t="shared" si="21"/>
        <v>141,916</v>
      </c>
      <c r="D102" s="22">
        <v>42170.0</v>
      </c>
      <c r="E102" s="13" t="str">
        <f t="shared" si="22"/>
        <v>36452</v>
      </c>
      <c r="F102" s="22" t="str">
        <f t="shared" si="23"/>
        <v>136,198</v>
      </c>
      <c r="J102" s="22" t="str">
        <f t="shared" si="18"/>
        <v>5,718</v>
      </c>
      <c r="K102" s="16" t="str">
        <f t="shared" si="19"/>
        <v>0.14</v>
      </c>
      <c r="L102" s="13" t="str">
        <f t="shared" si="20"/>
        <v>32695524</v>
      </c>
    </row>
    <row r="103" ht="15.75" customHeight="1">
      <c r="A103" s="13" t="s">
        <v>10</v>
      </c>
      <c r="C103" s="22" t="str">
        <f t="shared" si="21"/>
        <v>136,198</v>
      </c>
      <c r="D103" s="22">
        <v>30419.0</v>
      </c>
      <c r="E103" s="13" t="str">
        <f t="shared" si="22"/>
        <v>19148</v>
      </c>
      <c r="F103" s="22" t="str">
        <f t="shared" si="23"/>
        <v>124,927</v>
      </c>
      <c r="J103" s="22" t="str">
        <f t="shared" si="18"/>
        <v>11,271</v>
      </c>
      <c r="K103" s="16" t="str">
        <f t="shared" si="19"/>
        <v>0.37</v>
      </c>
      <c r="L103" s="13" t="str">
        <f t="shared" si="20"/>
        <v>127035441</v>
      </c>
    </row>
    <row r="104" ht="15.75" customHeight="1">
      <c r="A104" s="13" t="s">
        <v>11</v>
      </c>
      <c r="C104" s="22" t="str">
        <f t="shared" si="21"/>
        <v>124,927</v>
      </c>
      <c r="D104" s="22">
        <v>32223.0</v>
      </c>
      <c r="E104" s="13" t="str">
        <f t="shared" si="22"/>
        <v>30662</v>
      </c>
      <c r="F104" s="22" t="str">
        <f t="shared" si="23"/>
        <v>123,366</v>
      </c>
      <c r="J104" s="22" t="str">
        <f t="shared" si="18"/>
        <v>1,561</v>
      </c>
      <c r="K104" s="16" t="str">
        <f t="shared" si="19"/>
        <v>0.05</v>
      </c>
      <c r="L104" s="13" t="str">
        <f t="shared" si="20"/>
        <v>2436721</v>
      </c>
    </row>
    <row r="105" ht="15.75" customHeight="1">
      <c r="A105" s="13" t="s">
        <v>12</v>
      </c>
      <c r="C105" s="22" t="str">
        <f t="shared" si="21"/>
        <v>123,366</v>
      </c>
      <c r="D105" s="22">
        <v>22894.0</v>
      </c>
      <c r="E105" s="13" t="str">
        <f t="shared" si="22"/>
        <v>30540</v>
      </c>
      <c r="F105" s="22" t="str">
        <f t="shared" si="23"/>
        <v>131,012</v>
      </c>
      <c r="J105" s="22" t="str">
        <f t="shared" si="18"/>
        <v>-7,646</v>
      </c>
      <c r="K105" s="16" t="str">
        <f t="shared" si="19"/>
        <v>0.33</v>
      </c>
      <c r="L105" s="13" t="str">
        <f t="shared" si="20"/>
        <v>58461316</v>
      </c>
    </row>
    <row r="106" ht="15.75" customHeight="1">
      <c r="A106" s="13" t="s">
        <v>22</v>
      </c>
      <c r="B106" s="13"/>
      <c r="C106" s="22" t="str">
        <f t="shared" si="21"/>
        <v>131,012</v>
      </c>
      <c r="D106" s="22">
        <v>27135.0</v>
      </c>
      <c r="E106" s="13" t="str">
        <f t="shared" si="22"/>
        <v>31382</v>
      </c>
      <c r="F106" s="22" t="str">
        <f t="shared" si="23"/>
        <v>135,259</v>
      </c>
      <c r="J106" s="22" t="str">
        <f t="shared" si="18"/>
        <v>-4,247</v>
      </c>
      <c r="K106" s="16" t="str">
        <f t="shared" si="19"/>
        <v>0.16</v>
      </c>
      <c r="L106" s="13" t="str">
        <f t="shared" si="20"/>
        <v>18037009</v>
      </c>
    </row>
    <row r="107" ht="15.75" customHeight="1">
      <c r="A107" s="13" t="s">
        <v>23</v>
      </c>
      <c r="C107" s="22" t="str">
        <f t="shared" si="21"/>
        <v>135,259</v>
      </c>
      <c r="D107" s="22">
        <v>34962.0</v>
      </c>
      <c r="E107" s="13" t="str">
        <f t="shared" si="22"/>
        <v>27137</v>
      </c>
      <c r="F107" s="22" t="str">
        <f t="shared" si="23"/>
        <v>127,434</v>
      </c>
      <c r="J107" s="22" t="str">
        <f t="shared" si="18"/>
        <v>7,825</v>
      </c>
      <c r="K107" s="16" t="str">
        <f t="shared" si="19"/>
        <v>0.22</v>
      </c>
      <c r="L107" s="13" t="str">
        <f t="shared" si="20"/>
        <v>61230625</v>
      </c>
    </row>
    <row r="108" ht="15.75" customHeight="1">
      <c r="A108" s="13" t="s">
        <v>3</v>
      </c>
      <c r="C108" s="22" t="str">
        <f t="shared" si="21"/>
        <v>127,434</v>
      </c>
      <c r="D108" s="22">
        <v>19637.0</v>
      </c>
      <c r="E108" s="13" t="str">
        <f t="shared" si="22"/>
        <v>27136</v>
      </c>
      <c r="F108" s="22" t="str">
        <f t="shared" si="23"/>
        <v>134,933</v>
      </c>
      <c r="J108" s="22" t="str">
        <f t="shared" si="18"/>
        <v>-7,499</v>
      </c>
      <c r="K108" s="16" t="str">
        <f t="shared" si="19"/>
        <v>0.38</v>
      </c>
      <c r="L108" s="13" t="str">
        <f t="shared" si="20"/>
        <v>56235001</v>
      </c>
    </row>
    <row r="109" ht="15.75" customHeight="1">
      <c r="A109" s="13" t="s">
        <v>4</v>
      </c>
      <c r="C109" s="22" t="str">
        <f t="shared" si="21"/>
        <v>134,933</v>
      </c>
      <c r="D109" s="22">
        <v>41514.0</v>
      </c>
      <c r="E109" s="13" t="str">
        <f t="shared" si="22"/>
        <v>31050</v>
      </c>
      <c r="F109" s="22" t="str">
        <f t="shared" si="23"/>
        <v>124,469</v>
      </c>
      <c r="J109" s="22" t="str">
        <f t="shared" si="18"/>
        <v>10,464</v>
      </c>
      <c r="K109" s="16" t="str">
        <f t="shared" si="19"/>
        <v>0.25</v>
      </c>
      <c r="L109" s="13" t="str">
        <f t="shared" si="20"/>
        <v>109495296</v>
      </c>
    </row>
    <row r="110" ht="15.75" customHeight="1">
      <c r="A110" s="13" t="s">
        <v>5</v>
      </c>
      <c r="C110" s="22" t="str">
        <f t="shared" si="21"/>
        <v>124,469</v>
      </c>
      <c r="D110" s="22">
        <v>34581.0</v>
      </c>
      <c r="E110" s="13" t="str">
        <f t="shared" si="22"/>
        <v>25342</v>
      </c>
      <c r="F110" s="22" t="str">
        <f t="shared" si="23"/>
        <v>115,230</v>
      </c>
      <c r="J110" s="22" t="str">
        <f t="shared" si="18"/>
        <v>9,239</v>
      </c>
      <c r="K110" s="16" t="str">
        <f t="shared" si="19"/>
        <v>0.27</v>
      </c>
      <c r="L110" s="13" t="str">
        <f t="shared" si="20"/>
        <v>85359121</v>
      </c>
    </row>
    <row r="111" ht="15.75" customHeight="1">
      <c r="A111" s="13" t="s">
        <v>6</v>
      </c>
      <c r="C111" s="22" t="str">
        <f t="shared" si="21"/>
        <v>115,230</v>
      </c>
      <c r="D111" s="22">
        <v>18685.0</v>
      </c>
      <c r="E111" s="13" t="str">
        <f t="shared" si="22"/>
        <v>33430</v>
      </c>
      <c r="F111" s="22" t="str">
        <f t="shared" si="23"/>
        <v>129,975</v>
      </c>
      <c r="J111" s="22" t="str">
        <f t="shared" si="18"/>
        <v>-14,745</v>
      </c>
      <c r="K111" s="16" t="str">
        <f t="shared" si="19"/>
        <v>0.79</v>
      </c>
      <c r="L111" s="13" t="str">
        <f t="shared" si="20"/>
        <v>217415025</v>
      </c>
    </row>
    <row r="112" ht="15.75" customHeight="1">
      <c r="A112" s="13" t="s">
        <v>7</v>
      </c>
      <c r="C112" s="22" t="str">
        <f t="shared" si="21"/>
        <v>129,975</v>
      </c>
      <c r="D112" s="22">
        <v>48953.0</v>
      </c>
      <c r="E112" s="13" t="str">
        <f t="shared" si="22"/>
        <v>34006</v>
      </c>
      <c r="F112" s="22" t="str">
        <f t="shared" si="23"/>
        <v>115,028</v>
      </c>
      <c r="J112" s="22" t="str">
        <f t="shared" si="18"/>
        <v>14,947</v>
      </c>
      <c r="K112" s="16" t="str">
        <f t="shared" si="19"/>
        <v>0.31</v>
      </c>
      <c r="L112" s="13" t="str">
        <f t="shared" si="20"/>
        <v>223412809</v>
      </c>
    </row>
    <row r="113" ht="15.75" customHeight="1">
      <c r="A113" s="13" t="s">
        <v>8</v>
      </c>
      <c r="C113" s="22" t="str">
        <f t="shared" si="21"/>
        <v>115,028</v>
      </c>
      <c r="D113" s="22">
        <v>1838.0</v>
      </c>
      <c r="E113" s="13" t="str">
        <f t="shared" si="22"/>
        <v>26344</v>
      </c>
      <c r="F113" s="22" t="str">
        <f t="shared" si="23"/>
        <v>139,534</v>
      </c>
      <c r="J113" s="22" t="str">
        <f t="shared" si="18"/>
        <v>-24,506</v>
      </c>
      <c r="K113" s="16" t="str">
        <f t="shared" si="19"/>
        <v>13.33</v>
      </c>
      <c r="L113" s="13" t="str">
        <f t="shared" si="20"/>
        <v>600544036</v>
      </c>
    </row>
    <row r="114" ht="15.75" customHeight="1">
      <c r="A114" s="13" t="s">
        <v>9</v>
      </c>
      <c r="C114" s="22" t="str">
        <f t="shared" si="21"/>
        <v>139,534</v>
      </c>
      <c r="D114" s="22">
        <v>43675.0</v>
      </c>
      <c r="E114" s="13" t="str">
        <f t="shared" si="22"/>
        <v>37651</v>
      </c>
      <c r="F114" s="22" t="str">
        <f t="shared" si="23"/>
        <v>133,510</v>
      </c>
      <c r="J114" s="22" t="str">
        <f t="shared" si="18"/>
        <v>6,024</v>
      </c>
      <c r="K114" s="16" t="str">
        <f t="shared" si="19"/>
        <v>0.14</v>
      </c>
      <c r="L114" s="13" t="str">
        <f t="shared" si="20"/>
        <v>36288576</v>
      </c>
    </row>
    <row r="115" ht="15.75" customHeight="1">
      <c r="A115" s="13" t="s">
        <v>10</v>
      </c>
      <c r="C115" s="22" t="str">
        <f t="shared" si="21"/>
        <v>133,510</v>
      </c>
      <c r="D115" s="22">
        <v>31457.0</v>
      </c>
      <c r="E115" s="13" t="str">
        <f t="shared" si="22"/>
        <v>19740</v>
      </c>
      <c r="F115" s="22" t="str">
        <f t="shared" si="23"/>
        <v>121,793</v>
      </c>
      <c r="J115" s="22" t="str">
        <f t="shared" si="18"/>
        <v>11,717</v>
      </c>
      <c r="K115" s="16" t="str">
        <f t="shared" si="19"/>
        <v>0.37</v>
      </c>
      <c r="L115" s="13" t="str">
        <f t="shared" si="20"/>
        <v>137288089</v>
      </c>
    </row>
    <row r="116" ht="15.75" customHeight="1">
      <c r="A116" s="13" t="s">
        <v>11</v>
      </c>
      <c r="C116" s="22" t="str">
        <f t="shared" si="21"/>
        <v>121,793</v>
      </c>
      <c r="D116" s="22">
        <v>33346.0</v>
      </c>
      <c r="E116" s="13" t="str">
        <f t="shared" si="22"/>
        <v>31710</v>
      </c>
      <c r="F116" s="22" t="str">
        <f t="shared" si="23"/>
        <v>120,157</v>
      </c>
      <c r="J116" s="22" t="str">
        <f t="shared" si="18"/>
        <v>1,636</v>
      </c>
      <c r="K116" s="16" t="str">
        <f t="shared" si="19"/>
        <v>0.05</v>
      </c>
      <c r="L116" s="13" t="str">
        <f t="shared" si="20"/>
        <v>2676496</v>
      </c>
    </row>
    <row r="117" ht="15.75" customHeight="1">
      <c r="A117" s="13" t="s">
        <v>12</v>
      </c>
      <c r="C117" s="22" t="str">
        <f t="shared" si="21"/>
        <v>120,157</v>
      </c>
      <c r="D117" s="22">
        <v>23677.0</v>
      </c>
      <c r="E117" s="13" t="str">
        <f t="shared" si="22"/>
        <v>31583</v>
      </c>
      <c r="F117" s="22" t="str">
        <f t="shared" si="23"/>
        <v>128,063</v>
      </c>
      <c r="J117" s="22" t="str">
        <f t="shared" si="18"/>
        <v>-7,906</v>
      </c>
      <c r="K117" s="16" t="str">
        <f t="shared" si="19"/>
        <v>0.33</v>
      </c>
      <c r="L117" s="13" t="str">
        <f t="shared" si="20"/>
        <v>62504836</v>
      </c>
    </row>
    <row r="118" ht="15.75" customHeight="1">
      <c r="A118" s="13"/>
      <c r="C118" s="22"/>
      <c r="D118" s="22"/>
      <c r="F118" s="22"/>
      <c r="J118" s="22"/>
      <c r="K118" s="16"/>
    </row>
    <row r="119" ht="15.75" customHeight="1">
      <c r="A119" s="13"/>
      <c r="B119" s="17" t="s">
        <v>46</v>
      </c>
      <c r="C119" s="22"/>
      <c r="D119" s="22"/>
      <c r="F119" s="22"/>
      <c r="J119" s="22"/>
      <c r="K119" s="16"/>
    </row>
    <row r="120" ht="15.75" customHeight="1">
      <c r="A120" s="13"/>
      <c r="C120" s="22"/>
      <c r="D120" s="22"/>
      <c r="F120" s="22"/>
      <c r="J120" s="22"/>
      <c r="K120" s="16"/>
    </row>
    <row r="121" ht="15.75" customHeight="1">
      <c r="A121" s="13" t="s">
        <v>0</v>
      </c>
      <c r="B121" s="13" t="s">
        <v>18</v>
      </c>
      <c r="C121" s="13" t="s">
        <v>19</v>
      </c>
      <c r="D121" s="13" t="s">
        <v>14</v>
      </c>
      <c r="E121" s="13" t="s">
        <v>20</v>
      </c>
      <c r="F121" s="13" t="s">
        <v>21</v>
      </c>
      <c r="J121" s="13" t="s">
        <v>39</v>
      </c>
      <c r="K121" s="13" t="s">
        <v>40</v>
      </c>
      <c r="L121" s="13" t="s">
        <v>41</v>
      </c>
    </row>
    <row r="122" ht="15.75" customHeight="1">
      <c r="A122" s="13" t="s">
        <v>22</v>
      </c>
      <c r="C122" s="22">
        <v>120816.0</v>
      </c>
      <c r="D122" s="22">
        <v>26203.0</v>
      </c>
      <c r="E122" s="22">
        <v>31258.350000000002</v>
      </c>
      <c r="F122" s="22">
        <v>125871.35</v>
      </c>
      <c r="J122" s="22" t="str">
        <f t="shared" ref="J122:J145" si="24">D122-E122</f>
        <v>-5,055</v>
      </c>
      <c r="K122" s="16" t="str">
        <f t="shared" ref="K122:K145" si="25">ABS(D122-E122)/D122</f>
        <v>0.19</v>
      </c>
      <c r="L122" s="13" t="str">
        <f t="shared" ref="L122:L145" si="26">(D122-E122)^2</f>
        <v>25556563.62</v>
      </c>
    </row>
    <row r="123" ht="15.75" customHeight="1">
      <c r="A123" s="13" t="s">
        <v>23</v>
      </c>
      <c r="C123" s="22" t="str">
        <f t="shared" ref="C123:C145" si="27">F122</f>
        <v>125,871</v>
      </c>
      <c r="D123" s="22">
        <v>33738.0</v>
      </c>
      <c r="E123" s="22" t="str">
        <f t="shared" ref="E123:E145" si="28">D122</f>
        <v>26,203</v>
      </c>
      <c r="F123" s="22" t="str">
        <f t="shared" ref="F123:F145" si="29">(C123+E123)-D123</f>
        <v>118,336</v>
      </c>
      <c r="J123" s="22" t="str">
        <f t="shared" si="24"/>
        <v>7,535</v>
      </c>
      <c r="K123" s="16" t="str">
        <f t="shared" si="25"/>
        <v>0.22</v>
      </c>
      <c r="L123" s="13" t="str">
        <f t="shared" si="26"/>
        <v>56776225</v>
      </c>
    </row>
    <row r="124" ht="15.75" customHeight="1">
      <c r="A124" s="13" t="s">
        <v>3</v>
      </c>
      <c r="C124" s="22" t="str">
        <f t="shared" si="27"/>
        <v>118,336</v>
      </c>
      <c r="D124" s="22">
        <v>18977.0</v>
      </c>
      <c r="E124" s="22" t="str">
        <f t="shared" si="28"/>
        <v>33,738</v>
      </c>
      <c r="F124" s="22" t="str">
        <f t="shared" si="29"/>
        <v>133,097</v>
      </c>
      <c r="J124" s="22" t="str">
        <f t="shared" si="24"/>
        <v>-14,761</v>
      </c>
      <c r="K124" s="16" t="str">
        <f t="shared" si="25"/>
        <v>0.78</v>
      </c>
      <c r="L124" s="13" t="str">
        <f t="shared" si="26"/>
        <v>217887121</v>
      </c>
    </row>
    <row r="125" ht="15.75" customHeight="1">
      <c r="A125" s="13" t="s">
        <v>4</v>
      </c>
      <c r="C125" s="22" t="str">
        <f t="shared" si="27"/>
        <v>133,097</v>
      </c>
      <c r="D125" s="22">
        <v>40057.0</v>
      </c>
      <c r="E125" s="22" t="str">
        <f t="shared" si="28"/>
        <v>18,977</v>
      </c>
      <c r="F125" s="22" t="str">
        <f t="shared" si="29"/>
        <v>112,017</v>
      </c>
      <c r="J125" s="22" t="str">
        <f t="shared" si="24"/>
        <v>21,080</v>
      </c>
      <c r="K125" s="16" t="str">
        <f t="shared" si="25"/>
        <v>0.53</v>
      </c>
      <c r="L125" s="13" t="str">
        <f t="shared" si="26"/>
        <v>444366400</v>
      </c>
    </row>
    <row r="126" ht="15.75" customHeight="1">
      <c r="A126" s="13" t="s">
        <v>5</v>
      </c>
      <c r="C126" s="22" t="str">
        <f t="shared" si="27"/>
        <v>112,017</v>
      </c>
      <c r="D126" s="22">
        <v>33429.0</v>
      </c>
      <c r="E126" s="22" t="str">
        <f t="shared" si="28"/>
        <v>40,057</v>
      </c>
      <c r="F126" s="22" t="str">
        <f t="shared" si="29"/>
        <v>118,645</v>
      </c>
      <c r="J126" s="22" t="str">
        <f t="shared" si="24"/>
        <v>-6,628</v>
      </c>
      <c r="K126" s="16" t="str">
        <f t="shared" si="25"/>
        <v>0.20</v>
      </c>
      <c r="L126" s="13" t="str">
        <f t="shared" si="26"/>
        <v>43930384</v>
      </c>
    </row>
    <row r="127" ht="15.75" customHeight="1">
      <c r="A127" s="13" t="s">
        <v>6</v>
      </c>
      <c r="C127" s="22" t="str">
        <f t="shared" si="27"/>
        <v>118,645</v>
      </c>
      <c r="D127" s="22">
        <v>18070.0</v>
      </c>
      <c r="E127" s="22" t="str">
        <f t="shared" si="28"/>
        <v>33,429</v>
      </c>
      <c r="F127" s="22" t="str">
        <f t="shared" si="29"/>
        <v>134,004</v>
      </c>
      <c r="J127" s="22" t="str">
        <f t="shared" si="24"/>
        <v>-15,359</v>
      </c>
      <c r="K127" s="16" t="str">
        <f t="shared" si="25"/>
        <v>0.85</v>
      </c>
      <c r="L127" s="13" t="str">
        <f t="shared" si="26"/>
        <v>235898881</v>
      </c>
    </row>
    <row r="128" ht="15.75" customHeight="1">
      <c r="A128" s="13" t="s">
        <v>7</v>
      </c>
      <c r="C128" s="22" t="str">
        <f t="shared" si="27"/>
        <v>134,004</v>
      </c>
      <c r="D128" s="22">
        <v>47283.0</v>
      </c>
      <c r="E128" s="22" t="str">
        <f t="shared" si="28"/>
        <v>18,070</v>
      </c>
      <c r="F128" s="22" t="str">
        <f t="shared" si="29"/>
        <v>104,791</v>
      </c>
      <c r="J128" s="22" t="str">
        <f t="shared" si="24"/>
        <v>29,213</v>
      </c>
      <c r="K128" s="16" t="str">
        <f t="shared" si="25"/>
        <v>0.62</v>
      </c>
      <c r="L128" s="13" t="str">
        <f t="shared" si="26"/>
        <v>853399369</v>
      </c>
    </row>
    <row r="129" ht="15.75" customHeight="1">
      <c r="A129" s="13" t="s">
        <v>8</v>
      </c>
      <c r="C129" s="22" t="str">
        <f t="shared" si="27"/>
        <v>104,791</v>
      </c>
      <c r="D129" s="22">
        <v>1852.0</v>
      </c>
      <c r="E129" s="22" t="str">
        <f t="shared" si="28"/>
        <v>47,283</v>
      </c>
      <c r="F129" s="22" t="str">
        <f t="shared" si="29"/>
        <v>150,222</v>
      </c>
      <c r="J129" s="22" t="str">
        <f t="shared" si="24"/>
        <v>-45,431</v>
      </c>
      <c r="K129" s="16" t="str">
        <f t="shared" si="25"/>
        <v>24.53</v>
      </c>
      <c r="L129" s="13" t="str">
        <f t="shared" si="26"/>
        <v>2063975761</v>
      </c>
    </row>
    <row r="130" ht="15.75" customHeight="1">
      <c r="A130" s="13" t="s">
        <v>9</v>
      </c>
      <c r="C130" s="22" t="str">
        <f t="shared" si="27"/>
        <v>150,222</v>
      </c>
      <c r="D130" s="22">
        <v>42170.0</v>
      </c>
      <c r="E130" s="22" t="str">
        <f t="shared" si="28"/>
        <v>1,852</v>
      </c>
      <c r="F130" s="22" t="str">
        <f t="shared" si="29"/>
        <v>109,904</v>
      </c>
      <c r="J130" s="22" t="str">
        <f t="shared" si="24"/>
        <v>40,318</v>
      </c>
      <c r="K130" s="16" t="str">
        <f t="shared" si="25"/>
        <v>0.96</v>
      </c>
      <c r="L130" s="13" t="str">
        <f t="shared" si="26"/>
        <v>1625541124</v>
      </c>
    </row>
    <row r="131" ht="15.75" customHeight="1">
      <c r="A131" s="13" t="s">
        <v>10</v>
      </c>
      <c r="C131" s="22" t="str">
        <f t="shared" si="27"/>
        <v>109,904</v>
      </c>
      <c r="D131" s="22">
        <v>30419.0</v>
      </c>
      <c r="E131" s="22" t="str">
        <f t="shared" si="28"/>
        <v>42,170</v>
      </c>
      <c r="F131" s="22" t="str">
        <f t="shared" si="29"/>
        <v>121,655</v>
      </c>
      <c r="J131" s="22" t="str">
        <f t="shared" si="24"/>
        <v>-11,751</v>
      </c>
      <c r="K131" s="16" t="str">
        <f t="shared" si="25"/>
        <v>0.39</v>
      </c>
      <c r="L131" s="13" t="str">
        <f t="shared" si="26"/>
        <v>138086001</v>
      </c>
    </row>
    <row r="132" ht="15.75" customHeight="1">
      <c r="A132" s="13" t="s">
        <v>11</v>
      </c>
      <c r="C132" s="22" t="str">
        <f t="shared" si="27"/>
        <v>121,655</v>
      </c>
      <c r="D132" s="22">
        <v>32223.0</v>
      </c>
      <c r="E132" s="22" t="str">
        <f t="shared" si="28"/>
        <v>30,419</v>
      </c>
      <c r="F132" s="22" t="str">
        <f t="shared" si="29"/>
        <v>119,851</v>
      </c>
      <c r="J132" s="22" t="str">
        <f t="shared" si="24"/>
        <v>1,804</v>
      </c>
      <c r="K132" s="16" t="str">
        <f t="shared" si="25"/>
        <v>0.06</v>
      </c>
      <c r="L132" s="13" t="str">
        <f t="shared" si="26"/>
        <v>3254416</v>
      </c>
    </row>
    <row r="133" ht="15.75" customHeight="1">
      <c r="A133" s="13" t="s">
        <v>12</v>
      </c>
      <c r="C133" s="22" t="str">
        <f t="shared" si="27"/>
        <v>119,851</v>
      </c>
      <c r="D133" s="22">
        <v>22894.0</v>
      </c>
      <c r="E133" s="22" t="str">
        <f t="shared" si="28"/>
        <v>32,223</v>
      </c>
      <c r="F133" s="22" t="str">
        <f t="shared" si="29"/>
        <v>129,180</v>
      </c>
      <c r="J133" s="22" t="str">
        <f t="shared" si="24"/>
        <v>-9,329</v>
      </c>
      <c r="K133" s="16" t="str">
        <f t="shared" si="25"/>
        <v>0.41</v>
      </c>
      <c r="L133" s="13" t="str">
        <f t="shared" si="26"/>
        <v>87030241</v>
      </c>
    </row>
    <row r="134" ht="15.75" customHeight="1">
      <c r="A134" s="13" t="s">
        <v>22</v>
      </c>
      <c r="B134" s="13"/>
      <c r="C134" s="22" t="str">
        <f t="shared" si="27"/>
        <v>129,180</v>
      </c>
      <c r="D134" s="22">
        <v>27135.0</v>
      </c>
      <c r="E134" s="22" t="str">
        <f t="shared" si="28"/>
        <v>22,894</v>
      </c>
      <c r="F134" s="22" t="str">
        <f t="shared" si="29"/>
        <v>124,939</v>
      </c>
      <c r="J134" s="22" t="str">
        <f t="shared" si="24"/>
        <v>4,241</v>
      </c>
      <c r="K134" s="16" t="str">
        <f t="shared" si="25"/>
        <v>0.16</v>
      </c>
      <c r="L134" s="13" t="str">
        <f t="shared" si="26"/>
        <v>17986081</v>
      </c>
    </row>
    <row r="135" ht="15.75" customHeight="1">
      <c r="A135" s="13" t="s">
        <v>23</v>
      </c>
      <c r="C135" s="22" t="str">
        <f t="shared" si="27"/>
        <v>124,939</v>
      </c>
      <c r="D135" s="22">
        <v>34962.0</v>
      </c>
      <c r="E135" s="22" t="str">
        <f t="shared" si="28"/>
        <v>27,135</v>
      </c>
      <c r="F135" s="22" t="str">
        <f t="shared" si="29"/>
        <v>117,112</v>
      </c>
      <c r="J135" s="22" t="str">
        <f t="shared" si="24"/>
        <v>7,827</v>
      </c>
      <c r="K135" s="16" t="str">
        <f t="shared" si="25"/>
        <v>0.22</v>
      </c>
      <c r="L135" s="13" t="str">
        <f t="shared" si="26"/>
        <v>61261929</v>
      </c>
    </row>
    <row r="136" ht="15.75" customHeight="1">
      <c r="A136" s="13" t="s">
        <v>3</v>
      </c>
      <c r="C136" s="22" t="str">
        <f t="shared" si="27"/>
        <v>117,112</v>
      </c>
      <c r="D136" s="22">
        <v>19637.0</v>
      </c>
      <c r="E136" s="22" t="str">
        <f t="shared" si="28"/>
        <v>34,962</v>
      </c>
      <c r="F136" s="22" t="str">
        <f t="shared" si="29"/>
        <v>132,437</v>
      </c>
      <c r="J136" s="22" t="str">
        <f t="shared" si="24"/>
        <v>-15,325</v>
      </c>
      <c r="K136" s="16" t="str">
        <f t="shared" si="25"/>
        <v>0.78</v>
      </c>
      <c r="L136" s="13" t="str">
        <f t="shared" si="26"/>
        <v>234855625</v>
      </c>
    </row>
    <row r="137" ht="15.75" customHeight="1">
      <c r="A137" s="13" t="s">
        <v>4</v>
      </c>
      <c r="C137" s="22" t="str">
        <f t="shared" si="27"/>
        <v>132,437</v>
      </c>
      <c r="D137" s="22">
        <v>41514.0</v>
      </c>
      <c r="E137" s="22" t="str">
        <f t="shared" si="28"/>
        <v>19,637</v>
      </c>
      <c r="F137" s="22" t="str">
        <f t="shared" si="29"/>
        <v>110,560</v>
      </c>
      <c r="J137" s="22" t="str">
        <f t="shared" si="24"/>
        <v>21,877</v>
      </c>
      <c r="K137" s="16" t="str">
        <f t="shared" si="25"/>
        <v>0.53</v>
      </c>
      <c r="L137" s="13" t="str">
        <f t="shared" si="26"/>
        <v>478603129</v>
      </c>
    </row>
    <row r="138" ht="15.75" customHeight="1">
      <c r="A138" s="13" t="s">
        <v>5</v>
      </c>
      <c r="C138" s="22" t="str">
        <f t="shared" si="27"/>
        <v>110,560</v>
      </c>
      <c r="D138" s="22">
        <v>34581.0</v>
      </c>
      <c r="E138" s="22" t="str">
        <f t="shared" si="28"/>
        <v>41,514</v>
      </c>
      <c r="F138" s="22" t="str">
        <f t="shared" si="29"/>
        <v>117,493</v>
      </c>
      <c r="J138" s="22" t="str">
        <f t="shared" si="24"/>
        <v>-6,933</v>
      </c>
      <c r="K138" s="16" t="str">
        <f t="shared" si="25"/>
        <v>0.20</v>
      </c>
      <c r="L138" s="13" t="str">
        <f t="shared" si="26"/>
        <v>48066489</v>
      </c>
    </row>
    <row r="139" ht="15.75" customHeight="1">
      <c r="A139" s="13" t="s">
        <v>6</v>
      </c>
      <c r="C139" s="22" t="str">
        <f t="shared" si="27"/>
        <v>117,493</v>
      </c>
      <c r="D139" s="22">
        <v>18685.0</v>
      </c>
      <c r="E139" s="22" t="str">
        <f t="shared" si="28"/>
        <v>34,581</v>
      </c>
      <c r="F139" s="22" t="str">
        <f t="shared" si="29"/>
        <v>133,389</v>
      </c>
      <c r="J139" s="22" t="str">
        <f t="shared" si="24"/>
        <v>-15,896</v>
      </c>
      <c r="K139" s="16" t="str">
        <f t="shared" si="25"/>
        <v>0.85</v>
      </c>
      <c r="L139" s="13" t="str">
        <f t="shared" si="26"/>
        <v>252682816</v>
      </c>
    </row>
    <row r="140" ht="15.75" customHeight="1">
      <c r="A140" s="13" t="s">
        <v>7</v>
      </c>
      <c r="C140" s="22" t="str">
        <f t="shared" si="27"/>
        <v>133,389</v>
      </c>
      <c r="D140" s="22">
        <v>48953.0</v>
      </c>
      <c r="E140" s="22" t="str">
        <f t="shared" si="28"/>
        <v>18,685</v>
      </c>
      <c r="F140" s="22" t="str">
        <f t="shared" si="29"/>
        <v>103,121</v>
      </c>
      <c r="J140" s="22" t="str">
        <f t="shared" si="24"/>
        <v>30,268</v>
      </c>
      <c r="K140" s="16" t="str">
        <f t="shared" si="25"/>
        <v>0.62</v>
      </c>
      <c r="L140" s="13" t="str">
        <f t="shared" si="26"/>
        <v>916151824</v>
      </c>
    </row>
    <row r="141" ht="15.75" customHeight="1">
      <c r="A141" s="13" t="s">
        <v>8</v>
      </c>
      <c r="C141" s="22" t="str">
        <f t="shared" si="27"/>
        <v>103,121</v>
      </c>
      <c r="D141" s="22">
        <v>1838.0</v>
      </c>
      <c r="E141" s="22" t="str">
        <f t="shared" si="28"/>
        <v>48,953</v>
      </c>
      <c r="F141" s="22" t="str">
        <f t="shared" si="29"/>
        <v>150,236</v>
      </c>
      <c r="J141" s="22" t="str">
        <f t="shared" si="24"/>
        <v>-47,115</v>
      </c>
      <c r="K141" s="16" t="str">
        <f t="shared" si="25"/>
        <v>25.63</v>
      </c>
      <c r="L141" s="13" t="str">
        <f t="shared" si="26"/>
        <v>2219823225</v>
      </c>
    </row>
    <row r="142" ht="15.75" customHeight="1">
      <c r="A142" s="13" t="s">
        <v>9</v>
      </c>
      <c r="C142" s="22" t="str">
        <f t="shared" si="27"/>
        <v>150,236</v>
      </c>
      <c r="D142" s="22">
        <v>43675.0</v>
      </c>
      <c r="E142" s="22" t="str">
        <f t="shared" si="28"/>
        <v>1,838</v>
      </c>
      <c r="F142" s="22" t="str">
        <f t="shared" si="29"/>
        <v>108,399</v>
      </c>
      <c r="J142" s="22" t="str">
        <f t="shared" si="24"/>
        <v>41,837</v>
      </c>
      <c r="K142" s="16" t="str">
        <f t="shared" si="25"/>
        <v>0.96</v>
      </c>
      <c r="L142" s="13" t="str">
        <f t="shared" si="26"/>
        <v>1750334569</v>
      </c>
    </row>
    <row r="143" ht="15.75" customHeight="1">
      <c r="A143" s="13" t="s">
        <v>10</v>
      </c>
      <c r="C143" s="22" t="str">
        <f t="shared" si="27"/>
        <v>108,399</v>
      </c>
      <c r="D143" s="22">
        <v>31457.0</v>
      </c>
      <c r="E143" s="22" t="str">
        <f t="shared" si="28"/>
        <v>43,675</v>
      </c>
      <c r="F143" s="22" t="str">
        <f t="shared" si="29"/>
        <v>120,617</v>
      </c>
      <c r="J143" s="22" t="str">
        <f t="shared" si="24"/>
        <v>-12,218</v>
      </c>
      <c r="K143" s="16" t="str">
        <f t="shared" si="25"/>
        <v>0.39</v>
      </c>
      <c r="L143" s="13" t="str">
        <f t="shared" si="26"/>
        <v>149279524</v>
      </c>
    </row>
    <row r="144" ht="15.75" customHeight="1">
      <c r="A144" s="13" t="s">
        <v>11</v>
      </c>
      <c r="C144" s="22" t="str">
        <f t="shared" si="27"/>
        <v>120,617</v>
      </c>
      <c r="D144" s="22">
        <v>33346.0</v>
      </c>
      <c r="E144" s="22" t="str">
        <f t="shared" si="28"/>
        <v>31,457</v>
      </c>
      <c r="F144" s="22" t="str">
        <f t="shared" si="29"/>
        <v>118,728</v>
      </c>
      <c r="J144" s="22" t="str">
        <f t="shared" si="24"/>
        <v>1,889</v>
      </c>
      <c r="K144" s="16" t="str">
        <f t="shared" si="25"/>
        <v>0.06</v>
      </c>
      <c r="L144" s="13" t="str">
        <f t="shared" si="26"/>
        <v>3568321</v>
      </c>
    </row>
    <row r="145" ht="15.75" customHeight="1">
      <c r="A145" s="13" t="s">
        <v>12</v>
      </c>
      <c r="C145" s="22" t="str">
        <f t="shared" si="27"/>
        <v>118,728</v>
      </c>
      <c r="D145" s="22">
        <v>23677.0</v>
      </c>
      <c r="E145" s="22" t="str">
        <f t="shared" si="28"/>
        <v>33,346</v>
      </c>
      <c r="F145" s="22" t="str">
        <f t="shared" si="29"/>
        <v>128,397</v>
      </c>
      <c r="J145" s="22" t="str">
        <f t="shared" si="24"/>
        <v>-9,669</v>
      </c>
      <c r="K145" s="16" t="str">
        <f t="shared" si="25"/>
        <v>0.41</v>
      </c>
      <c r="L145" s="13" t="str">
        <f t="shared" si="26"/>
        <v>93489561</v>
      </c>
    </row>
    <row r="146" ht="15.75" customHeight="1">
      <c r="A146" s="13"/>
      <c r="C146" s="22"/>
      <c r="D146" s="22"/>
      <c r="F146" s="22"/>
      <c r="J146" s="22"/>
      <c r="K146" s="16"/>
    </row>
    <row r="147" ht="15.75" customHeight="1">
      <c r="A147" s="13"/>
      <c r="C147" s="22"/>
      <c r="D147" s="22"/>
      <c r="F147" s="22"/>
      <c r="J147" s="22"/>
      <c r="K147" s="16"/>
    </row>
    <row r="148" ht="15.75" customHeight="1">
      <c r="A148" s="13"/>
      <c r="B148" s="17" t="s">
        <v>47</v>
      </c>
      <c r="C148" s="22"/>
      <c r="D148" s="22"/>
      <c r="F148" s="22"/>
      <c r="J148" s="22"/>
      <c r="K148" s="16"/>
    </row>
    <row r="149" ht="15.75" customHeight="1">
      <c r="A149" s="13" t="s">
        <v>0</v>
      </c>
      <c r="B149" s="13" t="s">
        <v>18</v>
      </c>
      <c r="C149" s="13" t="s">
        <v>19</v>
      </c>
      <c r="D149" s="13" t="s">
        <v>14</v>
      </c>
      <c r="E149" s="13" t="s">
        <v>20</v>
      </c>
      <c r="F149" s="13" t="s">
        <v>21</v>
      </c>
      <c r="J149" s="13" t="s">
        <v>39</v>
      </c>
      <c r="K149" s="13" t="s">
        <v>40</v>
      </c>
      <c r="L149" s="13" t="s">
        <v>41</v>
      </c>
    </row>
    <row r="150" ht="15.75" customHeight="1">
      <c r="A150" s="13" t="s">
        <v>22</v>
      </c>
      <c r="C150" s="22">
        <v>120816.0</v>
      </c>
      <c r="D150" s="22">
        <v>26203.0</v>
      </c>
      <c r="E150" s="22">
        <v>31258.350000000002</v>
      </c>
      <c r="F150" s="22">
        <v>125871.35</v>
      </c>
      <c r="J150" s="22" t="str">
        <f t="shared" ref="J150:J173" si="30">D150-E150</f>
        <v>-5,055</v>
      </c>
      <c r="K150" s="16" t="str">
        <f t="shared" ref="K150:K173" si="31">ABS(D150-E150)/D150</f>
        <v>0.19</v>
      </c>
      <c r="L150" s="13" t="str">
        <f t="shared" ref="L150:L173" si="32">(D150-E150)^2</f>
        <v>25556563.62</v>
      </c>
    </row>
    <row r="151" ht="15.75" customHeight="1">
      <c r="A151" s="13" t="s">
        <v>23</v>
      </c>
      <c r="C151" s="22">
        <v>125871.35</v>
      </c>
      <c r="D151" s="22">
        <v>33738.0</v>
      </c>
      <c r="E151" s="22">
        <v>28281.364285714284</v>
      </c>
      <c r="F151" s="22">
        <v>120414.71428571429</v>
      </c>
      <c r="J151" s="22" t="str">
        <f t="shared" si="30"/>
        <v>5,457</v>
      </c>
      <c r="K151" s="16" t="str">
        <f t="shared" si="31"/>
        <v>0.16</v>
      </c>
      <c r="L151" s="13" t="str">
        <f t="shared" si="32"/>
        <v>29774873.32</v>
      </c>
    </row>
    <row r="152" ht="15.75" customHeight="1">
      <c r="A152" s="13" t="s">
        <v>3</v>
      </c>
      <c r="C152" s="22">
        <v>120414.71428571429</v>
      </c>
      <c r="D152" s="22">
        <v>18977.0</v>
      </c>
      <c r="E152" s="22">
        <v>31258.350000000002</v>
      </c>
      <c r="F152" s="22">
        <v>132696.0642857143</v>
      </c>
      <c r="J152" s="22" t="str">
        <f t="shared" si="30"/>
        <v>-12,281</v>
      </c>
      <c r="K152" s="16" t="str">
        <f t="shared" si="31"/>
        <v>0.65</v>
      </c>
      <c r="L152" s="13" t="str">
        <f t="shared" si="32"/>
        <v>150831557.8</v>
      </c>
    </row>
    <row r="153" ht="15.75" customHeight="1">
      <c r="A153" s="13" t="s">
        <v>4</v>
      </c>
      <c r="C153" s="22">
        <v>132696.0642857143</v>
      </c>
      <c r="D153" s="22">
        <v>40057.0</v>
      </c>
      <c r="E153" s="22">
        <v>32746.84285714286</v>
      </c>
      <c r="F153" s="22">
        <v>125385.90714285715</v>
      </c>
      <c r="J153" s="22" t="str">
        <f t="shared" si="30"/>
        <v>7,310</v>
      </c>
      <c r="K153" s="16" t="str">
        <f t="shared" si="31"/>
        <v>0.18</v>
      </c>
      <c r="L153" s="13" t="str">
        <f t="shared" si="32"/>
        <v>53438397.45</v>
      </c>
    </row>
    <row r="154" ht="15.75" customHeight="1">
      <c r="A154" s="13" t="s">
        <v>5</v>
      </c>
      <c r="C154" s="22">
        <v>125385.90714285715</v>
      </c>
      <c r="D154" s="22">
        <v>33429.0</v>
      </c>
      <c r="E154" s="22">
        <v>32240.210970464188</v>
      </c>
      <c r="F154" s="22">
        <v>124197.11811332134</v>
      </c>
      <c r="J154" s="22" t="str">
        <f t="shared" si="30"/>
        <v>1,189</v>
      </c>
      <c r="K154" s="16" t="str">
        <f t="shared" si="31"/>
        <v>0.04</v>
      </c>
      <c r="L154" s="13" t="str">
        <f t="shared" si="32"/>
        <v>1413219.357</v>
      </c>
    </row>
    <row r="155" ht="15.75" customHeight="1">
      <c r="A155" s="13" t="s">
        <v>6</v>
      </c>
      <c r="C155" s="22" t="str">
        <f t="shared" ref="C155:C173" si="33">F154</f>
        <v>124,197</v>
      </c>
      <c r="D155" s="22">
        <v>18070.0</v>
      </c>
      <c r="E155" s="22" t="str">
        <f t="shared" ref="E155:E173" si="34">ROUND(AVERAGE(D150:D154),0)</f>
        <v>30,481</v>
      </c>
      <c r="F155" s="22" t="str">
        <f t="shared" ref="F155:F173" si="35">(C155+E155)-D155</f>
        <v>136,608</v>
      </c>
      <c r="J155" s="22" t="str">
        <f t="shared" si="30"/>
        <v>-12,411</v>
      </c>
      <c r="K155" s="16" t="str">
        <f t="shared" si="31"/>
        <v>0.69</v>
      </c>
      <c r="L155" s="13" t="str">
        <f t="shared" si="32"/>
        <v>154032921</v>
      </c>
    </row>
    <row r="156" ht="15.75" customHeight="1">
      <c r="A156" s="13" t="s">
        <v>7</v>
      </c>
      <c r="C156" s="22" t="str">
        <f t="shared" si="33"/>
        <v>136,608</v>
      </c>
      <c r="D156" s="22">
        <v>47283.0</v>
      </c>
      <c r="E156" s="22" t="str">
        <f t="shared" si="34"/>
        <v>28,854</v>
      </c>
      <c r="F156" s="22" t="str">
        <f t="shared" si="35"/>
        <v>118,179</v>
      </c>
      <c r="J156" s="22" t="str">
        <f t="shared" si="30"/>
        <v>18,429</v>
      </c>
      <c r="K156" s="16" t="str">
        <f t="shared" si="31"/>
        <v>0.39</v>
      </c>
      <c r="L156" s="13" t="str">
        <f t="shared" si="32"/>
        <v>339628041</v>
      </c>
    </row>
    <row r="157" ht="15.75" customHeight="1">
      <c r="A157" s="13" t="s">
        <v>8</v>
      </c>
      <c r="C157" s="22" t="str">
        <f t="shared" si="33"/>
        <v>118,179</v>
      </c>
      <c r="D157" s="22">
        <v>1852.0</v>
      </c>
      <c r="E157" s="22" t="str">
        <f t="shared" si="34"/>
        <v>31,563</v>
      </c>
      <c r="F157" s="22" t="str">
        <f t="shared" si="35"/>
        <v>147,890</v>
      </c>
      <c r="J157" s="22" t="str">
        <f t="shared" si="30"/>
        <v>-29,711</v>
      </c>
      <c r="K157" s="16" t="str">
        <f t="shared" si="31"/>
        <v>16.04</v>
      </c>
      <c r="L157" s="13" t="str">
        <f t="shared" si="32"/>
        <v>882743521</v>
      </c>
    </row>
    <row r="158" ht="15.75" customHeight="1">
      <c r="A158" s="13" t="s">
        <v>9</v>
      </c>
      <c r="C158" s="22" t="str">
        <f t="shared" si="33"/>
        <v>147,890</v>
      </c>
      <c r="D158" s="22">
        <v>42170.0</v>
      </c>
      <c r="E158" s="22" t="str">
        <f t="shared" si="34"/>
        <v>28,138</v>
      </c>
      <c r="F158" s="22" t="str">
        <f t="shared" si="35"/>
        <v>133,858</v>
      </c>
      <c r="J158" s="22" t="str">
        <f t="shared" si="30"/>
        <v>14,032</v>
      </c>
      <c r="K158" s="16" t="str">
        <f t="shared" si="31"/>
        <v>0.33</v>
      </c>
      <c r="L158" s="13" t="str">
        <f t="shared" si="32"/>
        <v>196897024</v>
      </c>
    </row>
    <row r="159" ht="15.75" customHeight="1">
      <c r="A159" s="13" t="s">
        <v>10</v>
      </c>
      <c r="C159" s="22" t="str">
        <f t="shared" si="33"/>
        <v>133,858</v>
      </c>
      <c r="D159" s="22">
        <v>30419.0</v>
      </c>
      <c r="E159" s="22" t="str">
        <f t="shared" si="34"/>
        <v>28,561</v>
      </c>
      <c r="F159" s="22" t="str">
        <f t="shared" si="35"/>
        <v>132,000</v>
      </c>
      <c r="J159" s="22" t="str">
        <f t="shared" si="30"/>
        <v>1,858</v>
      </c>
      <c r="K159" s="16" t="str">
        <f t="shared" si="31"/>
        <v>0.06</v>
      </c>
      <c r="L159" s="13" t="str">
        <f t="shared" si="32"/>
        <v>3452164</v>
      </c>
    </row>
    <row r="160" ht="15.75" customHeight="1">
      <c r="A160" s="13" t="s">
        <v>11</v>
      </c>
      <c r="C160" s="22" t="str">
        <f t="shared" si="33"/>
        <v>132,000</v>
      </c>
      <c r="D160" s="22">
        <v>32223.0</v>
      </c>
      <c r="E160" s="22" t="str">
        <f t="shared" si="34"/>
        <v>27,959</v>
      </c>
      <c r="F160" s="22" t="str">
        <f t="shared" si="35"/>
        <v>127,736</v>
      </c>
      <c r="J160" s="22" t="str">
        <f t="shared" si="30"/>
        <v>4,264</v>
      </c>
      <c r="K160" s="16" t="str">
        <f t="shared" si="31"/>
        <v>0.13</v>
      </c>
      <c r="L160" s="13" t="str">
        <f t="shared" si="32"/>
        <v>18181696</v>
      </c>
    </row>
    <row r="161" ht="15.75" customHeight="1">
      <c r="A161" s="13" t="s">
        <v>12</v>
      </c>
      <c r="C161" s="22" t="str">
        <f t="shared" si="33"/>
        <v>127,736</v>
      </c>
      <c r="D161" s="22">
        <v>22894.0</v>
      </c>
      <c r="E161" s="22" t="str">
        <f t="shared" si="34"/>
        <v>30,789</v>
      </c>
      <c r="F161" s="22" t="str">
        <f t="shared" si="35"/>
        <v>135,631</v>
      </c>
      <c r="J161" s="22" t="str">
        <f t="shared" si="30"/>
        <v>-7,895</v>
      </c>
      <c r="K161" s="16" t="str">
        <f t="shared" si="31"/>
        <v>0.34</v>
      </c>
      <c r="L161" s="13" t="str">
        <f t="shared" si="32"/>
        <v>62331025</v>
      </c>
    </row>
    <row r="162" ht="15.75" customHeight="1">
      <c r="A162" s="13" t="s">
        <v>22</v>
      </c>
      <c r="B162" s="13"/>
      <c r="C162" s="22" t="str">
        <f t="shared" si="33"/>
        <v>135,631</v>
      </c>
      <c r="D162" s="22">
        <v>27135.0</v>
      </c>
      <c r="E162" s="22" t="str">
        <f t="shared" si="34"/>
        <v>25,912</v>
      </c>
      <c r="F162" s="22" t="str">
        <f t="shared" si="35"/>
        <v>134,408</v>
      </c>
      <c r="J162" s="22" t="str">
        <f t="shared" si="30"/>
        <v>1,223</v>
      </c>
      <c r="K162" s="16" t="str">
        <f t="shared" si="31"/>
        <v>0.05</v>
      </c>
      <c r="L162" s="13" t="str">
        <f t="shared" si="32"/>
        <v>1495729</v>
      </c>
    </row>
    <row r="163" ht="15.75" customHeight="1">
      <c r="A163" s="13" t="s">
        <v>23</v>
      </c>
      <c r="C163" s="22" t="str">
        <f t="shared" si="33"/>
        <v>134,408</v>
      </c>
      <c r="D163" s="22">
        <v>34962.0</v>
      </c>
      <c r="E163" s="22" t="str">
        <f t="shared" si="34"/>
        <v>30,968</v>
      </c>
      <c r="F163" s="22" t="str">
        <f t="shared" si="35"/>
        <v>130,414</v>
      </c>
      <c r="J163" s="22" t="str">
        <f t="shared" si="30"/>
        <v>3,994</v>
      </c>
      <c r="K163" s="16" t="str">
        <f t="shared" si="31"/>
        <v>0.11</v>
      </c>
      <c r="L163" s="13" t="str">
        <f t="shared" si="32"/>
        <v>15952036</v>
      </c>
    </row>
    <row r="164" ht="15.75" customHeight="1">
      <c r="A164" s="13" t="s">
        <v>3</v>
      </c>
      <c r="C164" s="22" t="str">
        <f t="shared" si="33"/>
        <v>130,414</v>
      </c>
      <c r="D164" s="22">
        <v>19637.0</v>
      </c>
      <c r="E164" s="22" t="str">
        <f t="shared" si="34"/>
        <v>29,527</v>
      </c>
      <c r="F164" s="22" t="str">
        <f t="shared" si="35"/>
        <v>140,304</v>
      </c>
      <c r="J164" s="22" t="str">
        <f t="shared" si="30"/>
        <v>-9,890</v>
      </c>
      <c r="K164" s="16" t="str">
        <f t="shared" si="31"/>
        <v>0.50</v>
      </c>
      <c r="L164" s="13" t="str">
        <f t="shared" si="32"/>
        <v>97812100</v>
      </c>
    </row>
    <row r="165" ht="15.75" customHeight="1">
      <c r="A165" s="13" t="s">
        <v>4</v>
      </c>
      <c r="C165" s="22" t="str">
        <f t="shared" si="33"/>
        <v>140,304</v>
      </c>
      <c r="D165" s="22">
        <v>41514.0</v>
      </c>
      <c r="E165" s="22" t="str">
        <f t="shared" si="34"/>
        <v>27,370</v>
      </c>
      <c r="F165" s="22" t="str">
        <f t="shared" si="35"/>
        <v>126,160</v>
      </c>
      <c r="J165" s="22" t="str">
        <f t="shared" si="30"/>
        <v>14,144</v>
      </c>
      <c r="K165" s="16" t="str">
        <f t="shared" si="31"/>
        <v>0.34</v>
      </c>
      <c r="L165" s="13" t="str">
        <f t="shared" si="32"/>
        <v>200052736</v>
      </c>
    </row>
    <row r="166" ht="15.75" customHeight="1">
      <c r="A166" s="13" t="s">
        <v>5</v>
      </c>
      <c r="C166" s="22" t="str">
        <f t="shared" si="33"/>
        <v>126,160</v>
      </c>
      <c r="D166" s="22">
        <v>34581.0</v>
      </c>
      <c r="E166" s="22" t="str">
        <f t="shared" si="34"/>
        <v>29,228</v>
      </c>
      <c r="F166" s="22" t="str">
        <f t="shared" si="35"/>
        <v>120,807</v>
      </c>
      <c r="J166" s="22" t="str">
        <f t="shared" si="30"/>
        <v>5,353</v>
      </c>
      <c r="K166" s="16" t="str">
        <f t="shared" si="31"/>
        <v>0.15</v>
      </c>
      <c r="L166" s="13" t="str">
        <f t="shared" si="32"/>
        <v>28654609</v>
      </c>
    </row>
    <row r="167" ht="15.75" customHeight="1">
      <c r="A167" s="13" t="s">
        <v>6</v>
      </c>
      <c r="C167" s="22" t="str">
        <f t="shared" si="33"/>
        <v>120,807</v>
      </c>
      <c r="D167" s="22">
        <v>18685.0</v>
      </c>
      <c r="E167" s="22" t="str">
        <f t="shared" si="34"/>
        <v>31,566</v>
      </c>
      <c r="F167" s="22" t="str">
        <f t="shared" si="35"/>
        <v>133,688</v>
      </c>
      <c r="J167" s="22" t="str">
        <f t="shared" si="30"/>
        <v>-12,881</v>
      </c>
      <c r="K167" s="16" t="str">
        <f t="shared" si="31"/>
        <v>0.69</v>
      </c>
      <c r="L167" s="13" t="str">
        <f t="shared" si="32"/>
        <v>165920161</v>
      </c>
    </row>
    <row r="168" ht="15.75" customHeight="1">
      <c r="A168" s="13" t="s">
        <v>7</v>
      </c>
      <c r="C168" s="22" t="str">
        <f t="shared" si="33"/>
        <v>133,688</v>
      </c>
      <c r="D168" s="22">
        <v>48953.0</v>
      </c>
      <c r="E168" s="22" t="str">
        <f t="shared" si="34"/>
        <v>29,876</v>
      </c>
      <c r="F168" s="22" t="str">
        <f t="shared" si="35"/>
        <v>114,611</v>
      </c>
      <c r="J168" s="22" t="str">
        <f t="shared" si="30"/>
        <v>19,077</v>
      </c>
      <c r="K168" s="16" t="str">
        <f t="shared" si="31"/>
        <v>0.39</v>
      </c>
      <c r="L168" s="13" t="str">
        <f t="shared" si="32"/>
        <v>363931929</v>
      </c>
    </row>
    <row r="169" ht="15.75" customHeight="1">
      <c r="A169" s="13" t="s">
        <v>8</v>
      </c>
      <c r="C169" s="22" t="str">
        <f t="shared" si="33"/>
        <v>114,611</v>
      </c>
      <c r="D169" s="22">
        <v>1838.0</v>
      </c>
      <c r="E169" s="22" t="str">
        <f t="shared" si="34"/>
        <v>32,674</v>
      </c>
      <c r="F169" s="22" t="str">
        <f t="shared" si="35"/>
        <v>145,447</v>
      </c>
      <c r="J169" s="22" t="str">
        <f t="shared" si="30"/>
        <v>-30,836</v>
      </c>
      <c r="K169" s="16" t="str">
        <f t="shared" si="31"/>
        <v>16.78</v>
      </c>
      <c r="L169" s="13" t="str">
        <f t="shared" si="32"/>
        <v>950858896</v>
      </c>
    </row>
    <row r="170" ht="15.75" customHeight="1">
      <c r="A170" s="13" t="s">
        <v>9</v>
      </c>
      <c r="C170" s="22" t="str">
        <f t="shared" si="33"/>
        <v>145,447</v>
      </c>
      <c r="D170" s="22">
        <v>43675.0</v>
      </c>
      <c r="E170" s="22" t="str">
        <f t="shared" si="34"/>
        <v>29,114</v>
      </c>
      <c r="F170" s="22" t="str">
        <f t="shared" si="35"/>
        <v>130,886</v>
      </c>
      <c r="J170" s="22" t="str">
        <f t="shared" si="30"/>
        <v>14,561</v>
      </c>
      <c r="K170" s="16" t="str">
        <f t="shared" si="31"/>
        <v>0.33</v>
      </c>
      <c r="L170" s="13" t="str">
        <f t="shared" si="32"/>
        <v>212022721</v>
      </c>
    </row>
    <row r="171" ht="15.75" customHeight="1">
      <c r="A171" s="13" t="s">
        <v>10</v>
      </c>
      <c r="C171" s="22" t="str">
        <f t="shared" si="33"/>
        <v>130,886</v>
      </c>
      <c r="D171" s="22">
        <v>31457.0</v>
      </c>
      <c r="E171" s="22" t="str">
        <f t="shared" si="34"/>
        <v>29,546</v>
      </c>
      <c r="F171" s="22" t="str">
        <f t="shared" si="35"/>
        <v>128,975</v>
      </c>
      <c r="J171" s="22" t="str">
        <f t="shared" si="30"/>
        <v>1,911</v>
      </c>
      <c r="K171" s="16" t="str">
        <f t="shared" si="31"/>
        <v>0.06</v>
      </c>
      <c r="L171" s="13" t="str">
        <f t="shared" si="32"/>
        <v>3651921</v>
      </c>
    </row>
    <row r="172" ht="15.75" customHeight="1">
      <c r="A172" s="13" t="s">
        <v>11</v>
      </c>
      <c r="C172" s="22" t="str">
        <f t="shared" si="33"/>
        <v>128,975</v>
      </c>
      <c r="D172" s="22">
        <v>33346.0</v>
      </c>
      <c r="E172" s="22" t="str">
        <f t="shared" si="34"/>
        <v>28,922</v>
      </c>
      <c r="F172" s="22" t="str">
        <f t="shared" si="35"/>
        <v>124,551</v>
      </c>
      <c r="J172" s="22" t="str">
        <f t="shared" si="30"/>
        <v>4,424</v>
      </c>
      <c r="K172" s="16" t="str">
        <f t="shared" si="31"/>
        <v>0.13</v>
      </c>
      <c r="L172" s="13" t="str">
        <f t="shared" si="32"/>
        <v>19571776</v>
      </c>
    </row>
    <row r="173" ht="15.75" customHeight="1">
      <c r="A173" s="13" t="s">
        <v>12</v>
      </c>
      <c r="C173" s="22" t="str">
        <f t="shared" si="33"/>
        <v>124,551</v>
      </c>
      <c r="D173" s="22">
        <v>23677.0</v>
      </c>
      <c r="E173" s="22" t="str">
        <f t="shared" si="34"/>
        <v>31,854</v>
      </c>
      <c r="F173" s="22" t="str">
        <f t="shared" si="35"/>
        <v>132,728</v>
      </c>
      <c r="J173" s="22" t="str">
        <f t="shared" si="30"/>
        <v>-8,177</v>
      </c>
      <c r="K173" s="16" t="str">
        <f t="shared" si="31"/>
        <v>0.35</v>
      </c>
      <c r="L173" s="13" t="str">
        <f t="shared" si="32"/>
        <v>66863329</v>
      </c>
    </row>
    <row r="174" ht="15.75" customHeight="1">
      <c r="A174" s="13"/>
      <c r="C174" s="22"/>
      <c r="D174" s="22"/>
      <c r="F174" s="22"/>
      <c r="J174" s="22"/>
      <c r="K174" s="16"/>
    </row>
    <row r="175" ht="15.75" customHeight="1">
      <c r="A175" s="13"/>
      <c r="C175" s="22"/>
      <c r="D175" s="22"/>
      <c r="F175" s="22"/>
      <c r="J175" s="22"/>
      <c r="K175" s="16"/>
    </row>
    <row r="176" ht="15.75" customHeight="1">
      <c r="A176" s="13"/>
      <c r="C176" s="22"/>
      <c r="D176" s="22"/>
      <c r="F176" s="22"/>
      <c r="J176" s="22"/>
      <c r="K176" s="16"/>
    </row>
    <row r="177" ht="15.75" customHeight="1">
      <c r="A177" s="13" t="s">
        <v>36</v>
      </c>
      <c r="B177" s="13" t="s">
        <v>53</v>
      </c>
      <c r="C177" s="13" t="s">
        <v>54</v>
      </c>
      <c r="D177" t="s">
        <v>19</v>
      </c>
      <c r="E177" t="s">
        <v>14</v>
      </c>
      <c r="F177" t="s">
        <v>20</v>
      </c>
      <c r="G177" t="s">
        <v>21</v>
      </c>
      <c r="H177" t="s">
        <v>55</v>
      </c>
      <c r="I177" t="s">
        <v>56</v>
      </c>
      <c r="J177" t="s">
        <v>57</v>
      </c>
      <c r="K177" t="s">
        <v>58</v>
      </c>
      <c r="P177" s="13" t="s">
        <v>39</v>
      </c>
      <c r="Q177" s="13" t="s">
        <v>40</v>
      </c>
      <c r="R177" s="13" t="s">
        <v>41</v>
      </c>
      <c r="S177" s="13"/>
      <c r="T177" s="13"/>
      <c r="U177" s="13"/>
    </row>
    <row r="178" ht="15.75" customHeight="1">
      <c r="A178" t="s">
        <v>22</v>
      </c>
      <c r="B178">
        <v>31.0</v>
      </c>
      <c r="C178" s="13">
        <v>2013.0</v>
      </c>
      <c r="D178" s="22">
        <v>120816.0</v>
      </c>
      <c r="E178">
        <v>26203.0</v>
      </c>
      <c r="F178" s="22">
        <v>31258.350000000002</v>
      </c>
      <c r="G178" s="22">
        <v>125871.35</v>
      </c>
      <c r="H178" s="15" t="str">
        <f t="shared" ref="H178:H189" si="36">AVERAGE(E178:E189)</f>
        <v>28,942.92</v>
      </c>
      <c r="I178" s="15" t="str">
        <f t="shared" ref="I178:I189" si="37">AVERAGE(E179-E178, E181-E180, E183-E182, E185-E184, E187-E186, E189-E188)</f>
        <v>-8,875.83</v>
      </c>
      <c r="J178" s="16" t="str">
        <f t="shared" ref="J178:J189" si="38">E178/AVERAGE(E178:E189)</f>
        <v>0.91</v>
      </c>
      <c r="K178" s="16" t="str">
        <f t="shared" ref="K178:K201" si="39">(H178 + 1*I178) * J178</f>
        <v>18167.41</v>
      </c>
      <c r="M178" s="17"/>
      <c r="N178" s="17"/>
      <c r="P178" s="16" t="str">
        <f t="shared" ref="P178:P201" si="40">E178-K178</f>
        <v>8035.59</v>
      </c>
      <c r="Q178" s="16" t="str">
        <f t="shared" ref="Q178:Q201" si="41">ABS(E178-K178)/E178</f>
        <v>0.31</v>
      </c>
      <c r="R178" t="str">
        <f t="shared" ref="R178:R201" si="42">(E178-K178)^2</f>
        <v>64570733.91</v>
      </c>
    </row>
    <row r="179" ht="15.75" customHeight="1">
      <c r="A179" t="s">
        <v>23</v>
      </c>
      <c r="B179">
        <v>28.0</v>
      </c>
      <c r="D179" s="22">
        <v>125871.35</v>
      </c>
      <c r="E179">
        <v>33738.0</v>
      </c>
      <c r="F179" s="22">
        <v>28281.364285714284</v>
      </c>
      <c r="G179" s="22">
        <v>120414.71428571429</v>
      </c>
      <c r="H179" s="15" t="str">
        <f t="shared" si="36"/>
        <v>29,020.58</v>
      </c>
      <c r="I179" s="15" t="str">
        <f t="shared" si="37"/>
        <v>9,031.17</v>
      </c>
      <c r="J179" s="16" t="str">
        <f t="shared" si="38"/>
        <v>1.16</v>
      </c>
      <c r="K179" s="16" t="str">
        <f t="shared" si="39"/>
        <v>44237.22</v>
      </c>
      <c r="M179" s="17" t="s">
        <v>59</v>
      </c>
      <c r="N179" s="17">
        <v>1.0</v>
      </c>
      <c r="P179" s="16" t="str">
        <f t="shared" si="40"/>
        <v>-10499.22</v>
      </c>
      <c r="Q179" s="16" t="str">
        <f t="shared" si="41"/>
        <v>0.31</v>
      </c>
      <c r="R179" t="str">
        <f t="shared" si="42"/>
        <v>110233629.3</v>
      </c>
    </row>
    <row r="180" ht="15.75" customHeight="1">
      <c r="A180" t="s">
        <v>3</v>
      </c>
      <c r="B180">
        <v>31.0</v>
      </c>
      <c r="D180" s="22">
        <v>120414.71428571429</v>
      </c>
      <c r="E180">
        <v>18977.0</v>
      </c>
      <c r="F180" s="22">
        <v>31258.350000000002</v>
      </c>
      <c r="G180" s="22">
        <v>132696.0642857143</v>
      </c>
      <c r="H180" s="15" t="str">
        <f t="shared" si="36"/>
        <v>29,122.58</v>
      </c>
      <c r="I180" s="15" t="str">
        <f t="shared" si="37"/>
        <v>-8,827.17</v>
      </c>
      <c r="J180" s="16" t="str">
        <f t="shared" si="38"/>
        <v>0.65</v>
      </c>
      <c r="K180" s="16" t="str">
        <f t="shared" si="39"/>
        <v>13225.00</v>
      </c>
      <c r="M180" s="17" t="s">
        <v>60</v>
      </c>
      <c r="N180" s="17">
        <v>1.0</v>
      </c>
      <c r="P180" s="16" t="str">
        <f t="shared" si="40"/>
        <v>5752.00</v>
      </c>
      <c r="Q180" s="16" t="str">
        <f t="shared" si="41"/>
        <v>0.30</v>
      </c>
      <c r="R180" t="str">
        <f t="shared" si="42"/>
        <v>33085520.79</v>
      </c>
    </row>
    <row r="181" ht="15.75" customHeight="1">
      <c r="A181" t="s">
        <v>4</v>
      </c>
      <c r="B181">
        <v>30.0</v>
      </c>
      <c r="D181" s="22">
        <v>132696.0642857143</v>
      </c>
      <c r="E181">
        <v>40057.0</v>
      </c>
      <c r="F181" s="22">
        <v>32746.84285714286</v>
      </c>
      <c r="G181" s="22">
        <v>125385.90714285715</v>
      </c>
      <c r="H181" s="15" t="str">
        <f t="shared" si="36"/>
        <v>29,177.58</v>
      </c>
      <c r="I181" s="15" t="str">
        <f t="shared" si="37"/>
        <v>8,937.17</v>
      </c>
      <c r="J181" s="16" t="str">
        <f t="shared" si="38"/>
        <v>1.37</v>
      </c>
      <c r="K181" s="16" t="str">
        <f t="shared" si="39"/>
        <v>52326.56</v>
      </c>
      <c r="M181" s="17" t="s">
        <v>61</v>
      </c>
      <c r="N181" s="17">
        <v>0.3000000000050243</v>
      </c>
      <c r="P181" s="16" t="str">
        <f t="shared" si="40"/>
        <v>-12269.56</v>
      </c>
      <c r="Q181" s="16" t="str">
        <f t="shared" si="41"/>
        <v>0.31</v>
      </c>
      <c r="R181" t="str">
        <f t="shared" si="42"/>
        <v>150542082.2</v>
      </c>
    </row>
    <row r="182" ht="15.75" customHeight="1">
      <c r="A182" t="s">
        <v>5</v>
      </c>
      <c r="B182">
        <v>31.0</v>
      </c>
      <c r="D182" s="22">
        <v>125385.90714285715</v>
      </c>
      <c r="E182">
        <v>33429.0</v>
      </c>
      <c r="F182" s="22">
        <v>32240.210970464188</v>
      </c>
      <c r="G182" s="22">
        <v>124197.11811332134</v>
      </c>
      <c r="H182" s="15" t="str">
        <f t="shared" si="36"/>
        <v>29,299.00</v>
      </c>
      <c r="I182" s="15" t="str">
        <f t="shared" si="37"/>
        <v>-8,694.33</v>
      </c>
      <c r="J182" s="16" t="str">
        <f t="shared" si="38"/>
        <v>1.14</v>
      </c>
      <c r="K182" s="16" t="str">
        <f t="shared" si="39"/>
        <v>23509.11</v>
      </c>
      <c r="M182" s="17"/>
      <c r="N182" s="17"/>
      <c r="P182" s="16" t="str">
        <f t="shared" si="40"/>
        <v>9919.89</v>
      </c>
      <c r="Q182" s="16" t="str">
        <f t="shared" si="41"/>
        <v>0.30</v>
      </c>
      <c r="R182" t="str">
        <f t="shared" si="42"/>
        <v>98404225.66</v>
      </c>
    </row>
    <row r="183" ht="15.75" customHeight="1">
      <c r="A183" t="s">
        <v>6</v>
      </c>
      <c r="B183">
        <v>30.0</v>
      </c>
      <c r="D183" s="22">
        <v>124197.11811332134</v>
      </c>
      <c r="E183">
        <v>18070.0</v>
      </c>
      <c r="F183" s="22">
        <v>29769.85714285714</v>
      </c>
      <c r="G183" s="22">
        <v>135896.97525617847</v>
      </c>
      <c r="H183" s="15" t="str">
        <f t="shared" si="36"/>
        <v>29,395.00</v>
      </c>
      <c r="I183" s="15" t="str">
        <f t="shared" si="37"/>
        <v>8,886.33</v>
      </c>
      <c r="J183" s="16" t="str">
        <f t="shared" si="38"/>
        <v>0.61</v>
      </c>
      <c r="K183" s="16" t="str">
        <f t="shared" si="39"/>
        <v>23532.70</v>
      </c>
      <c r="P183" s="16" t="str">
        <f t="shared" si="40"/>
        <v>-5462.70</v>
      </c>
      <c r="Q183" s="16" t="str">
        <f t="shared" si="41"/>
        <v>0.30</v>
      </c>
      <c r="R183" t="str">
        <f t="shared" si="42"/>
        <v>29841082.68</v>
      </c>
    </row>
    <row r="184" ht="15.75" customHeight="1">
      <c r="A184" t="s">
        <v>7</v>
      </c>
      <c r="B184">
        <v>31.0</v>
      </c>
      <c r="D184" s="22">
        <v>135896.97525617847</v>
      </c>
      <c r="E184">
        <v>47283.0</v>
      </c>
      <c r="F184" s="22">
        <v>32746.84285714286</v>
      </c>
      <c r="G184" s="22">
        <v>121360.81811332132</v>
      </c>
      <c r="H184" s="15" t="str">
        <f t="shared" si="36"/>
        <v>29,446.25</v>
      </c>
      <c r="I184" s="15" t="str">
        <f t="shared" si="37"/>
        <v>-8,783.83</v>
      </c>
      <c r="J184" s="16" t="str">
        <f t="shared" si="38"/>
        <v>1.61</v>
      </c>
      <c r="K184" s="16" t="str">
        <f t="shared" si="39"/>
        <v>33178.45</v>
      </c>
      <c r="P184" s="16" t="str">
        <f t="shared" si="40"/>
        <v>14104.55</v>
      </c>
      <c r="Q184" s="16" t="str">
        <f t="shared" si="41"/>
        <v>0.30</v>
      </c>
      <c r="R184" t="str">
        <f t="shared" si="42"/>
        <v>198938221.6</v>
      </c>
    </row>
    <row r="185" ht="15.75" customHeight="1">
      <c r="A185" t="s">
        <v>8</v>
      </c>
      <c r="B185">
        <v>31.0</v>
      </c>
      <c r="D185" s="22">
        <v>121360.81811332132</v>
      </c>
      <c r="E185">
        <v>1852.0</v>
      </c>
      <c r="F185" s="22">
        <v>22327.392857142855</v>
      </c>
      <c r="G185" s="22">
        <v>141836.21097046416</v>
      </c>
      <c r="H185" s="15" t="str">
        <f t="shared" si="36"/>
        <v>29,585.42</v>
      </c>
      <c r="I185" s="15" t="str">
        <f t="shared" si="37"/>
        <v>9,062.17</v>
      </c>
      <c r="J185" s="16" t="str">
        <f t="shared" si="38"/>
        <v>0.06</v>
      </c>
      <c r="K185" s="16" t="str">
        <f t="shared" si="39"/>
        <v>2419.28</v>
      </c>
      <c r="P185" s="16" t="str">
        <f t="shared" si="40"/>
        <v>-567.28</v>
      </c>
      <c r="Q185" s="16" t="str">
        <f t="shared" si="41"/>
        <v>0.31</v>
      </c>
      <c r="R185" t="str">
        <f t="shared" si="42"/>
        <v>321803.4346</v>
      </c>
    </row>
    <row r="186" ht="15.75" customHeight="1">
      <c r="A186" t="s">
        <v>9</v>
      </c>
      <c r="B186">
        <v>30.0</v>
      </c>
      <c r="D186" s="22">
        <v>141836.21097046416</v>
      </c>
      <c r="E186">
        <v>42170.0</v>
      </c>
      <c r="F186" s="22">
        <v>29769.85714285714</v>
      </c>
      <c r="G186" s="22">
        <v>129436.0681133213</v>
      </c>
      <c r="H186" s="15" t="str">
        <f t="shared" si="36"/>
        <v>29,584.25</v>
      </c>
      <c r="I186" s="15" t="str">
        <f t="shared" si="37"/>
        <v>-9,064.50</v>
      </c>
      <c r="J186" s="16" t="str">
        <f t="shared" si="38"/>
        <v>1.43</v>
      </c>
      <c r="K186" s="16" t="str">
        <f t="shared" si="39"/>
        <v>29249.27</v>
      </c>
      <c r="P186" s="16" t="str">
        <f t="shared" si="40"/>
        <v>12920.73</v>
      </c>
      <c r="Q186" s="16" t="str">
        <f t="shared" si="41"/>
        <v>0.31</v>
      </c>
      <c r="R186" t="str">
        <f t="shared" si="42"/>
        <v>166945140.1</v>
      </c>
    </row>
    <row r="187" ht="15.75" customHeight="1">
      <c r="A187" t="s">
        <v>10</v>
      </c>
      <c r="B187">
        <v>31.0</v>
      </c>
      <c r="D187" s="22">
        <v>129436.0681133213</v>
      </c>
      <c r="E187">
        <v>30419.0</v>
      </c>
      <c r="F187" s="22">
        <v>32746.84285714286</v>
      </c>
      <c r="G187" s="22">
        <v>131763.91097046415</v>
      </c>
      <c r="H187" s="15" t="str">
        <f t="shared" si="36"/>
        <v>29,709.67</v>
      </c>
      <c r="I187" s="15" t="str">
        <f t="shared" si="37"/>
        <v>9,315.33</v>
      </c>
      <c r="J187" s="16" t="str">
        <f t="shared" si="38"/>
        <v>1.02</v>
      </c>
      <c r="K187" s="16" t="str">
        <f t="shared" si="39"/>
        <v>39956.74</v>
      </c>
      <c r="P187" s="16" t="str">
        <f t="shared" si="40"/>
        <v>-9537.74</v>
      </c>
      <c r="Q187" s="16" t="str">
        <f t="shared" si="41"/>
        <v>0.31</v>
      </c>
      <c r="R187" t="str">
        <f t="shared" si="42"/>
        <v>90968515.46</v>
      </c>
    </row>
    <row r="188" ht="15.75" customHeight="1">
      <c r="A188" t="s">
        <v>11</v>
      </c>
      <c r="B188">
        <v>30.0</v>
      </c>
      <c r="D188" s="22">
        <v>131763.91097046415</v>
      </c>
      <c r="E188">
        <v>32223.0</v>
      </c>
      <c r="F188" s="22">
        <v>28281.364285714284</v>
      </c>
      <c r="G188" s="22">
        <v>127822.27525617843</v>
      </c>
      <c r="H188" s="15" t="str">
        <f t="shared" si="36"/>
        <v>29,796.17</v>
      </c>
      <c r="I188" s="15" t="str">
        <f t="shared" si="37"/>
        <v>-9,142.33</v>
      </c>
      <c r="J188" s="16" t="str">
        <f t="shared" si="38"/>
        <v>1.08</v>
      </c>
      <c r="K188" s="16" t="str">
        <f t="shared" si="39"/>
        <v>22336.04</v>
      </c>
      <c r="P188" s="16" t="str">
        <f t="shared" si="40"/>
        <v>9886.96</v>
      </c>
      <c r="Q188" s="16" t="str">
        <f t="shared" si="41"/>
        <v>0.31</v>
      </c>
      <c r="R188" t="str">
        <f t="shared" si="42"/>
        <v>97751911.02</v>
      </c>
    </row>
    <row r="189" ht="15.75" customHeight="1">
      <c r="A189" t="s">
        <v>12</v>
      </c>
      <c r="B189">
        <v>31.0</v>
      </c>
      <c r="D189" s="22">
        <v>127822.27525617843</v>
      </c>
      <c r="E189">
        <v>22894.0</v>
      </c>
      <c r="F189" s="22">
        <v>20838.9</v>
      </c>
      <c r="G189" s="22">
        <v>125767.17525617842</v>
      </c>
      <c r="H189" s="15" t="str">
        <f t="shared" si="36"/>
        <v>29,889.75</v>
      </c>
      <c r="I189" s="15" t="str">
        <f t="shared" si="37"/>
        <v>9,329.50</v>
      </c>
      <c r="J189" s="16" t="str">
        <f t="shared" si="38"/>
        <v>0.77</v>
      </c>
      <c r="K189" s="16" t="str">
        <f t="shared" si="39"/>
        <v>30039.91</v>
      </c>
      <c r="P189" s="16" t="str">
        <f t="shared" si="40"/>
        <v>-7145.91</v>
      </c>
      <c r="Q189" s="16" t="str">
        <f t="shared" si="41"/>
        <v>0.31</v>
      </c>
      <c r="R189" t="str">
        <f t="shared" si="42"/>
        <v>51064082.12</v>
      </c>
    </row>
    <row r="190" ht="15.75" customHeight="1">
      <c r="A190" t="s">
        <v>22</v>
      </c>
      <c r="B190">
        <v>31.0</v>
      </c>
      <c r="C190" s="13">
        <v>2014.0</v>
      </c>
      <c r="D190" s="22">
        <v>125767.17525617842</v>
      </c>
      <c r="E190">
        <v>27135.0</v>
      </c>
      <c r="F190" s="22">
        <v>32762.731306414586</v>
      </c>
      <c r="G190" s="22">
        <v>131394.906562593</v>
      </c>
      <c r="H190" s="15" t="str">
        <f t="shared" ref="H190:H201" si="43">$N$179*(E178/J178) + (1-$N$179)*(H178+I178)</f>
        <v>28,942.92</v>
      </c>
      <c r="I190" s="15" t="str">
        <f t="shared" ref="I190:I201" si="44">$N$180*(H179-H178) + (1-$N$180)*I178</f>
        <v>77.67</v>
      </c>
      <c r="J190" s="16" t="str">
        <f t="shared" ref="J190:J201" si="45">$N$181*(E178/H178) + (1-$N$181)*J178</f>
        <v>0.91</v>
      </c>
      <c r="K190" s="16" t="str">
        <f t="shared" si="39"/>
        <v>26273.31</v>
      </c>
      <c r="P190" s="16" t="str">
        <f t="shared" si="40"/>
        <v>861.69</v>
      </c>
      <c r="Q190" s="16" t="str">
        <f t="shared" si="41"/>
        <v>0.03</v>
      </c>
      <c r="R190" t="str">
        <f t="shared" si="42"/>
        <v>742502.3205</v>
      </c>
    </row>
    <row r="191" ht="15.75" customHeight="1">
      <c r="A191" t="s">
        <v>23</v>
      </c>
      <c r="B191">
        <v>28.0</v>
      </c>
      <c r="D191" s="22">
        <v>131394.906562593</v>
      </c>
      <c r="E191">
        <v>34962.0</v>
      </c>
      <c r="F191" s="22">
        <v>29642.471181994144</v>
      </c>
      <c r="G191" s="22">
        <v>126075.37774458714</v>
      </c>
      <c r="H191" s="15" t="str">
        <f t="shared" si="43"/>
        <v>29,020.58</v>
      </c>
      <c r="I191" s="15" t="str">
        <f t="shared" si="44"/>
        <v>102.00</v>
      </c>
      <c r="J191" s="16" t="str">
        <f t="shared" si="45"/>
        <v>1.16</v>
      </c>
      <c r="K191" s="16" t="str">
        <f t="shared" si="39"/>
        <v>33856.58</v>
      </c>
      <c r="P191" s="16" t="str">
        <f t="shared" si="40"/>
        <v>1105.42</v>
      </c>
      <c r="Q191" s="16" t="str">
        <f t="shared" si="41"/>
        <v>0.03</v>
      </c>
      <c r="R191" t="str">
        <f t="shared" si="42"/>
        <v>1221952.216</v>
      </c>
    </row>
    <row r="192" ht="15.75" customHeight="1">
      <c r="A192" t="s">
        <v>3</v>
      </c>
      <c r="B192">
        <v>31.0</v>
      </c>
      <c r="D192" s="22">
        <v>126075.37774458714</v>
      </c>
      <c r="E192">
        <v>19637.0</v>
      </c>
      <c r="F192" s="22">
        <v>32762.731306414586</v>
      </c>
      <c r="G192" s="22">
        <v>139201.10905100172</v>
      </c>
      <c r="H192" s="15" t="str">
        <f t="shared" si="43"/>
        <v>29,122.58</v>
      </c>
      <c r="I192" s="15" t="str">
        <f t="shared" si="44"/>
        <v>55.00</v>
      </c>
      <c r="J192" s="16" t="str">
        <f t="shared" si="45"/>
        <v>0.65</v>
      </c>
      <c r="K192" s="16" t="str">
        <f t="shared" si="39"/>
        <v>19012.84</v>
      </c>
      <c r="P192" s="16" t="str">
        <f t="shared" si="40"/>
        <v>624.16</v>
      </c>
      <c r="Q192" s="16" t="str">
        <f t="shared" si="41"/>
        <v>0.03</v>
      </c>
      <c r="R192" t="str">
        <f t="shared" si="42"/>
        <v>389576.4937</v>
      </c>
    </row>
    <row r="193" ht="15.75" customHeight="1">
      <c r="A193" t="s">
        <v>4</v>
      </c>
      <c r="B193">
        <v>30.0</v>
      </c>
      <c r="D193" s="22">
        <v>139201.10905100172</v>
      </c>
      <c r="E193">
        <v>41514.0</v>
      </c>
      <c r="F193" s="22">
        <v>34322.8613686248</v>
      </c>
      <c r="G193" s="22">
        <v>132009.9704196265</v>
      </c>
      <c r="H193" s="15" t="str">
        <f t="shared" si="43"/>
        <v>29,177.58</v>
      </c>
      <c r="I193" s="15" t="str">
        <f t="shared" si="44"/>
        <v>121.42</v>
      </c>
      <c r="J193" s="16" t="str">
        <f t="shared" si="45"/>
        <v>1.37</v>
      </c>
      <c r="K193" s="16" t="str">
        <f t="shared" si="39"/>
        <v>40223.69</v>
      </c>
      <c r="P193" s="16" t="str">
        <f t="shared" si="40"/>
        <v>1290.31</v>
      </c>
      <c r="Q193" s="16" t="str">
        <f t="shared" si="41"/>
        <v>0.03</v>
      </c>
      <c r="R193" t="str">
        <f t="shared" si="42"/>
        <v>1664902.014</v>
      </c>
    </row>
    <row r="194" ht="15.75" customHeight="1">
      <c r="A194" t="s">
        <v>5</v>
      </c>
      <c r="B194">
        <v>31.0</v>
      </c>
      <c r="D194" s="22">
        <v>132009.9704196265</v>
      </c>
      <c r="E194">
        <v>34581.0</v>
      </c>
      <c r="F194" s="22">
        <v>32762.731306414586</v>
      </c>
      <c r="G194" s="22">
        <v>130191.7017260411</v>
      </c>
      <c r="H194" s="15" t="str">
        <f t="shared" si="43"/>
        <v>29,299.00</v>
      </c>
      <c r="I194" s="15" t="str">
        <f t="shared" si="44"/>
        <v>96.00</v>
      </c>
      <c r="J194" s="16" t="str">
        <f t="shared" si="45"/>
        <v>1.14</v>
      </c>
      <c r="K194" s="16" t="str">
        <f t="shared" si="39"/>
        <v>33538.53</v>
      </c>
      <c r="P194" s="16" t="str">
        <f t="shared" si="40"/>
        <v>1042.47</v>
      </c>
      <c r="Q194" s="16" t="str">
        <f t="shared" si="41"/>
        <v>0.03</v>
      </c>
      <c r="R194" t="str">
        <f t="shared" si="42"/>
        <v>1086739.109</v>
      </c>
    </row>
    <row r="195" ht="15.75" customHeight="1">
      <c r="A195" t="s">
        <v>6</v>
      </c>
      <c r="B195">
        <v>30.0</v>
      </c>
      <c r="D195" s="22">
        <v>130191.7017260411</v>
      </c>
      <c r="E195">
        <v>18685.0</v>
      </c>
      <c r="F195" s="22">
        <v>32762.731306414586</v>
      </c>
      <c r="G195" s="22">
        <v>144269.43303245568</v>
      </c>
      <c r="H195" s="15" t="str">
        <f t="shared" si="43"/>
        <v>29,395.00</v>
      </c>
      <c r="I195" s="15" t="str">
        <f t="shared" si="44"/>
        <v>51.25</v>
      </c>
      <c r="J195" s="16" t="str">
        <f t="shared" si="45"/>
        <v>0.61</v>
      </c>
      <c r="K195" s="16" t="str">
        <f t="shared" si="39"/>
        <v>18101.50</v>
      </c>
      <c r="P195" s="16" t="str">
        <f t="shared" si="40"/>
        <v>583.50</v>
      </c>
      <c r="Q195" s="16" t="str">
        <f t="shared" si="41"/>
        <v>0.03</v>
      </c>
      <c r="R195" t="str">
        <f t="shared" si="42"/>
        <v>340466.4934</v>
      </c>
    </row>
    <row r="196" ht="15.75" customHeight="1">
      <c r="A196" t="s">
        <v>7</v>
      </c>
      <c r="B196">
        <v>31.0</v>
      </c>
      <c r="D196" s="22">
        <v>144269.43303245568</v>
      </c>
      <c r="E196">
        <v>48953.0</v>
      </c>
      <c r="F196" s="22">
        <v>34322.8613686248</v>
      </c>
      <c r="G196" s="22">
        <v>129639.29440108046</v>
      </c>
      <c r="H196" s="15" t="str">
        <f t="shared" si="43"/>
        <v>29,446.25</v>
      </c>
      <c r="I196" s="15" t="str">
        <f t="shared" si="44"/>
        <v>139.17</v>
      </c>
      <c r="J196" s="16" t="str">
        <f t="shared" si="45"/>
        <v>1.61</v>
      </c>
      <c r="K196" s="16" t="str">
        <f t="shared" si="39"/>
        <v>47506.47</v>
      </c>
      <c r="P196" s="16" t="str">
        <f t="shared" si="40"/>
        <v>1446.53</v>
      </c>
      <c r="Q196" s="16" t="str">
        <f t="shared" si="41"/>
        <v>0.03</v>
      </c>
      <c r="R196" t="str">
        <f t="shared" si="42"/>
        <v>2092462.402</v>
      </c>
    </row>
    <row r="197" ht="15.75" customHeight="1">
      <c r="A197" t="s">
        <v>8</v>
      </c>
      <c r="B197">
        <v>31.0</v>
      </c>
      <c r="D197" s="22">
        <v>129639.29440108046</v>
      </c>
      <c r="E197">
        <v>1838.0</v>
      </c>
      <c r="F197" s="22">
        <v>21841.820870943055</v>
      </c>
      <c r="G197" s="22">
        <v>149643.1152720235</v>
      </c>
      <c r="H197" s="15" t="str">
        <f t="shared" si="43"/>
        <v>29,585.42</v>
      </c>
      <c r="I197" s="15" t="str">
        <f t="shared" si="44"/>
        <v>-1.17</v>
      </c>
      <c r="J197" s="16" t="str">
        <f t="shared" si="45"/>
        <v>0.06</v>
      </c>
      <c r="K197" s="16" t="str">
        <f t="shared" si="39"/>
        <v>1851.93</v>
      </c>
      <c r="P197" s="16" t="str">
        <f t="shared" si="40"/>
        <v>-13.93</v>
      </c>
      <c r="Q197" s="16" t="str">
        <f t="shared" si="41"/>
        <v>0.01</v>
      </c>
      <c r="R197" t="str">
        <f t="shared" si="42"/>
        <v>193.9604523</v>
      </c>
    </row>
    <row r="198" ht="15.75" customHeight="1">
      <c r="A198" t="s">
        <v>9</v>
      </c>
      <c r="B198">
        <v>30.0</v>
      </c>
      <c r="D198" s="22">
        <v>149643.1152720235</v>
      </c>
      <c r="E198">
        <v>43675.0</v>
      </c>
      <c r="F198" s="22">
        <v>32762.731306414586</v>
      </c>
      <c r="G198" s="22">
        <v>138730.8465784381</v>
      </c>
      <c r="H198" s="15" t="str">
        <f t="shared" si="43"/>
        <v>29,584.25</v>
      </c>
      <c r="I198" s="15" t="str">
        <f t="shared" si="44"/>
        <v>125.42</v>
      </c>
      <c r="J198" s="16" t="str">
        <f t="shared" si="45"/>
        <v>1.43</v>
      </c>
      <c r="K198" s="16" t="str">
        <f t="shared" si="39"/>
        <v>42348.77</v>
      </c>
      <c r="P198" s="16" t="str">
        <f t="shared" si="40"/>
        <v>1326.23</v>
      </c>
      <c r="Q198" s="16" t="str">
        <f t="shared" si="41"/>
        <v>0.03</v>
      </c>
      <c r="R198" t="str">
        <f t="shared" si="42"/>
        <v>1758882.027</v>
      </c>
    </row>
    <row r="199" ht="15.75" customHeight="1">
      <c r="A199" t="s">
        <v>10</v>
      </c>
      <c r="B199">
        <v>31.0</v>
      </c>
      <c r="D199" s="22">
        <v>138730.8465784381</v>
      </c>
      <c r="E199">
        <v>31457.0</v>
      </c>
      <c r="F199" s="22">
        <v>34322.8613686248</v>
      </c>
      <c r="G199" s="22">
        <v>141596.7079470629</v>
      </c>
      <c r="H199" s="15" t="str">
        <f t="shared" si="43"/>
        <v>29,709.67</v>
      </c>
      <c r="I199" s="15" t="str">
        <f t="shared" si="44"/>
        <v>86.50</v>
      </c>
      <c r="J199" s="16" t="str">
        <f t="shared" si="45"/>
        <v>1.02</v>
      </c>
      <c r="K199" s="16" t="str">
        <f t="shared" si="39"/>
        <v>30507.57</v>
      </c>
      <c r="P199" s="16" t="str">
        <f t="shared" si="40"/>
        <v>949.43</v>
      </c>
      <c r="Q199" s="16" t="str">
        <f t="shared" si="41"/>
        <v>0.03</v>
      </c>
      <c r="R199" t="str">
        <f t="shared" si="42"/>
        <v>901426.38</v>
      </c>
    </row>
    <row r="200" ht="15.75" customHeight="1">
      <c r="A200" t="s">
        <v>11</v>
      </c>
      <c r="B200">
        <v>30.0</v>
      </c>
      <c r="D200" s="22">
        <v>141596.7079470629</v>
      </c>
      <c r="E200">
        <v>33346.0</v>
      </c>
      <c r="F200" s="22">
        <v>28082.341119783927</v>
      </c>
      <c r="G200" s="22">
        <v>136333.04906684684</v>
      </c>
      <c r="H200" s="15" t="str">
        <f t="shared" si="43"/>
        <v>29,796.17</v>
      </c>
      <c r="I200" s="15" t="str">
        <f t="shared" si="44"/>
        <v>93.58</v>
      </c>
      <c r="J200" s="16" t="str">
        <f t="shared" si="45"/>
        <v>1.08</v>
      </c>
      <c r="K200" s="16" t="str">
        <f t="shared" si="39"/>
        <v>32324.21</v>
      </c>
      <c r="P200" s="16" t="str">
        <f t="shared" si="40"/>
        <v>1021.79</v>
      </c>
      <c r="Q200" s="16" t="str">
        <f t="shared" si="41"/>
        <v>0.03</v>
      </c>
      <c r="R200" t="str">
        <f t="shared" si="42"/>
        <v>1044064.014</v>
      </c>
    </row>
    <row r="201" ht="15.75" customHeight="1">
      <c r="A201" t="s">
        <v>12</v>
      </c>
      <c r="B201">
        <v>31.0</v>
      </c>
      <c r="D201" s="22">
        <v>136333.04906684684</v>
      </c>
      <c r="E201">
        <v>23677.0</v>
      </c>
      <c r="F201" s="22">
        <v>23401.950933153275</v>
      </c>
      <c r="G201" s="22">
        <v>136058.00000000012</v>
      </c>
      <c r="H201" s="15" t="str">
        <f t="shared" si="43"/>
        <v>29,889.75</v>
      </c>
      <c r="I201" s="15" t="str">
        <f t="shared" si="44"/>
        <v>-946.83</v>
      </c>
      <c r="J201" s="16" t="str">
        <f t="shared" si="45"/>
        <v>0.77</v>
      </c>
      <c r="K201" s="16" t="str">
        <f t="shared" si="39"/>
        <v>22168.77</v>
      </c>
      <c r="P201" s="16" t="str">
        <f t="shared" si="40"/>
        <v>1508.23</v>
      </c>
      <c r="Q201" s="16" t="str">
        <f t="shared" si="41"/>
        <v>0.06</v>
      </c>
      <c r="R201" t="str">
        <f t="shared" si="42"/>
        <v>2274743.497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18.0"/>
    <col customWidth="1" min="4" max="4" width="33.25"/>
    <col customWidth="1" min="5" max="5" width="27.13"/>
    <col customWidth="1" min="6" max="6" width="32.0"/>
    <col customWidth="1" min="7" max="7" width="16.75"/>
    <col customWidth="1" min="8" max="8" width="35.88"/>
    <col customWidth="1" min="9" max="9" width="23.0"/>
  </cols>
  <sheetData>
    <row r="1">
      <c r="A1" s="13" t="s">
        <v>62</v>
      </c>
      <c r="B1" s="13" t="s">
        <v>38</v>
      </c>
      <c r="C1" s="13" t="s">
        <v>63</v>
      </c>
      <c r="D1" s="13" t="s">
        <v>64</v>
      </c>
      <c r="E1" s="13" t="s">
        <v>65</v>
      </c>
      <c r="F1" s="13" t="s">
        <v>66</v>
      </c>
      <c r="G1" s="13" t="s">
        <v>46</v>
      </c>
      <c r="H1" s="13" t="s">
        <v>67</v>
      </c>
      <c r="I1" s="38" t="s">
        <v>68</v>
      </c>
    </row>
    <row r="2">
      <c r="A2" s="13">
        <v>1.0</v>
      </c>
      <c r="B2" s="22">
        <v>26203.0</v>
      </c>
      <c r="C2" s="22">
        <v>31258.350000000002</v>
      </c>
      <c r="D2" s="22">
        <v>31258.350000000002</v>
      </c>
      <c r="E2" s="22">
        <v>31258.350000000002</v>
      </c>
      <c r="F2" s="22">
        <v>31258.350000000002</v>
      </c>
      <c r="G2" s="22">
        <v>31258.350000000002</v>
      </c>
      <c r="H2" s="18">
        <v>31258.350000000002</v>
      </c>
      <c r="I2" s="39">
        <v>18167.408303701253</v>
      </c>
    </row>
    <row r="3">
      <c r="A3" s="13">
        <v>2.0</v>
      </c>
      <c r="B3" s="22">
        <v>33738.0</v>
      </c>
      <c r="C3" s="22">
        <v>28281.364285714284</v>
      </c>
      <c r="D3" s="22">
        <v>28281.364285714284</v>
      </c>
      <c r="E3" s="22">
        <v>28281.364285714284</v>
      </c>
      <c r="F3" s="22">
        <v>28281.364285714284</v>
      </c>
      <c r="G3" s="22" t="str">
        <f t="shared" ref="G3:G25" si="1">F2</f>
        <v>31,258</v>
      </c>
      <c r="H3" s="18">
        <v>28281.364285714284</v>
      </c>
      <c r="I3" s="39">
        <v>44237.22041539482</v>
      </c>
    </row>
    <row r="4">
      <c r="A4" s="13">
        <v>3.0</v>
      </c>
      <c r="B4" s="22">
        <v>18977.0</v>
      </c>
      <c r="C4" s="22">
        <v>31258.350000000002</v>
      </c>
      <c r="D4" s="22">
        <v>31258.350000000002</v>
      </c>
      <c r="E4" s="22">
        <v>31258.350000000002</v>
      </c>
      <c r="F4" s="22">
        <v>31258.350000000002</v>
      </c>
      <c r="G4" s="22" t="str">
        <f t="shared" si="1"/>
        <v>28,281</v>
      </c>
      <c r="H4" s="18">
        <v>31258.350000000002</v>
      </c>
      <c r="I4" s="39">
        <v>13224.99854065144</v>
      </c>
    </row>
    <row r="5">
      <c r="A5" s="13">
        <v>4.0</v>
      </c>
      <c r="B5" s="22">
        <v>40057.0</v>
      </c>
      <c r="C5" s="22">
        <v>32746.84285714286</v>
      </c>
      <c r="D5" s="22" t="str">
        <f t="shared" ref="D5:D25" si="2">ROUND(AVERAGE(C2:C4),0)</f>
        <v>30,266</v>
      </c>
      <c r="E5" s="22" t="str">
        <f t="shared" ref="E5:E25" si="3">ROUND(AVERAGE(D4:D$66),0)</f>
        <v>30,429</v>
      </c>
      <c r="F5" s="22">
        <v>32994.0</v>
      </c>
      <c r="G5" s="22" t="str">
        <f t="shared" si="1"/>
        <v>31,258</v>
      </c>
      <c r="H5" s="18">
        <v>32746.84285714286</v>
      </c>
      <c r="I5" s="39">
        <v>52326.55917071039</v>
      </c>
    </row>
    <row r="6">
      <c r="A6" s="13">
        <v>5.0</v>
      </c>
      <c r="B6" s="22">
        <v>33429.0</v>
      </c>
      <c r="C6" s="22">
        <v>32240.210970464188</v>
      </c>
      <c r="D6" s="22" t="str">
        <f t="shared" si="2"/>
        <v>30,762</v>
      </c>
      <c r="E6" s="22" t="str">
        <f t="shared" si="3"/>
        <v>30,390</v>
      </c>
      <c r="F6" s="22">
        <v>23182.0</v>
      </c>
      <c r="G6" s="22" t="str">
        <f t="shared" si="1"/>
        <v>32,994</v>
      </c>
      <c r="H6" s="18">
        <v>32240.210970464188</v>
      </c>
      <c r="I6" s="39">
        <v>23509.109594184098</v>
      </c>
    </row>
    <row r="7">
      <c r="A7" s="13">
        <v>6.0</v>
      </c>
      <c r="B7" s="22">
        <v>18070.0</v>
      </c>
      <c r="C7" s="22">
        <v>29769.85714285714</v>
      </c>
      <c r="D7" s="22" t="str">
        <f t="shared" si="2"/>
        <v>32,082</v>
      </c>
      <c r="E7" s="22" t="str">
        <f t="shared" si="3"/>
        <v>30,396</v>
      </c>
      <c r="F7" s="22">
        <v>34995.0</v>
      </c>
      <c r="G7" s="22" t="str">
        <f t="shared" si="1"/>
        <v>23,182</v>
      </c>
      <c r="H7" s="18" t="str">
        <f t="shared" ref="H7:H25" si="4">ROUND(AVERAGE(G2:G6),0)</f>
        <v>31,010</v>
      </c>
      <c r="I7" s="39">
        <v>23532.699211884108</v>
      </c>
    </row>
    <row r="8">
      <c r="A8" s="13">
        <v>7.0</v>
      </c>
      <c r="B8" s="22">
        <v>47283.0</v>
      </c>
      <c r="C8" s="22">
        <v>32746.84285714286</v>
      </c>
      <c r="D8" s="22" t="str">
        <f t="shared" si="2"/>
        <v>31,586</v>
      </c>
      <c r="E8" s="22" t="str">
        <f t="shared" si="3"/>
        <v>30,377</v>
      </c>
      <c r="F8" s="22">
        <v>33899.0</v>
      </c>
      <c r="G8" s="22" t="str">
        <f t="shared" si="1"/>
        <v>34,995</v>
      </c>
      <c r="H8" s="18" t="str">
        <f t="shared" si="4"/>
        <v>29,395</v>
      </c>
      <c r="I8" s="39">
        <v>33178.4538693382</v>
      </c>
    </row>
    <row r="9">
      <c r="A9" s="13">
        <v>8.0</v>
      </c>
      <c r="B9" s="22">
        <v>1852.0</v>
      </c>
      <c r="C9" s="22">
        <v>22327.392857142855</v>
      </c>
      <c r="D9" s="22" t="str">
        <f t="shared" si="2"/>
        <v>31,586</v>
      </c>
      <c r="E9" s="22" t="str">
        <f t="shared" si="3"/>
        <v>30,282</v>
      </c>
      <c r="F9" s="22">
        <v>22819.0</v>
      </c>
      <c r="G9" s="22" t="str">
        <f t="shared" si="1"/>
        <v>33,899</v>
      </c>
      <c r="H9" s="18" t="str">
        <f t="shared" si="4"/>
        <v>30,142</v>
      </c>
      <c r="I9" s="39">
        <v>2419.2772114639815</v>
      </c>
    </row>
    <row r="10">
      <c r="A10" s="13">
        <v>9.0</v>
      </c>
      <c r="B10" s="22">
        <v>42170.0</v>
      </c>
      <c r="C10" s="22">
        <v>29769.85714285714</v>
      </c>
      <c r="D10" s="22" t="str">
        <f t="shared" si="2"/>
        <v>28,281</v>
      </c>
      <c r="E10" s="22" t="str">
        <f t="shared" si="3"/>
        <v>30,205</v>
      </c>
      <c r="F10" s="22">
        <v>39944.0</v>
      </c>
      <c r="G10" s="22" t="str">
        <f t="shared" si="1"/>
        <v>22,819</v>
      </c>
      <c r="H10" s="18" t="str">
        <f t="shared" si="4"/>
        <v>31,266</v>
      </c>
      <c r="I10" s="39">
        <v>29249.274783034893</v>
      </c>
    </row>
    <row r="11">
      <c r="A11" s="13">
        <v>10.0</v>
      </c>
      <c r="B11" s="22">
        <v>30419.0</v>
      </c>
      <c r="C11" s="22">
        <v>32746.84285714286</v>
      </c>
      <c r="D11" s="22" t="str">
        <f t="shared" si="2"/>
        <v>28,281</v>
      </c>
      <c r="E11" s="22" t="str">
        <f t="shared" si="3"/>
        <v>30,119</v>
      </c>
      <c r="F11" s="22">
        <v>13280.0</v>
      </c>
      <c r="G11" s="22" t="str">
        <f t="shared" si="1"/>
        <v>39,944</v>
      </c>
      <c r="H11" s="18" t="str">
        <f t="shared" si="4"/>
        <v>29,578</v>
      </c>
      <c r="I11" s="39">
        <v>39956.74163291409</v>
      </c>
    </row>
    <row r="12">
      <c r="A12" s="13">
        <v>11.0</v>
      </c>
      <c r="B12" s="22">
        <v>32223.0</v>
      </c>
      <c r="C12" s="22">
        <v>28281.364285714284</v>
      </c>
      <c r="D12" s="22" t="str">
        <f t="shared" si="2"/>
        <v>28,281</v>
      </c>
      <c r="E12" s="22" t="str">
        <f t="shared" si="3"/>
        <v>30,242</v>
      </c>
      <c r="F12" s="22">
        <v>33503.0</v>
      </c>
      <c r="G12" s="22" t="str">
        <f t="shared" si="1"/>
        <v>13,280</v>
      </c>
      <c r="H12" s="18" t="str">
        <f t="shared" si="4"/>
        <v>30,968</v>
      </c>
      <c r="I12" s="39">
        <v>22336.043389250295</v>
      </c>
    </row>
    <row r="13">
      <c r="A13" s="13">
        <v>12.0</v>
      </c>
      <c r="B13" s="22">
        <v>22894.0</v>
      </c>
      <c r="C13" s="22">
        <v>20838.9</v>
      </c>
      <c r="D13" s="22" t="str">
        <f t="shared" si="2"/>
        <v>30,266</v>
      </c>
      <c r="E13" s="22" t="str">
        <f t="shared" si="3"/>
        <v>30,382</v>
      </c>
      <c r="F13" s="22">
        <v>31344.0</v>
      </c>
      <c r="G13" s="22" t="str">
        <f t="shared" si="1"/>
        <v>33,503</v>
      </c>
      <c r="H13" s="18" t="str">
        <f t="shared" si="4"/>
        <v>28,987</v>
      </c>
      <c r="I13" s="39">
        <v>30039.91366605609</v>
      </c>
    </row>
    <row r="14">
      <c r="A14" s="13">
        <v>13.0</v>
      </c>
      <c r="B14" s="22">
        <v>27135.0</v>
      </c>
      <c r="C14" s="22">
        <v>32762.731306414586</v>
      </c>
      <c r="D14" s="22" t="str">
        <f t="shared" si="2"/>
        <v>27,289</v>
      </c>
      <c r="E14" s="22" t="str">
        <f t="shared" si="3"/>
        <v>30,543</v>
      </c>
      <c r="F14" s="22">
        <v>31959.0</v>
      </c>
      <c r="G14" s="22" t="str">
        <f t="shared" si="1"/>
        <v>31,344</v>
      </c>
      <c r="H14" s="18" t="str">
        <f t="shared" si="4"/>
        <v>28,689</v>
      </c>
      <c r="I14" s="39">
        <v>26273.31425651066</v>
      </c>
    </row>
    <row r="15">
      <c r="A15" s="13">
        <v>14.0</v>
      </c>
      <c r="B15" s="22">
        <v>34962.0</v>
      </c>
      <c r="C15" s="22">
        <v>29642.471181994144</v>
      </c>
      <c r="D15" s="22" t="str">
        <f t="shared" si="2"/>
        <v>27,294</v>
      </c>
      <c r="E15" s="22" t="str">
        <f t="shared" si="3"/>
        <v>30,566</v>
      </c>
      <c r="F15" s="22">
        <v>25614.0</v>
      </c>
      <c r="G15" s="22" t="str">
        <f t="shared" si="1"/>
        <v>31,959</v>
      </c>
      <c r="H15" s="18" t="str">
        <f t="shared" si="4"/>
        <v>28,178</v>
      </c>
      <c r="I15" s="39">
        <v>33856.580524742494</v>
      </c>
    </row>
    <row r="16">
      <c r="A16" s="13">
        <v>15.0</v>
      </c>
      <c r="B16" s="22">
        <v>19637.0</v>
      </c>
      <c r="C16" s="22">
        <v>32762.731306414586</v>
      </c>
      <c r="D16" s="22" t="str">
        <f t="shared" si="2"/>
        <v>27,748</v>
      </c>
      <c r="E16" s="22" t="str">
        <f t="shared" si="3"/>
        <v>30,864</v>
      </c>
      <c r="F16" s="22">
        <v>26679.0</v>
      </c>
      <c r="G16" s="22" t="str">
        <f t="shared" si="1"/>
        <v>25,614</v>
      </c>
      <c r="H16" s="18" t="str">
        <f t="shared" si="4"/>
        <v>30,006</v>
      </c>
      <c r="I16" s="39">
        <v>19012.839368645757</v>
      </c>
    </row>
    <row r="17">
      <c r="A17" s="13">
        <v>16.0</v>
      </c>
      <c r="B17" s="22">
        <v>41514.0</v>
      </c>
      <c r="C17" s="22">
        <v>34322.8613686248</v>
      </c>
      <c r="D17" s="22" t="str">
        <f t="shared" si="2"/>
        <v>31,723</v>
      </c>
      <c r="E17" s="22" t="str">
        <f t="shared" si="3"/>
        <v>31,221</v>
      </c>
      <c r="F17" s="22">
        <v>32477.0</v>
      </c>
      <c r="G17" s="22" t="str">
        <f t="shared" si="1"/>
        <v>26,679</v>
      </c>
      <c r="H17" s="18" t="str">
        <f t="shared" si="4"/>
        <v>27,140</v>
      </c>
      <c r="I17" s="39">
        <v>40223.68917919293</v>
      </c>
    </row>
    <row r="18">
      <c r="A18" s="13">
        <v>17.0</v>
      </c>
      <c r="B18" s="22">
        <v>34581.0</v>
      </c>
      <c r="C18" s="22">
        <v>32762.731306414586</v>
      </c>
      <c r="D18" s="22" t="str">
        <f t="shared" si="2"/>
        <v>32,243</v>
      </c>
      <c r="E18" s="22" t="str">
        <f t="shared" si="3"/>
        <v>31,607</v>
      </c>
      <c r="F18" s="22">
        <v>23489.0</v>
      </c>
      <c r="G18" s="22" t="str">
        <f t="shared" si="1"/>
        <v>32,477</v>
      </c>
      <c r="H18" s="18" t="str">
        <f t="shared" si="4"/>
        <v>29,820</v>
      </c>
      <c r="I18" s="39">
        <v>33538.532202464245</v>
      </c>
    </row>
    <row r="19">
      <c r="A19" s="13">
        <v>18.0</v>
      </c>
      <c r="B19" s="22">
        <v>18685.0</v>
      </c>
      <c r="C19" s="22">
        <v>32762.731306414586</v>
      </c>
      <c r="D19" s="22" t="str">
        <f t="shared" si="2"/>
        <v>33,283</v>
      </c>
      <c r="E19" s="22" t="str">
        <f t="shared" si="3"/>
        <v>31,593</v>
      </c>
      <c r="F19" s="22">
        <v>36107.0</v>
      </c>
      <c r="G19" s="22" t="str">
        <f t="shared" si="1"/>
        <v>23,489</v>
      </c>
      <c r="H19" s="18" t="str">
        <f t="shared" si="4"/>
        <v>29,615</v>
      </c>
      <c r="I19" s="39">
        <v>18101.504932811706</v>
      </c>
    </row>
    <row r="20">
      <c r="A20" s="13">
        <v>19.0</v>
      </c>
      <c r="B20" s="22">
        <v>48953.0</v>
      </c>
      <c r="C20" s="22">
        <v>34322.8613686248</v>
      </c>
      <c r="D20" s="22" t="str">
        <f t="shared" si="2"/>
        <v>33,283</v>
      </c>
      <c r="E20" s="22" t="str">
        <f t="shared" si="3"/>
        <v>31,500</v>
      </c>
      <c r="F20" s="22">
        <v>35039.0</v>
      </c>
      <c r="G20" s="22" t="str">
        <f t="shared" si="1"/>
        <v>36,107</v>
      </c>
      <c r="H20" s="18" t="str">
        <f t="shared" si="4"/>
        <v>28,044</v>
      </c>
      <c r="I20" s="39">
        <v>47506.46538183981</v>
      </c>
    </row>
    <row r="21" ht="15.75" customHeight="1">
      <c r="A21" s="13">
        <v>20.0</v>
      </c>
      <c r="B21" s="22">
        <v>1838.0</v>
      </c>
      <c r="C21" s="22">
        <v>21841.820870943055</v>
      </c>
      <c r="D21" s="22" t="str">
        <f t="shared" si="2"/>
        <v>33,283</v>
      </c>
      <c r="E21" s="22" t="str">
        <f t="shared" si="3"/>
        <v>31,203</v>
      </c>
      <c r="F21" s="22">
        <v>23591.0</v>
      </c>
      <c r="G21" s="22" t="str">
        <f t="shared" si="1"/>
        <v>35,039</v>
      </c>
      <c r="H21" s="18" t="str">
        <f t="shared" si="4"/>
        <v>28,873</v>
      </c>
      <c r="I21" s="39">
        <v>1851.9269685233432</v>
      </c>
    </row>
    <row r="22" ht="15.75" customHeight="1">
      <c r="A22" s="13">
        <v>21.0</v>
      </c>
      <c r="B22" s="22">
        <v>43675.0</v>
      </c>
      <c r="C22" s="22">
        <v>32762.731306414586</v>
      </c>
      <c r="D22" s="22" t="str">
        <f t="shared" si="2"/>
        <v>29,642</v>
      </c>
      <c r="E22" s="22" t="str">
        <f t="shared" si="3"/>
        <v>30,786</v>
      </c>
      <c r="F22" s="22">
        <v>41344.0</v>
      </c>
      <c r="G22" s="22" t="str">
        <f t="shared" si="1"/>
        <v>23,591</v>
      </c>
      <c r="H22" s="18" t="str">
        <f t="shared" si="4"/>
        <v>30,758</v>
      </c>
      <c r="I22" s="39">
        <v>42348.77150285484</v>
      </c>
    </row>
    <row r="23" ht="15.75" customHeight="1">
      <c r="A23" s="13">
        <v>22.0</v>
      </c>
      <c r="B23" s="22">
        <v>31457.0</v>
      </c>
      <c r="C23" s="22">
        <v>34322.8613686248</v>
      </c>
      <c r="D23" s="22" t="str">
        <f t="shared" si="2"/>
        <v>29,642</v>
      </c>
      <c r="E23" s="22" t="str">
        <f t="shared" si="3"/>
        <v>30,162</v>
      </c>
      <c r="F23" s="22">
        <v>13690.0</v>
      </c>
      <c r="G23" s="22" t="str">
        <f t="shared" si="1"/>
        <v>41,344</v>
      </c>
      <c r="H23" s="18" t="str">
        <f t="shared" si="4"/>
        <v>30,141</v>
      </c>
      <c r="I23" s="39">
        <v>30507.565231293967</v>
      </c>
    </row>
    <row r="24" ht="15.75" customHeight="1">
      <c r="A24" s="13">
        <v>23.0</v>
      </c>
      <c r="B24" s="22">
        <v>33346.0</v>
      </c>
      <c r="C24" s="22">
        <v>28082.341119783927</v>
      </c>
      <c r="D24" s="22" t="str">
        <f t="shared" si="2"/>
        <v>29,642</v>
      </c>
      <c r="E24" s="22" t="str">
        <f t="shared" si="3"/>
        <v>30,336</v>
      </c>
      <c r="F24" s="22">
        <v>34680.0</v>
      </c>
      <c r="G24" s="22" t="str">
        <f t="shared" si="1"/>
        <v>13,690</v>
      </c>
      <c r="H24" s="18" t="str">
        <f t="shared" si="4"/>
        <v>31,914</v>
      </c>
      <c r="I24" s="39">
        <v>32324.205493435955</v>
      </c>
    </row>
    <row r="25" ht="15.75" customHeight="1">
      <c r="A25" s="13">
        <v>24.0</v>
      </c>
      <c r="B25" s="22">
        <v>23677.0</v>
      </c>
      <c r="C25" s="22">
        <v>23401.950933153275</v>
      </c>
      <c r="D25" s="22" t="str">
        <f t="shared" si="2"/>
        <v>31,723</v>
      </c>
      <c r="E25" s="22" t="str">
        <f t="shared" si="3"/>
        <v>30,683</v>
      </c>
      <c r="F25" s="22">
        <v>32424.0</v>
      </c>
      <c r="G25" s="22" t="str">
        <f t="shared" si="1"/>
        <v>34,680</v>
      </c>
      <c r="H25" s="18" t="str">
        <f t="shared" si="4"/>
        <v>29,954</v>
      </c>
      <c r="I25" s="39">
        <v>22168.774719315712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0.13"/>
    <col customWidth="1" min="3" max="3" width="14.5"/>
    <col customWidth="1" min="4" max="4" width="24.5"/>
    <col customWidth="1" min="5" max="6" width="10.13"/>
  </cols>
  <sheetData>
    <row r="1">
      <c r="A1" s="13" t="s">
        <v>62</v>
      </c>
      <c r="B1" s="13" t="s">
        <v>38</v>
      </c>
      <c r="C1" s="13" t="s">
        <v>63</v>
      </c>
      <c r="D1" s="13" t="s">
        <v>68</v>
      </c>
    </row>
    <row r="2">
      <c r="A2" s="13">
        <v>1.0</v>
      </c>
      <c r="B2" s="22">
        <v>26203.0</v>
      </c>
      <c r="C2" s="22">
        <v>31258.350000000002</v>
      </c>
      <c r="D2" s="18">
        <v>18167.408303701253</v>
      </c>
    </row>
    <row r="3">
      <c r="A3" s="13">
        <v>2.0</v>
      </c>
      <c r="B3" s="22">
        <v>33738.0</v>
      </c>
      <c r="C3" s="22">
        <v>28281.364285714284</v>
      </c>
      <c r="D3" s="18">
        <v>44237.22041539482</v>
      </c>
    </row>
    <row r="4">
      <c r="A4" s="13">
        <v>3.0</v>
      </c>
      <c r="B4" s="22">
        <v>18977.0</v>
      </c>
      <c r="C4" s="22">
        <v>31258.350000000002</v>
      </c>
      <c r="D4" s="18">
        <v>13224.99854065144</v>
      </c>
    </row>
    <row r="5">
      <c r="A5" s="13">
        <v>4.0</v>
      </c>
      <c r="B5" s="22">
        <v>40057.0</v>
      </c>
      <c r="C5" s="22">
        <v>32746.84285714286</v>
      </c>
      <c r="D5" s="18">
        <v>52326.55917071039</v>
      </c>
    </row>
    <row r="6">
      <c r="A6" s="13">
        <v>5.0</v>
      </c>
      <c r="B6" s="22">
        <v>33429.0</v>
      </c>
      <c r="C6" s="22">
        <v>32240.210970464188</v>
      </c>
      <c r="D6" s="18">
        <v>23509.109594184098</v>
      </c>
    </row>
    <row r="7">
      <c r="A7" s="13">
        <v>6.0</v>
      </c>
      <c r="B7" s="22">
        <v>18070.0</v>
      </c>
      <c r="C7" s="22">
        <v>29769.85714285714</v>
      </c>
      <c r="D7" s="18">
        <v>23532.699211884108</v>
      </c>
    </row>
    <row r="8">
      <c r="A8" s="13">
        <v>7.0</v>
      </c>
      <c r="B8" s="22">
        <v>47283.0</v>
      </c>
      <c r="C8" s="22">
        <v>32746.84285714286</v>
      </c>
      <c r="D8" s="18">
        <v>33178.4538693382</v>
      </c>
    </row>
    <row r="9">
      <c r="A9" s="13">
        <v>8.0</v>
      </c>
      <c r="B9" s="22">
        <v>1852.0</v>
      </c>
      <c r="C9" s="22">
        <v>22327.392857142855</v>
      </c>
      <c r="D9" s="18">
        <v>2419.2772114639815</v>
      </c>
    </row>
    <row r="10">
      <c r="A10" s="13">
        <v>9.0</v>
      </c>
      <c r="B10" s="22">
        <v>42170.0</v>
      </c>
      <c r="C10" s="22">
        <v>29769.85714285714</v>
      </c>
      <c r="D10" s="18">
        <v>29249.274783034893</v>
      </c>
    </row>
    <row r="11">
      <c r="A11" s="13">
        <v>10.0</v>
      </c>
      <c r="B11" s="22">
        <v>30419.0</v>
      </c>
      <c r="C11" s="22">
        <v>32746.84285714286</v>
      </c>
      <c r="D11" s="18">
        <v>39956.74163291409</v>
      </c>
    </row>
    <row r="12">
      <c r="A12" s="13">
        <v>11.0</v>
      </c>
      <c r="B12" s="22">
        <v>32223.0</v>
      </c>
      <c r="C12" s="22">
        <v>28281.364285714284</v>
      </c>
      <c r="D12" s="18">
        <v>22336.043389250295</v>
      </c>
    </row>
    <row r="13">
      <c r="A13" s="13">
        <v>12.0</v>
      </c>
      <c r="B13" s="22">
        <v>22894.0</v>
      </c>
      <c r="C13" s="22">
        <v>20838.9</v>
      </c>
      <c r="D13" s="18">
        <v>30039.91366605609</v>
      </c>
    </row>
    <row r="14">
      <c r="A14" s="13">
        <v>13.0</v>
      </c>
      <c r="B14" s="22">
        <v>27135.0</v>
      </c>
      <c r="C14" s="22">
        <v>32762.731306414586</v>
      </c>
      <c r="D14" s="18">
        <v>26273.31425651066</v>
      </c>
    </row>
    <row r="15">
      <c r="A15" s="13">
        <v>14.0</v>
      </c>
      <c r="B15" s="22">
        <v>34962.0</v>
      </c>
      <c r="C15" s="22">
        <v>29642.471181994144</v>
      </c>
      <c r="D15" s="18">
        <v>33856.580524742494</v>
      </c>
    </row>
    <row r="16">
      <c r="A16" s="13">
        <v>15.0</v>
      </c>
      <c r="B16" s="22">
        <v>19637.0</v>
      </c>
      <c r="C16" s="22">
        <v>32762.731306414586</v>
      </c>
      <c r="D16" s="18">
        <v>19012.839368645757</v>
      </c>
    </row>
    <row r="17">
      <c r="A17" s="13">
        <v>16.0</v>
      </c>
      <c r="B17" s="22">
        <v>41514.0</v>
      </c>
      <c r="C17" s="22">
        <v>34322.8613686248</v>
      </c>
      <c r="D17" s="18">
        <v>40223.68917919293</v>
      </c>
    </row>
    <row r="18">
      <c r="A18" s="13">
        <v>17.0</v>
      </c>
      <c r="B18" s="22">
        <v>34581.0</v>
      </c>
      <c r="C18" s="22">
        <v>32762.731306414586</v>
      </c>
      <c r="D18" s="18">
        <v>33538.532202464245</v>
      </c>
    </row>
    <row r="19">
      <c r="A19" s="13">
        <v>18.0</v>
      </c>
      <c r="B19" s="22">
        <v>18685.0</v>
      </c>
      <c r="C19" s="22">
        <v>32762.731306414586</v>
      </c>
      <c r="D19" s="18">
        <v>18101.504932811706</v>
      </c>
    </row>
    <row r="20">
      <c r="A20" s="13">
        <v>19.0</v>
      </c>
      <c r="B20" s="22">
        <v>48953.0</v>
      </c>
      <c r="C20" s="22">
        <v>34322.8613686248</v>
      </c>
      <c r="D20" s="18">
        <v>47506.46538183981</v>
      </c>
    </row>
    <row r="21" ht="15.75" customHeight="1">
      <c r="A21" s="13">
        <v>20.0</v>
      </c>
      <c r="B21" s="22">
        <v>1838.0</v>
      </c>
      <c r="C21" s="22">
        <v>21841.820870943055</v>
      </c>
      <c r="D21" s="18">
        <v>1851.9269685233432</v>
      </c>
    </row>
    <row r="22" ht="15.75" customHeight="1">
      <c r="A22" s="13">
        <v>21.0</v>
      </c>
      <c r="B22" s="22">
        <v>43675.0</v>
      </c>
      <c r="C22" s="22">
        <v>32762.731306414586</v>
      </c>
      <c r="D22" s="18">
        <v>42348.77150285484</v>
      </c>
    </row>
    <row r="23" ht="15.75" customHeight="1">
      <c r="A23" s="13">
        <v>22.0</v>
      </c>
      <c r="B23" s="22">
        <v>31457.0</v>
      </c>
      <c r="C23" s="22">
        <v>34322.8613686248</v>
      </c>
      <c r="D23" s="18">
        <v>30507.565231293967</v>
      </c>
    </row>
    <row r="24" ht="15.75" customHeight="1">
      <c r="A24" s="13">
        <v>23.0</v>
      </c>
      <c r="B24" s="22">
        <v>33346.0</v>
      </c>
      <c r="C24" s="22">
        <v>28082.341119783927</v>
      </c>
      <c r="D24" s="18">
        <v>32324.205493435955</v>
      </c>
    </row>
    <row r="25" ht="15.75" customHeight="1">
      <c r="A25" s="13">
        <v>24.0</v>
      </c>
      <c r="B25" s="22">
        <v>23677.0</v>
      </c>
      <c r="C25" s="22">
        <v>23401.950933153275</v>
      </c>
      <c r="D25" s="18">
        <v>22168.774719315712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Original Chart (Pivoted)</vt:lpstr>
      <vt:lpstr>Sheet1</vt:lpstr>
      <vt:lpstr>Inventory Analysis</vt:lpstr>
      <vt:lpstr>Forecast Accuracy</vt:lpstr>
      <vt:lpstr>All Forecast Chart</vt:lpstr>
      <vt:lpstr>Chosen Forecast Chart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2025-03-08T23:01:46Z</dcterms:created>
  <dc:creator>sawandi kirby</dc:creator>
  <cp:lastModifiedBy>sawandi kirby</cp:lastModifiedBy>
  <dcterms:modified xsi:type="dcterms:W3CDTF">2025-03-09T16:17:43Z</dcterms:modified>
</cp:coreProperties>
</file>