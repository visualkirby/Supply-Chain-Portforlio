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" sheetId="1" r:id="rId4"/>
    <sheet state="visible" name="A" sheetId="2" r:id="rId5"/>
    <sheet state="visible" name="B" sheetId="3" r:id="rId6"/>
    <sheet state="visible" name="C" sheetId="4" r:id="rId7"/>
    <sheet state="visible" name="D" sheetId="5" r:id="rId8"/>
  </sheets>
  <definedNames/>
  <calcPr/>
</workbook>
</file>

<file path=xl/sharedStrings.xml><?xml version="1.0" encoding="utf-8"?>
<sst xmlns="http://schemas.openxmlformats.org/spreadsheetml/2006/main" count="761" uniqueCount="20">
  <si>
    <t>PRODUCT A</t>
  </si>
  <si>
    <t>PRODUCT B</t>
  </si>
  <si>
    <t>PRODUCT C</t>
  </si>
  <si>
    <t>PRODUCT D</t>
  </si>
  <si>
    <t>DATE</t>
  </si>
  <si>
    <t>Daily Sales</t>
  </si>
  <si>
    <t>-</t>
  </si>
  <si>
    <t>Moving Average</t>
  </si>
  <si>
    <t xml:space="preserve">Cumulative Average </t>
  </si>
  <si>
    <t>Exponential Smoothing</t>
  </si>
  <si>
    <t xml:space="preserve">Error </t>
  </si>
  <si>
    <t xml:space="preserve">ABS % Error </t>
  </si>
  <si>
    <t xml:space="preserve">Squared Error </t>
  </si>
  <si>
    <t xml:space="preserve">Cumulative Forecast </t>
  </si>
  <si>
    <t>ALPHA:</t>
  </si>
  <si>
    <t>ME:</t>
  </si>
  <si>
    <t>MAPE:</t>
  </si>
  <si>
    <t>MSE:</t>
  </si>
  <si>
    <t>Min:</t>
  </si>
  <si>
    <t>Max: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</si>
</sst>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"/>
    <numFmt numFmtId="165" formatCode="d-mmmm-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2" xfId="0" applyAlignment="1" applyFont="1" applyNumberFormat="1">
      <alignment readingOrder="0"/>
    </xf>
    <xf borderId="5" fillId="0" fontId="2" numFmtId="2" xfId="0" applyBorder="1" applyFont="1" applyNumberFormat="1"/>
    <xf borderId="0" fillId="0" fontId="2" numFmtId="10" xfId="0" applyAlignment="1" applyFont="1" applyNumberFormat="1">
      <alignment readingOrder="0"/>
    </xf>
    <xf borderId="5" fillId="0" fontId="2" numFmtId="10" xfId="0" applyBorder="1" applyFont="1" applyNumberFormat="1"/>
    <xf borderId="6" fillId="0" fontId="2" numFmtId="0" xfId="0" applyAlignment="1" applyBorder="1" applyFont="1">
      <alignment readingOrder="0"/>
    </xf>
    <xf borderId="7" fillId="0" fontId="2" numFmtId="2" xfId="0" applyAlignment="1" applyBorder="1" applyFont="1" applyNumberFormat="1">
      <alignment readingOrder="0"/>
    </xf>
    <xf borderId="8" fillId="0" fontId="2" numFmtId="2" xfId="0" applyBorder="1" applyFont="1" applyNumberFormat="1"/>
    <xf borderId="0" fillId="0" fontId="1" numFmtId="2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4" numFmtId="0" xfId="0" applyAlignment="1" applyBorder="1" applyFont="1">
      <alignment horizontal="right" readingOrder="0" vertical="bottom"/>
    </xf>
    <xf borderId="0" fillId="0" fontId="4" numFmtId="2" xfId="0" applyAlignment="1" applyFont="1" applyNumberFormat="1">
      <alignment horizontal="right" vertical="bottom"/>
    </xf>
    <xf borderId="5" fillId="0" fontId="4" numFmtId="2" xfId="0" applyAlignment="1" applyBorder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5" fillId="0" fontId="4" numFmtId="10" xfId="0" applyAlignment="1" applyBorder="1" applyFont="1" applyNumberFormat="1">
      <alignment horizontal="right" vertical="bottom"/>
    </xf>
    <xf borderId="7" fillId="0" fontId="4" numFmtId="0" xfId="0" applyAlignment="1" applyBorder="1" applyFont="1">
      <alignment vertical="bottom"/>
    </xf>
    <xf borderId="7" fillId="0" fontId="4" numFmtId="2" xfId="0" applyAlignment="1" applyBorder="1" applyFont="1" applyNumberFormat="1">
      <alignment horizontal="right" vertical="bottom"/>
    </xf>
    <xf borderId="8" fillId="0" fontId="4" numFmtId="2" xfId="0" applyAlignment="1" applyBorder="1" applyFont="1" applyNumberFormat="1">
      <alignment horizontal="right" vertical="bottom"/>
    </xf>
    <xf borderId="0" fillId="0" fontId="3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Daily Sales, Moving Average, Cumulative Average  and Exponential Smoothing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A!$B$256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A!$A$257:$A$278</c:f>
            </c:strRef>
          </c:cat>
          <c:val>
            <c:numRef>
              <c:f>A!$B$257:$B$278</c:f>
              <c:numCache/>
            </c:numRef>
          </c:val>
          <c:smooth val="0"/>
        </c:ser>
        <c:ser>
          <c:idx val="1"/>
          <c:order val="1"/>
          <c:tx>
            <c:strRef>
              <c:f>A!$C$256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A!$A$257:$A$278</c:f>
            </c:strRef>
          </c:cat>
          <c:val>
            <c:numRef>
              <c:f>A!$C$257:$C$278</c:f>
              <c:numCache/>
            </c:numRef>
          </c:val>
          <c:smooth val="0"/>
        </c:ser>
        <c:ser>
          <c:idx val="2"/>
          <c:order val="2"/>
          <c:tx>
            <c:strRef>
              <c:f>A!$D$256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A!$A$257:$A$278</c:f>
            </c:strRef>
          </c:cat>
          <c:val>
            <c:numRef>
              <c:f>A!$D$257:$D$278</c:f>
              <c:numCache/>
            </c:numRef>
          </c:val>
          <c:smooth val="0"/>
        </c:ser>
        <c:ser>
          <c:idx val="3"/>
          <c:order val="3"/>
          <c:tx>
            <c:strRef>
              <c:f>A!$E$256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A!$A$257:$A$278</c:f>
            </c:strRef>
          </c:cat>
          <c:val>
            <c:numRef>
              <c:f>A!$E$257:$E$278</c:f>
              <c:numCache/>
            </c:numRef>
          </c:val>
          <c:smooth val="0"/>
        </c:ser>
        <c:axId val="734529015"/>
        <c:axId val="871329074"/>
      </c:lineChart>
      <c:catAx>
        <c:axId val="734529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329074"/>
      </c:catAx>
      <c:valAx>
        <c:axId val="871329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529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255</xdr:row>
      <xdr:rowOff>152400</xdr:rowOff>
    </xdr:from>
    <xdr:ext cx="5715000" cy="3533775"/>
    <xdr:graphicFrame>
      <xdr:nvGraphicFramePr>
        <xdr:cNvPr id="1" name="Chart 1" title="Daily Sales, Moving Average, Cumulative Average  and Exponential Smoothin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</row>
    <row r="3">
      <c r="A3" s="2">
        <v>40546.0</v>
      </c>
      <c r="B3" s="1">
        <v>210.0</v>
      </c>
      <c r="C3" s="1">
        <v>702.0</v>
      </c>
      <c r="D3" s="1">
        <v>18.0</v>
      </c>
      <c r="E3" s="1">
        <v>516.0</v>
      </c>
    </row>
    <row r="4">
      <c r="A4" s="2">
        <v>40547.0</v>
      </c>
      <c r="B4" s="3">
        <v>10294.0</v>
      </c>
      <c r="C4" s="1">
        <v>402.0</v>
      </c>
      <c r="D4" s="1" t="s">
        <v>6</v>
      </c>
      <c r="E4" s="1">
        <v>324.0</v>
      </c>
    </row>
    <row r="5">
      <c r="A5" s="2">
        <v>40548.0</v>
      </c>
      <c r="B5" s="3">
        <v>3395.0</v>
      </c>
      <c r="C5" s="1">
        <v>438.0</v>
      </c>
      <c r="D5" s="1" t="s">
        <v>6</v>
      </c>
      <c r="E5" s="3">
        <v>3618.0</v>
      </c>
    </row>
    <row r="6">
      <c r="A6" s="2">
        <v>40549.0</v>
      </c>
      <c r="B6" s="1">
        <v>432.0</v>
      </c>
      <c r="C6" s="1">
        <v>19.0</v>
      </c>
      <c r="D6" s="1" t="s">
        <v>6</v>
      </c>
      <c r="E6" s="1">
        <v>414.0</v>
      </c>
    </row>
    <row r="7">
      <c r="A7" s="2">
        <v>40550.0</v>
      </c>
      <c r="B7" s="1">
        <v>106.0</v>
      </c>
      <c r="C7" s="1" t="s">
        <v>6</v>
      </c>
      <c r="D7" s="1" t="s">
        <v>6</v>
      </c>
      <c r="E7" s="1">
        <v>72.0</v>
      </c>
    </row>
    <row r="8">
      <c r="A8" s="2">
        <v>40553.0</v>
      </c>
      <c r="B8" s="1" t="s">
        <v>6</v>
      </c>
      <c r="C8" s="1">
        <v>216.0</v>
      </c>
      <c r="D8" s="1" t="s">
        <v>6</v>
      </c>
      <c r="E8" s="1">
        <v>546.0</v>
      </c>
    </row>
    <row r="9">
      <c r="A9" s="2">
        <v>40554.0</v>
      </c>
      <c r="B9" s="3">
        <v>13344.0</v>
      </c>
      <c r="C9" s="1" t="s">
        <v>6</v>
      </c>
      <c r="D9" s="1" t="s">
        <v>6</v>
      </c>
      <c r="E9" s="1">
        <v>186.0</v>
      </c>
    </row>
    <row r="10">
      <c r="A10" s="2">
        <v>40555.0</v>
      </c>
      <c r="B10" s="3">
        <v>5066.0</v>
      </c>
      <c r="C10" s="1">
        <v>444.0</v>
      </c>
      <c r="D10" s="1">
        <v>18.0</v>
      </c>
      <c r="E10" s="3">
        <v>3954.0</v>
      </c>
    </row>
    <row r="11">
      <c r="A11" s="2">
        <v>40556.0</v>
      </c>
      <c r="B11" s="3">
        <v>1283.0</v>
      </c>
      <c r="C11" s="1">
        <v>402.0</v>
      </c>
      <c r="D11" s="1" t="s">
        <v>6</v>
      </c>
      <c r="E11" s="1">
        <v>396.0</v>
      </c>
    </row>
    <row r="12">
      <c r="A12" s="2">
        <v>40557.0</v>
      </c>
      <c r="B12" s="1">
        <v>343.0</v>
      </c>
      <c r="C12" s="1" t="s">
        <v>6</v>
      </c>
      <c r="D12" s="1" t="s">
        <v>6</v>
      </c>
      <c r="E12" s="1">
        <v>78.0</v>
      </c>
    </row>
    <row r="13">
      <c r="A13" s="2">
        <v>40560.0</v>
      </c>
      <c r="B13" s="3">
        <v>2989.0</v>
      </c>
      <c r="C13" s="1">
        <v>354.0</v>
      </c>
      <c r="D13" s="1" t="s">
        <v>6</v>
      </c>
      <c r="E13" s="1">
        <v>468.0</v>
      </c>
    </row>
    <row r="14">
      <c r="A14" s="2">
        <v>40561.0</v>
      </c>
      <c r="B14" s="3">
        <v>9631.0</v>
      </c>
      <c r="C14" s="1">
        <v>546.0</v>
      </c>
      <c r="D14" s="1" t="s">
        <v>6</v>
      </c>
      <c r="E14" s="3">
        <v>1218.0</v>
      </c>
    </row>
    <row r="15">
      <c r="A15" s="2">
        <v>40562.0</v>
      </c>
      <c r="B15" s="3">
        <v>3758.0</v>
      </c>
      <c r="C15" s="1">
        <v>396.0</v>
      </c>
      <c r="D15" s="1">
        <v>19.0</v>
      </c>
      <c r="E15" s="3">
        <v>2844.0</v>
      </c>
    </row>
    <row r="16">
      <c r="A16" s="2">
        <v>40563.0</v>
      </c>
      <c r="B16" s="3">
        <v>1552.0</v>
      </c>
      <c r="C16" s="1" t="s">
        <v>6</v>
      </c>
      <c r="D16" s="1" t="s">
        <v>6</v>
      </c>
      <c r="E16" s="1">
        <v>618.0</v>
      </c>
    </row>
    <row r="17">
      <c r="A17" s="2">
        <v>40564.0</v>
      </c>
      <c r="B17" s="1">
        <v>124.0</v>
      </c>
      <c r="C17" s="1" t="s">
        <v>6</v>
      </c>
      <c r="D17" s="1" t="s">
        <v>6</v>
      </c>
      <c r="E17" s="1">
        <v>54.0</v>
      </c>
    </row>
    <row r="18">
      <c r="A18" s="2">
        <v>40567.0</v>
      </c>
      <c r="B18" s="3">
        <v>2591.0</v>
      </c>
      <c r="C18" s="1">
        <v>396.0</v>
      </c>
      <c r="D18" s="1" t="s">
        <v>6</v>
      </c>
      <c r="E18" s="1">
        <v>246.0</v>
      </c>
    </row>
    <row r="19">
      <c r="A19" s="2">
        <v>40568.0</v>
      </c>
      <c r="B19" s="3">
        <v>5514.0</v>
      </c>
      <c r="C19" s="1">
        <v>132.0</v>
      </c>
      <c r="D19" s="1" t="s">
        <v>6</v>
      </c>
      <c r="E19" s="3">
        <v>1842.0</v>
      </c>
    </row>
    <row r="20">
      <c r="A20" s="2">
        <v>40569.0</v>
      </c>
      <c r="B20" s="3">
        <v>4572.0</v>
      </c>
      <c r="C20" s="1">
        <v>372.0</v>
      </c>
      <c r="D20" s="1">
        <v>17.0</v>
      </c>
      <c r="E20" s="3">
        <v>2712.0</v>
      </c>
    </row>
    <row r="21">
      <c r="A21" s="2">
        <v>40570.0</v>
      </c>
      <c r="B21" s="1">
        <v>280.0</v>
      </c>
      <c r="C21" s="1">
        <v>36.0</v>
      </c>
      <c r="D21" s="1" t="s">
        <v>6</v>
      </c>
      <c r="E21" s="1">
        <v>408.0</v>
      </c>
    </row>
    <row r="22">
      <c r="A22" s="2">
        <v>40571.0</v>
      </c>
      <c r="B22" s="1" t="s">
        <v>6</v>
      </c>
      <c r="C22" s="1" t="s">
        <v>6</v>
      </c>
      <c r="D22" s="1" t="s">
        <v>6</v>
      </c>
      <c r="E22" s="1">
        <v>48.0</v>
      </c>
    </row>
    <row r="23">
      <c r="A23" s="2">
        <v>40574.0</v>
      </c>
      <c r="B23" s="3">
        <v>2926.0</v>
      </c>
      <c r="C23" s="1">
        <v>360.0</v>
      </c>
      <c r="D23" s="1" t="s">
        <v>6</v>
      </c>
      <c r="E23" s="1">
        <v>396.0</v>
      </c>
    </row>
    <row r="24">
      <c r="A24" s="2">
        <v>40575.0</v>
      </c>
      <c r="B24" s="3">
        <v>5309.0</v>
      </c>
      <c r="C24" s="1">
        <v>348.0</v>
      </c>
      <c r="D24" s="1" t="s">
        <v>6</v>
      </c>
      <c r="E24" s="1">
        <v>168.0</v>
      </c>
    </row>
    <row r="25">
      <c r="A25" s="2">
        <v>40576.0</v>
      </c>
      <c r="B25" s="3">
        <v>5038.0</v>
      </c>
      <c r="C25" s="1">
        <v>444.0</v>
      </c>
      <c r="D25" s="1" t="s">
        <v>6</v>
      </c>
      <c r="E25" s="3">
        <v>4200.0</v>
      </c>
    </row>
    <row r="26">
      <c r="A26" s="2">
        <v>40577.0</v>
      </c>
      <c r="B26" s="3">
        <v>1446.0</v>
      </c>
      <c r="C26" s="1">
        <v>14.0</v>
      </c>
      <c r="D26" s="1">
        <v>18.0</v>
      </c>
      <c r="E26" s="1">
        <v>444.0</v>
      </c>
    </row>
    <row r="27">
      <c r="A27" s="2">
        <v>40578.0</v>
      </c>
      <c r="B27" s="1">
        <v>200.0</v>
      </c>
      <c r="C27" s="1" t="s">
        <v>6</v>
      </c>
      <c r="D27" s="1" t="s">
        <v>6</v>
      </c>
      <c r="E27" s="1">
        <v>108.0</v>
      </c>
    </row>
    <row r="28">
      <c r="A28" s="2">
        <v>40581.0</v>
      </c>
      <c r="B28" s="3">
        <v>2219.0</v>
      </c>
      <c r="C28" s="1">
        <v>504.0</v>
      </c>
      <c r="D28" s="1" t="s">
        <v>6</v>
      </c>
      <c r="E28" s="1">
        <v>342.0</v>
      </c>
    </row>
    <row r="29">
      <c r="A29" s="2">
        <v>40582.0</v>
      </c>
      <c r="B29" s="3">
        <v>7254.0</v>
      </c>
      <c r="C29" s="1">
        <v>546.0</v>
      </c>
      <c r="D29" s="1" t="s">
        <v>6</v>
      </c>
      <c r="E29" s="3">
        <v>1290.0</v>
      </c>
    </row>
    <row r="30">
      <c r="A30" s="2">
        <v>40583.0</v>
      </c>
      <c r="B30" s="3">
        <v>6398.0</v>
      </c>
      <c r="C30" s="1">
        <v>390.0</v>
      </c>
      <c r="D30" s="1">
        <v>13.0</v>
      </c>
      <c r="E30" s="3">
        <v>3780.0</v>
      </c>
    </row>
    <row r="31">
      <c r="A31" s="2">
        <v>40584.0</v>
      </c>
      <c r="B31" s="3">
        <v>1363.0</v>
      </c>
      <c r="C31" s="1">
        <v>18.0</v>
      </c>
      <c r="D31" s="1" t="s">
        <v>6</v>
      </c>
      <c r="E31" s="1">
        <v>540.0</v>
      </c>
    </row>
    <row r="32">
      <c r="A32" s="2">
        <v>40585.0</v>
      </c>
      <c r="B32" s="1">
        <v>225.0</v>
      </c>
      <c r="C32" s="1" t="s">
        <v>6</v>
      </c>
      <c r="D32" s="1" t="s">
        <v>6</v>
      </c>
      <c r="E32" s="1">
        <v>90.0</v>
      </c>
    </row>
    <row r="33">
      <c r="A33" s="2">
        <v>40588.0</v>
      </c>
      <c r="B33" s="3">
        <v>2474.0</v>
      </c>
      <c r="C33" s="1">
        <v>342.0</v>
      </c>
      <c r="D33" s="1" t="s">
        <v>6</v>
      </c>
      <c r="E33" s="1">
        <v>294.0</v>
      </c>
    </row>
    <row r="34">
      <c r="A34" s="2">
        <v>40589.0</v>
      </c>
      <c r="B34" s="3">
        <v>10196.0</v>
      </c>
      <c r="C34" s="1">
        <v>392.0</v>
      </c>
      <c r="D34" s="1" t="s">
        <v>6</v>
      </c>
      <c r="E34" s="3">
        <v>1620.0</v>
      </c>
    </row>
    <row r="35">
      <c r="A35" s="2">
        <v>40590.0</v>
      </c>
      <c r="B35" s="3">
        <v>4123.0</v>
      </c>
      <c r="C35" s="1" t="s">
        <v>6</v>
      </c>
      <c r="D35" s="1">
        <v>18.0</v>
      </c>
      <c r="E35" s="3">
        <v>2826.0</v>
      </c>
    </row>
    <row r="36">
      <c r="A36" s="2">
        <v>40591.0</v>
      </c>
      <c r="B36" s="3">
        <v>1998.0</v>
      </c>
      <c r="C36" s="1" t="s">
        <v>6</v>
      </c>
      <c r="D36" s="1" t="s">
        <v>6</v>
      </c>
      <c r="E36" s="1">
        <v>702.0</v>
      </c>
    </row>
    <row r="37">
      <c r="A37" s="2">
        <v>40592.0</v>
      </c>
      <c r="B37" s="3">
        <v>3434.0</v>
      </c>
      <c r="C37" s="1" t="s">
        <v>6</v>
      </c>
      <c r="D37" s="1" t="s">
        <v>6</v>
      </c>
      <c r="E37" s="1">
        <v>48.0</v>
      </c>
    </row>
    <row r="38">
      <c r="A38" s="2">
        <v>40596.0</v>
      </c>
      <c r="B38" s="3">
        <v>6684.0</v>
      </c>
      <c r="C38" s="1">
        <v>18.0</v>
      </c>
      <c r="D38" s="1" t="s">
        <v>6</v>
      </c>
      <c r="E38" s="1" t="s">
        <v>6</v>
      </c>
    </row>
    <row r="39">
      <c r="A39" s="2">
        <v>40597.0</v>
      </c>
      <c r="B39" s="3">
        <v>5806.0</v>
      </c>
      <c r="C39" s="1">
        <v>414.0</v>
      </c>
      <c r="D39" s="1">
        <v>17.0</v>
      </c>
      <c r="E39" s="1" t="s">
        <v>6</v>
      </c>
    </row>
    <row r="40">
      <c r="A40" s="2">
        <v>40598.0</v>
      </c>
      <c r="B40" s="1">
        <v>69.0</v>
      </c>
      <c r="C40" s="1" t="s">
        <v>6</v>
      </c>
      <c r="D40" s="1" t="s">
        <v>6</v>
      </c>
      <c r="E40" s="1" t="s">
        <v>6</v>
      </c>
    </row>
    <row r="41">
      <c r="A41" s="2">
        <v>40599.0</v>
      </c>
      <c r="B41" s="1">
        <v>302.0</v>
      </c>
      <c r="C41" s="1" t="s">
        <v>6</v>
      </c>
      <c r="D41" s="1" t="s">
        <v>6</v>
      </c>
      <c r="E41" s="1" t="s">
        <v>6</v>
      </c>
    </row>
    <row r="42">
      <c r="A42" s="2">
        <v>40602.0</v>
      </c>
      <c r="B42" s="3">
        <v>1326.0</v>
      </c>
      <c r="C42" s="1">
        <v>429.0</v>
      </c>
      <c r="D42" s="1" t="s">
        <v>6</v>
      </c>
      <c r="E42" s="1">
        <v>900.0</v>
      </c>
    </row>
    <row r="43">
      <c r="A43" s="2">
        <v>40603.0</v>
      </c>
      <c r="B43" s="3">
        <v>8444.0</v>
      </c>
      <c r="C43" s="1" t="s">
        <v>6</v>
      </c>
      <c r="D43" s="1" t="s">
        <v>6</v>
      </c>
      <c r="E43" s="1" t="s">
        <v>6</v>
      </c>
    </row>
    <row r="44">
      <c r="A44" s="2">
        <v>40604.0</v>
      </c>
      <c r="B44" s="3">
        <v>3273.0</v>
      </c>
      <c r="C44" s="3">
        <v>2229.0</v>
      </c>
      <c r="D44" s="1">
        <v>16.0</v>
      </c>
      <c r="E44" s="1" t="s">
        <v>6</v>
      </c>
    </row>
    <row r="45">
      <c r="A45" s="2">
        <v>40605.0</v>
      </c>
      <c r="B45" s="3">
        <v>1342.0</v>
      </c>
      <c r="C45" s="1">
        <v>19.0</v>
      </c>
      <c r="D45" s="1" t="s">
        <v>6</v>
      </c>
      <c r="E45" s="1">
        <v>422.0</v>
      </c>
    </row>
    <row r="46">
      <c r="A46" s="2">
        <v>40606.0</v>
      </c>
      <c r="B46" s="1">
        <v>400.0</v>
      </c>
      <c r="C46" s="1" t="s">
        <v>6</v>
      </c>
      <c r="D46" s="1" t="s">
        <v>6</v>
      </c>
      <c r="E46" s="3">
        <v>9036.0</v>
      </c>
    </row>
    <row r="47">
      <c r="A47" s="2">
        <v>40609.0</v>
      </c>
      <c r="B47" s="3">
        <v>2011.0</v>
      </c>
      <c r="C47" s="1">
        <v>417.0</v>
      </c>
      <c r="D47" s="1" t="s">
        <v>6</v>
      </c>
      <c r="E47" s="1">
        <v>24.0</v>
      </c>
    </row>
    <row r="48">
      <c r="A48" s="2">
        <v>40610.0</v>
      </c>
      <c r="B48" s="3">
        <v>6826.0</v>
      </c>
      <c r="C48" s="1">
        <v>516.0</v>
      </c>
      <c r="D48" s="1" t="s">
        <v>6</v>
      </c>
      <c r="E48" s="1" t="s">
        <v>6</v>
      </c>
    </row>
    <row r="49">
      <c r="A49" s="2">
        <v>40611.0</v>
      </c>
      <c r="B49" s="3">
        <v>5860.0</v>
      </c>
      <c r="C49" s="1">
        <v>702.0</v>
      </c>
      <c r="D49" s="1">
        <v>16.0</v>
      </c>
      <c r="E49" s="1" t="s">
        <v>6</v>
      </c>
    </row>
    <row r="50">
      <c r="A50" s="2">
        <v>40612.0</v>
      </c>
      <c r="B50" s="3">
        <v>1368.0</v>
      </c>
      <c r="C50" s="1">
        <v>43.0</v>
      </c>
      <c r="D50" s="1" t="s">
        <v>6</v>
      </c>
      <c r="E50" s="1">
        <v>5.0</v>
      </c>
    </row>
    <row r="51">
      <c r="A51" s="2">
        <v>40613.0</v>
      </c>
      <c r="B51" s="1">
        <v>253.0</v>
      </c>
      <c r="C51" s="1" t="s">
        <v>6</v>
      </c>
      <c r="D51" s="1" t="s">
        <v>6</v>
      </c>
      <c r="E51" s="1" t="s">
        <v>6</v>
      </c>
    </row>
    <row r="52">
      <c r="A52" s="2">
        <v>40616.0</v>
      </c>
      <c r="B52" s="3">
        <v>3008.0</v>
      </c>
      <c r="C52" s="1">
        <v>474.0</v>
      </c>
      <c r="D52" s="1" t="s">
        <v>6</v>
      </c>
      <c r="E52" s="1" t="s">
        <v>6</v>
      </c>
    </row>
    <row r="53">
      <c r="A53" s="2">
        <v>40617.0</v>
      </c>
      <c r="B53" s="3">
        <v>1960.0</v>
      </c>
      <c r="C53" s="1">
        <v>642.0</v>
      </c>
      <c r="D53" s="1" t="s">
        <v>6</v>
      </c>
      <c r="E53" s="3">
        <v>1104.0</v>
      </c>
    </row>
    <row r="54">
      <c r="A54" s="2">
        <v>40618.0</v>
      </c>
      <c r="B54" s="3">
        <v>11312.0</v>
      </c>
      <c r="C54" s="1">
        <v>594.0</v>
      </c>
      <c r="D54" s="1">
        <v>16.0</v>
      </c>
      <c r="E54" s="1" t="s">
        <v>6</v>
      </c>
    </row>
    <row r="55">
      <c r="A55" s="2">
        <v>40619.0</v>
      </c>
      <c r="B55" s="1">
        <v>814.0</v>
      </c>
      <c r="C55" s="1" t="s">
        <v>6</v>
      </c>
      <c r="D55" s="1" t="s">
        <v>6</v>
      </c>
      <c r="E55" s="1" t="s">
        <v>6</v>
      </c>
    </row>
    <row r="56">
      <c r="A56" s="2">
        <v>40620.0</v>
      </c>
      <c r="B56" s="3">
        <v>1072.0</v>
      </c>
      <c r="C56" s="1" t="s">
        <v>6</v>
      </c>
      <c r="D56" s="1" t="s">
        <v>6</v>
      </c>
      <c r="E56" s="1" t="s">
        <v>6</v>
      </c>
    </row>
    <row r="57">
      <c r="A57" s="2">
        <v>40623.0</v>
      </c>
      <c r="B57" s="3">
        <v>1982.0</v>
      </c>
      <c r="C57" s="1">
        <v>324.0</v>
      </c>
      <c r="D57" s="1" t="s">
        <v>6</v>
      </c>
      <c r="E57" s="1">
        <v>3.0</v>
      </c>
    </row>
    <row r="58">
      <c r="A58" s="2">
        <v>40624.0</v>
      </c>
      <c r="B58" s="3">
        <v>10992.0</v>
      </c>
      <c r="C58" s="1">
        <v>482.0</v>
      </c>
      <c r="D58" s="1" t="s">
        <v>6</v>
      </c>
      <c r="E58" s="1" t="s">
        <v>6</v>
      </c>
    </row>
    <row r="59">
      <c r="A59" s="2">
        <v>40625.0</v>
      </c>
      <c r="B59" s="3">
        <v>3865.0</v>
      </c>
      <c r="C59" s="1">
        <v>492.0</v>
      </c>
      <c r="D59" s="1">
        <v>16.0</v>
      </c>
      <c r="E59" s="1" t="s">
        <v>6</v>
      </c>
    </row>
    <row r="60">
      <c r="A60" s="2">
        <v>40626.0</v>
      </c>
      <c r="B60" s="3">
        <v>1402.0</v>
      </c>
      <c r="C60" s="1">
        <v>30.0</v>
      </c>
      <c r="D60" s="1" t="s">
        <v>6</v>
      </c>
      <c r="E60" s="1">
        <v>2.0</v>
      </c>
    </row>
    <row r="61">
      <c r="A61" s="2">
        <v>40627.0</v>
      </c>
      <c r="B61" s="1">
        <v>150.0</v>
      </c>
      <c r="C61" s="1" t="s">
        <v>6</v>
      </c>
      <c r="D61" s="1" t="s">
        <v>6</v>
      </c>
      <c r="E61" s="3">
        <v>2615.0</v>
      </c>
    </row>
    <row r="62">
      <c r="A62" s="2">
        <v>40630.0</v>
      </c>
      <c r="B62" s="3">
        <v>2143.0</v>
      </c>
      <c r="C62" s="1">
        <v>356.0</v>
      </c>
      <c r="D62" s="1" t="s">
        <v>6</v>
      </c>
      <c r="E62" s="3">
        <v>4812.0</v>
      </c>
    </row>
    <row r="63">
      <c r="A63" s="2">
        <v>40631.0</v>
      </c>
      <c r="B63" s="3">
        <v>11240.0</v>
      </c>
      <c r="C63" s="1">
        <v>464.0</v>
      </c>
      <c r="D63" s="1" t="s">
        <v>6</v>
      </c>
      <c r="E63" s="1" t="s">
        <v>6</v>
      </c>
    </row>
    <row r="64">
      <c r="A64" s="2">
        <v>40632.0</v>
      </c>
      <c r="B64" s="3">
        <v>4000.0</v>
      </c>
      <c r="C64" s="1">
        <v>498.0</v>
      </c>
      <c r="D64" s="1">
        <v>16.0</v>
      </c>
      <c r="E64" s="1">
        <v>168.0</v>
      </c>
    </row>
    <row r="65">
      <c r="A65" s="2">
        <v>40633.0</v>
      </c>
      <c r="B65" s="3">
        <v>1475.0</v>
      </c>
      <c r="C65" s="1">
        <v>24.0</v>
      </c>
      <c r="D65" s="1" t="s">
        <v>6</v>
      </c>
      <c r="E65" s="1">
        <v>18.0</v>
      </c>
    </row>
    <row r="66">
      <c r="A66" s="2">
        <v>40634.0</v>
      </c>
      <c r="B66" s="1">
        <v>253.0</v>
      </c>
      <c r="C66" s="1" t="s">
        <v>6</v>
      </c>
      <c r="D66" s="1" t="s">
        <v>6</v>
      </c>
      <c r="E66" s="1" t="s">
        <v>6</v>
      </c>
    </row>
    <row r="67">
      <c r="A67" s="2">
        <v>40637.0</v>
      </c>
      <c r="B67" s="3">
        <v>3090.0</v>
      </c>
      <c r="C67" s="1">
        <v>594.0</v>
      </c>
      <c r="D67" s="1" t="s">
        <v>6</v>
      </c>
      <c r="E67" s="1" t="s">
        <v>6</v>
      </c>
    </row>
    <row r="68">
      <c r="A68" s="2">
        <v>40638.0</v>
      </c>
      <c r="B68" s="3">
        <v>6772.0</v>
      </c>
      <c r="C68" s="1">
        <v>517.0</v>
      </c>
      <c r="D68" s="1" t="s">
        <v>6</v>
      </c>
      <c r="E68" s="1">
        <v>2.0</v>
      </c>
    </row>
    <row r="69">
      <c r="A69" s="2">
        <v>40639.0</v>
      </c>
      <c r="B69" s="3">
        <v>5869.0</v>
      </c>
      <c r="C69" s="1">
        <v>444.0</v>
      </c>
      <c r="D69" s="1">
        <v>21.0</v>
      </c>
      <c r="E69" s="1">
        <v>5.0</v>
      </c>
    </row>
    <row r="70">
      <c r="A70" s="2">
        <v>40640.0</v>
      </c>
      <c r="B70" s="3">
        <v>1412.0</v>
      </c>
      <c r="C70" s="1">
        <v>36.0</v>
      </c>
      <c r="D70" s="1" t="s">
        <v>6</v>
      </c>
      <c r="E70" s="1">
        <v>2.0</v>
      </c>
    </row>
    <row r="71">
      <c r="A71" s="2">
        <v>40641.0</v>
      </c>
      <c r="B71" s="1">
        <v>162.0</v>
      </c>
      <c r="C71" s="1" t="s">
        <v>6</v>
      </c>
      <c r="D71" s="1" t="s">
        <v>6</v>
      </c>
      <c r="E71" s="1" t="s">
        <v>6</v>
      </c>
    </row>
    <row r="72">
      <c r="A72" s="2">
        <v>40644.0</v>
      </c>
      <c r="B72" s="3">
        <v>2088.0</v>
      </c>
      <c r="C72" s="1">
        <v>396.0</v>
      </c>
      <c r="D72" s="1" t="s">
        <v>6</v>
      </c>
      <c r="E72" s="3">
        <v>4932.0</v>
      </c>
    </row>
    <row r="73">
      <c r="A73" s="2">
        <v>40645.0</v>
      </c>
      <c r="B73" s="3">
        <v>5864.0</v>
      </c>
      <c r="C73" s="1">
        <v>30.0</v>
      </c>
      <c r="D73" s="1" t="s">
        <v>6</v>
      </c>
      <c r="E73" s="3">
        <v>11534.0</v>
      </c>
    </row>
    <row r="74">
      <c r="A74" s="2">
        <v>40646.0</v>
      </c>
      <c r="B74" s="3">
        <v>6467.0</v>
      </c>
      <c r="C74" s="1" t="s">
        <v>6</v>
      </c>
      <c r="D74" s="1">
        <v>21.0</v>
      </c>
      <c r="E74" s="3">
        <v>2357.0</v>
      </c>
    </row>
    <row r="75">
      <c r="A75" s="2">
        <v>40647.0</v>
      </c>
      <c r="B75" s="3">
        <v>1307.0</v>
      </c>
      <c r="C75" s="1">
        <v>24.0</v>
      </c>
      <c r="D75" s="1" t="s">
        <v>6</v>
      </c>
      <c r="E75" s="1">
        <v>310.0</v>
      </c>
    </row>
    <row r="76">
      <c r="A76" s="2">
        <v>40648.0</v>
      </c>
      <c r="B76" s="1">
        <v>240.0</v>
      </c>
      <c r="C76" s="1" t="s">
        <v>6</v>
      </c>
      <c r="D76" s="1" t="s">
        <v>6</v>
      </c>
      <c r="E76" s="1">
        <v>186.0</v>
      </c>
    </row>
    <row r="77">
      <c r="A77" s="2">
        <v>40651.0</v>
      </c>
      <c r="B77" s="3">
        <v>2148.0</v>
      </c>
      <c r="C77" s="1" t="s">
        <v>6</v>
      </c>
      <c r="D77" s="1" t="s">
        <v>6</v>
      </c>
      <c r="E77" s="1">
        <v>517.0</v>
      </c>
    </row>
    <row r="78">
      <c r="A78" s="2">
        <v>40652.0</v>
      </c>
      <c r="B78" s="3">
        <v>5424.0</v>
      </c>
      <c r="C78" s="1">
        <v>420.0</v>
      </c>
      <c r="D78" s="1" t="s">
        <v>6</v>
      </c>
      <c r="E78" s="1">
        <v>648.0</v>
      </c>
    </row>
    <row r="79">
      <c r="A79" s="2">
        <v>40653.0</v>
      </c>
      <c r="B79" s="3">
        <v>5664.0</v>
      </c>
      <c r="C79" s="3">
        <v>1328.0</v>
      </c>
      <c r="D79" s="1">
        <v>19.0</v>
      </c>
      <c r="E79" s="3">
        <v>5226.0</v>
      </c>
    </row>
    <row r="80">
      <c r="A80" s="2">
        <v>40654.0</v>
      </c>
      <c r="B80" s="3">
        <v>1096.0</v>
      </c>
      <c r="C80" s="1">
        <v>42.0</v>
      </c>
      <c r="D80" s="1" t="s">
        <v>6</v>
      </c>
      <c r="E80" s="1">
        <v>306.0</v>
      </c>
    </row>
    <row r="81">
      <c r="A81" s="2">
        <v>40655.0</v>
      </c>
      <c r="B81" s="1">
        <v>276.0</v>
      </c>
      <c r="C81" s="1" t="s">
        <v>6</v>
      </c>
      <c r="D81" s="1" t="s">
        <v>6</v>
      </c>
      <c r="E81" s="1">
        <v>54.0</v>
      </c>
    </row>
    <row r="82">
      <c r="A82" s="2">
        <v>40658.0</v>
      </c>
      <c r="B82" s="3">
        <v>1824.0</v>
      </c>
      <c r="C82" s="1">
        <v>234.0</v>
      </c>
      <c r="D82" s="1" t="s">
        <v>6</v>
      </c>
      <c r="E82" s="1">
        <v>294.0</v>
      </c>
    </row>
    <row r="83">
      <c r="A83" s="2">
        <v>40659.0</v>
      </c>
      <c r="B83" s="3">
        <v>4150.0</v>
      </c>
      <c r="C83" s="1">
        <v>378.0</v>
      </c>
      <c r="D83" s="1" t="s">
        <v>6</v>
      </c>
      <c r="E83" s="3">
        <v>2448.0</v>
      </c>
    </row>
    <row r="84">
      <c r="A84" s="2">
        <v>40660.0</v>
      </c>
      <c r="B84" s="3">
        <v>5379.0</v>
      </c>
      <c r="C84" s="1">
        <v>457.0</v>
      </c>
      <c r="D84" s="1">
        <v>19.0</v>
      </c>
      <c r="E84" s="3">
        <v>9966.0</v>
      </c>
    </row>
    <row r="85">
      <c r="A85" s="2">
        <v>40661.0</v>
      </c>
      <c r="B85" s="3">
        <v>1579.0</v>
      </c>
      <c r="C85" s="1">
        <v>18.0</v>
      </c>
      <c r="D85" s="1" t="s">
        <v>6</v>
      </c>
      <c r="E85" s="1">
        <v>312.0</v>
      </c>
    </row>
    <row r="86">
      <c r="A86" s="2">
        <v>40662.0</v>
      </c>
      <c r="B86" s="1">
        <v>275.0</v>
      </c>
      <c r="C86" s="1" t="s">
        <v>6</v>
      </c>
      <c r="D86" s="1" t="s">
        <v>6</v>
      </c>
      <c r="E86" s="1">
        <v>42.0</v>
      </c>
    </row>
    <row r="87">
      <c r="A87" s="4">
        <v>40665.0</v>
      </c>
      <c r="B87" s="3">
        <v>1258.0</v>
      </c>
      <c r="C87" s="1">
        <v>354.0</v>
      </c>
      <c r="D87" s="1" t="s">
        <v>6</v>
      </c>
      <c r="E87" s="1">
        <v>456.0</v>
      </c>
    </row>
    <row r="88">
      <c r="A88" s="4">
        <v>40666.0</v>
      </c>
      <c r="B88" s="3">
        <v>8602.0</v>
      </c>
      <c r="C88" s="1">
        <v>396.0</v>
      </c>
      <c r="D88" s="1" t="s">
        <v>6</v>
      </c>
      <c r="E88" s="1">
        <v>168.0</v>
      </c>
    </row>
    <row r="89">
      <c r="A89" s="4">
        <v>40667.0</v>
      </c>
      <c r="B89" s="3">
        <v>3760.0</v>
      </c>
      <c r="C89" s="1">
        <v>528.0</v>
      </c>
      <c r="D89" s="1">
        <v>21.0</v>
      </c>
      <c r="E89" s="1">
        <v>102.0</v>
      </c>
    </row>
    <row r="90">
      <c r="A90" s="4">
        <v>40668.0</v>
      </c>
      <c r="B90" s="3">
        <v>1266.0</v>
      </c>
      <c r="C90" s="1">
        <v>6.0</v>
      </c>
      <c r="D90" s="1" t="s">
        <v>6</v>
      </c>
      <c r="E90" s="1">
        <v>336.0</v>
      </c>
    </row>
    <row r="91">
      <c r="A91" s="4">
        <v>40669.0</v>
      </c>
      <c r="B91" s="1">
        <v>370.0</v>
      </c>
      <c r="C91" s="1" t="s">
        <v>6</v>
      </c>
      <c r="D91" s="1" t="s">
        <v>6</v>
      </c>
      <c r="E91" s="1">
        <v>114.0</v>
      </c>
    </row>
    <row r="92">
      <c r="A92" s="4">
        <v>40672.0</v>
      </c>
      <c r="B92" s="3">
        <v>2346.0</v>
      </c>
      <c r="C92" s="1">
        <v>312.0</v>
      </c>
      <c r="D92" s="1" t="s">
        <v>6</v>
      </c>
      <c r="E92" s="1">
        <v>432.0</v>
      </c>
    </row>
    <row r="93">
      <c r="A93" s="4">
        <v>40673.0</v>
      </c>
      <c r="B93" s="3">
        <v>5819.0</v>
      </c>
      <c r="C93" s="1">
        <v>432.0</v>
      </c>
      <c r="D93" s="1" t="s">
        <v>6</v>
      </c>
      <c r="E93" s="1">
        <v>54.0</v>
      </c>
    </row>
    <row r="94">
      <c r="A94" s="4">
        <v>40674.0</v>
      </c>
      <c r="B94" s="3">
        <v>6369.0</v>
      </c>
      <c r="C94" s="1">
        <v>396.0</v>
      </c>
      <c r="D94" s="1">
        <v>21.0</v>
      </c>
      <c r="E94" s="1" t="s">
        <v>6</v>
      </c>
    </row>
    <row r="95">
      <c r="A95" s="4">
        <v>40675.0</v>
      </c>
      <c r="B95" s="3">
        <v>1066.0</v>
      </c>
      <c r="C95" s="1">
        <v>6.0</v>
      </c>
      <c r="D95" s="1" t="s">
        <v>6</v>
      </c>
      <c r="E95" s="1" t="s">
        <v>6</v>
      </c>
    </row>
    <row r="96">
      <c r="A96" s="4">
        <v>40676.0</v>
      </c>
      <c r="B96" s="1">
        <v>250.0</v>
      </c>
      <c r="C96" s="1" t="s">
        <v>6</v>
      </c>
      <c r="D96" s="1" t="s">
        <v>6</v>
      </c>
      <c r="E96" s="1" t="s">
        <v>6</v>
      </c>
    </row>
    <row r="97">
      <c r="A97" s="4">
        <v>40679.0</v>
      </c>
      <c r="B97" s="3">
        <v>2188.0</v>
      </c>
      <c r="C97" s="1">
        <v>240.0</v>
      </c>
      <c r="D97" s="1" t="s">
        <v>6</v>
      </c>
      <c r="E97" s="1" t="s">
        <v>6</v>
      </c>
    </row>
    <row r="98">
      <c r="A98" s="4">
        <v>40680.0</v>
      </c>
      <c r="B98" s="3">
        <v>7649.0</v>
      </c>
      <c r="C98" s="1">
        <v>414.0</v>
      </c>
      <c r="D98" s="1" t="s">
        <v>6</v>
      </c>
      <c r="E98" s="1">
        <v>6.0</v>
      </c>
    </row>
    <row r="99">
      <c r="A99" s="4">
        <v>40681.0</v>
      </c>
      <c r="B99" s="3">
        <v>4255.0</v>
      </c>
      <c r="C99" s="1">
        <v>684.0</v>
      </c>
      <c r="D99" s="1">
        <v>24.0</v>
      </c>
      <c r="E99" s="3">
        <v>6858.0</v>
      </c>
    </row>
    <row r="100">
      <c r="A100" s="4">
        <v>40682.0</v>
      </c>
      <c r="B100" s="3">
        <v>1276.0</v>
      </c>
      <c r="C100" s="1" t="s">
        <v>6</v>
      </c>
      <c r="D100" s="1" t="s">
        <v>6</v>
      </c>
      <c r="E100" s="1">
        <v>384.0</v>
      </c>
    </row>
    <row r="101">
      <c r="A101" s="4">
        <v>40683.0</v>
      </c>
      <c r="B101" s="1">
        <v>186.0</v>
      </c>
      <c r="C101" s="1" t="s">
        <v>6</v>
      </c>
      <c r="D101" s="1" t="s">
        <v>6</v>
      </c>
      <c r="E101" s="3">
        <v>2190.0</v>
      </c>
    </row>
    <row r="102">
      <c r="A102" s="4">
        <v>40686.0</v>
      </c>
      <c r="B102" s="3">
        <v>2272.0</v>
      </c>
      <c r="C102" s="1">
        <v>366.0</v>
      </c>
      <c r="D102" s="1" t="s">
        <v>6</v>
      </c>
      <c r="E102" s="3">
        <v>5628.0</v>
      </c>
    </row>
    <row r="103">
      <c r="A103" s="4">
        <v>40687.0</v>
      </c>
      <c r="B103" s="3">
        <v>9426.0</v>
      </c>
      <c r="C103" s="1">
        <v>432.0</v>
      </c>
      <c r="D103" s="1" t="s">
        <v>6</v>
      </c>
      <c r="E103" s="3">
        <v>1338.0</v>
      </c>
    </row>
    <row r="104">
      <c r="A104" s="4">
        <v>40688.0</v>
      </c>
      <c r="B104" s="3">
        <v>3963.0</v>
      </c>
      <c r="C104" s="1">
        <v>606.0</v>
      </c>
      <c r="D104" s="1">
        <v>19.0</v>
      </c>
      <c r="E104" s="3">
        <v>2748.0</v>
      </c>
    </row>
    <row r="105">
      <c r="A105" s="4">
        <v>40689.0</v>
      </c>
      <c r="B105" s="3">
        <v>2404.0</v>
      </c>
      <c r="C105" s="1">
        <v>30.0</v>
      </c>
      <c r="D105" s="1" t="s">
        <v>6</v>
      </c>
      <c r="E105" s="1">
        <v>762.0</v>
      </c>
    </row>
    <row r="106">
      <c r="A106" s="4">
        <v>40690.0</v>
      </c>
      <c r="B106" s="3">
        <v>1365.0</v>
      </c>
      <c r="C106" s="1" t="s">
        <v>6</v>
      </c>
      <c r="D106" s="1" t="s">
        <v>6</v>
      </c>
      <c r="E106" s="1">
        <v>108.0</v>
      </c>
    </row>
    <row r="107">
      <c r="A107" s="4">
        <v>40694.0</v>
      </c>
      <c r="B107" s="3">
        <v>4000.0</v>
      </c>
      <c r="C107" s="1">
        <v>708.0</v>
      </c>
      <c r="D107" s="1" t="s">
        <v>6</v>
      </c>
      <c r="E107" s="1" t="s">
        <v>6</v>
      </c>
    </row>
    <row r="108">
      <c r="A108" s="2">
        <v>40695.0</v>
      </c>
      <c r="B108" s="3">
        <v>5886.0</v>
      </c>
      <c r="C108" s="1">
        <v>342.0</v>
      </c>
      <c r="D108" s="1">
        <v>17.0</v>
      </c>
      <c r="E108" s="3">
        <v>3858.0</v>
      </c>
    </row>
    <row r="109">
      <c r="A109" s="2">
        <v>40696.0</v>
      </c>
      <c r="B109" s="1">
        <v>596.0</v>
      </c>
      <c r="C109" s="1">
        <v>12.0</v>
      </c>
      <c r="D109" s="1" t="s">
        <v>6</v>
      </c>
      <c r="E109" s="1">
        <v>288.0</v>
      </c>
    </row>
    <row r="110">
      <c r="A110" s="2">
        <v>40697.0</v>
      </c>
      <c r="B110" s="1">
        <v>306.0</v>
      </c>
      <c r="C110" s="1" t="s">
        <v>6</v>
      </c>
      <c r="D110" s="1" t="s">
        <v>6</v>
      </c>
      <c r="E110" s="1">
        <v>18.0</v>
      </c>
    </row>
    <row r="111">
      <c r="A111" s="2">
        <v>40700.0</v>
      </c>
      <c r="B111" s="1">
        <v>622.0</v>
      </c>
      <c r="C111" s="1">
        <v>468.0</v>
      </c>
      <c r="D111" s="1" t="s">
        <v>6</v>
      </c>
      <c r="E111" s="1">
        <v>144.0</v>
      </c>
    </row>
    <row r="112">
      <c r="A112" s="2">
        <v>40701.0</v>
      </c>
      <c r="B112" s="3">
        <v>8484.0</v>
      </c>
      <c r="C112" s="1">
        <v>420.0</v>
      </c>
      <c r="D112" s="1" t="s">
        <v>6</v>
      </c>
      <c r="E112" s="1">
        <v>222.0</v>
      </c>
    </row>
    <row r="113">
      <c r="A113" s="2">
        <v>40702.0</v>
      </c>
      <c r="B113" s="3">
        <v>5320.0</v>
      </c>
      <c r="C113" s="1">
        <v>432.0</v>
      </c>
      <c r="D113" s="1">
        <v>21.0</v>
      </c>
      <c r="E113" s="3">
        <v>3834.0</v>
      </c>
    </row>
    <row r="114">
      <c r="A114" s="2">
        <v>40703.0</v>
      </c>
      <c r="B114" s="3">
        <v>1480.0</v>
      </c>
      <c r="C114" s="1">
        <v>12.0</v>
      </c>
      <c r="D114" s="1" t="s">
        <v>6</v>
      </c>
      <c r="E114" s="1">
        <v>288.0</v>
      </c>
    </row>
    <row r="115">
      <c r="A115" s="2">
        <v>40704.0</v>
      </c>
      <c r="B115" s="1">
        <v>261.0</v>
      </c>
      <c r="C115" s="1" t="s">
        <v>6</v>
      </c>
      <c r="D115" s="1" t="s">
        <v>6</v>
      </c>
      <c r="E115" s="1">
        <v>114.0</v>
      </c>
    </row>
    <row r="116">
      <c r="A116" s="2">
        <v>40707.0</v>
      </c>
      <c r="B116" s="3">
        <v>2018.0</v>
      </c>
      <c r="C116" s="1">
        <v>336.0</v>
      </c>
      <c r="D116" s="1" t="s">
        <v>6</v>
      </c>
      <c r="E116" s="1">
        <v>270.0</v>
      </c>
    </row>
    <row r="117">
      <c r="A117" s="2">
        <v>40708.0</v>
      </c>
      <c r="B117" s="3">
        <v>5795.0</v>
      </c>
      <c r="C117" s="1">
        <v>180.0</v>
      </c>
      <c r="D117" s="1" t="s">
        <v>6</v>
      </c>
      <c r="E117" s="1">
        <v>318.0</v>
      </c>
    </row>
    <row r="118">
      <c r="A118" s="2">
        <v>40709.0</v>
      </c>
      <c r="B118" s="3">
        <v>6358.0</v>
      </c>
      <c r="C118" s="1">
        <v>414.0</v>
      </c>
      <c r="D118" s="1">
        <v>2.0</v>
      </c>
      <c r="E118" s="3">
        <v>2628.0</v>
      </c>
    </row>
    <row r="119">
      <c r="A119" s="2">
        <v>40710.0</v>
      </c>
      <c r="B119" s="3">
        <v>1394.0</v>
      </c>
      <c r="C119" s="1" t="s">
        <v>6</v>
      </c>
      <c r="D119" s="1">
        <v>30.0</v>
      </c>
      <c r="E119" s="1">
        <v>720.0</v>
      </c>
    </row>
    <row r="120">
      <c r="A120" s="2">
        <v>40711.0</v>
      </c>
      <c r="B120" s="1">
        <v>355.0</v>
      </c>
      <c r="C120" s="1" t="s">
        <v>6</v>
      </c>
      <c r="D120" s="1" t="s">
        <v>6</v>
      </c>
      <c r="E120" s="1">
        <v>30.0</v>
      </c>
    </row>
    <row r="121">
      <c r="A121" s="2">
        <v>40714.0</v>
      </c>
      <c r="B121" s="1">
        <v>324.0</v>
      </c>
      <c r="C121" s="1">
        <v>354.0</v>
      </c>
      <c r="D121" s="1" t="s">
        <v>6</v>
      </c>
      <c r="E121" s="1">
        <v>216.0</v>
      </c>
    </row>
    <row r="122">
      <c r="A122" s="2">
        <v>40715.0</v>
      </c>
      <c r="B122" s="3">
        <v>9660.0</v>
      </c>
      <c r="C122" s="1">
        <v>498.0</v>
      </c>
      <c r="D122" s="1" t="s">
        <v>6</v>
      </c>
      <c r="E122" s="3">
        <v>1476.0</v>
      </c>
    </row>
    <row r="123">
      <c r="A123" s="2">
        <v>40716.0</v>
      </c>
      <c r="B123" s="3">
        <v>3690.0</v>
      </c>
      <c r="C123" s="1">
        <v>630.0</v>
      </c>
      <c r="D123" s="1">
        <v>6.0</v>
      </c>
      <c r="E123" s="3">
        <v>2838.0</v>
      </c>
    </row>
    <row r="124">
      <c r="A124" s="2">
        <v>40717.0</v>
      </c>
      <c r="B124" s="3">
        <v>1140.0</v>
      </c>
      <c r="C124" s="1">
        <v>12.0</v>
      </c>
      <c r="D124" s="1" t="s">
        <v>6</v>
      </c>
      <c r="E124" s="1">
        <v>342.0</v>
      </c>
    </row>
    <row r="125">
      <c r="A125" s="2">
        <v>40718.0</v>
      </c>
      <c r="B125" s="1">
        <v>450.0</v>
      </c>
      <c r="C125" s="1" t="s">
        <v>6</v>
      </c>
      <c r="D125" s="1" t="s">
        <v>6</v>
      </c>
      <c r="E125" s="1">
        <v>318.0</v>
      </c>
    </row>
    <row r="126">
      <c r="A126" s="2">
        <v>40721.0</v>
      </c>
      <c r="B126" s="1">
        <v>716.0</v>
      </c>
      <c r="C126" s="1">
        <v>336.0</v>
      </c>
      <c r="D126" s="1" t="s">
        <v>6</v>
      </c>
      <c r="E126" s="1">
        <v>186.0</v>
      </c>
    </row>
    <row r="127">
      <c r="A127" s="2">
        <v>40722.0</v>
      </c>
      <c r="B127" s="3">
        <v>8094.0</v>
      </c>
      <c r="C127" s="1">
        <v>462.0</v>
      </c>
      <c r="D127" s="1" t="s">
        <v>6</v>
      </c>
      <c r="E127" s="3">
        <v>1650.0</v>
      </c>
    </row>
    <row r="128">
      <c r="A128" s="2">
        <v>40723.0</v>
      </c>
      <c r="B128" s="3">
        <v>5305.0</v>
      </c>
      <c r="C128" s="1">
        <v>295.0</v>
      </c>
      <c r="D128" s="1" t="s">
        <v>6</v>
      </c>
      <c r="E128" s="1">
        <v>936.0</v>
      </c>
    </row>
    <row r="129">
      <c r="A129" s="2">
        <v>40724.0</v>
      </c>
      <c r="B129" s="3">
        <v>1199.0</v>
      </c>
      <c r="C129" s="1">
        <v>24.0</v>
      </c>
      <c r="D129" s="1" t="s">
        <v>6</v>
      </c>
      <c r="E129" s="1">
        <v>318.0</v>
      </c>
    </row>
    <row r="130">
      <c r="A130" s="2">
        <v>40725.0</v>
      </c>
      <c r="B130" s="1">
        <v>120.0</v>
      </c>
      <c r="C130" s="1" t="s">
        <v>6</v>
      </c>
      <c r="D130" s="1">
        <v>21.0</v>
      </c>
      <c r="E130" s="1">
        <v>12.0</v>
      </c>
    </row>
    <row r="131">
      <c r="A131" s="2">
        <v>40729.0</v>
      </c>
      <c r="B131" s="3">
        <v>12099.0</v>
      </c>
      <c r="C131" s="1">
        <v>654.0</v>
      </c>
      <c r="D131" s="1">
        <v>20.0</v>
      </c>
      <c r="E131" s="3">
        <v>1956.0</v>
      </c>
    </row>
    <row r="132">
      <c r="A132" s="2">
        <v>40730.0</v>
      </c>
      <c r="B132" s="3">
        <v>4782.0</v>
      </c>
      <c r="C132" s="1">
        <v>750.0</v>
      </c>
      <c r="D132" s="1" t="s">
        <v>6</v>
      </c>
      <c r="E132" s="3">
        <v>4776.0</v>
      </c>
    </row>
    <row r="133">
      <c r="A133" s="2">
        <v>40731.0</v>
      </c>
      <c r="B133" s="1">
        <v>251.0</v>
      </c>
      <c r="C133" s="1">
        <v>18.0</v>
      </c>
      <c r="D133" s="1" t="s">
        <v>6</v>
      </c>
      <c r="E133" s="1">
        <v>60.0</v>
      </c>
    </row>
    <row r="134">
      <c r="A134" s="2">
        <v>40732.0</v>
      </c>
      <c r="B134" s="1">
        <v>200.0</v>
      </c>
      <c r="C134" s="1" t="s">
        <v>6</v>
      </c>
      <c r="D134" s="1" t="s">
        <v>6</v>
      </c>
      <c r="E134" s="1">
        <v>72.0</v>
      </c>
    </row>
    <row r="135">
      <c r="A135" s="2">
        <v>40735.0</v>
      </c>
      <c r="B135" s="3">
        <v>3617.0</v>
      </c>
      <c r="C135" s="1">
        <v>264.0</v>
      </c>
      <c r="D135" s="1" t="s">
        <v>6</v>
      </c>
      <c r="E135" s="1">
        <v>114.0</v>
      </c>
    </row>
    <row r="136">
      <c r="A136" s="2">
        <v>40736.0</v>
      </c>
      <c r="B136" s="3">
        <v>6661.0</v>
      </c>
      <c r="C136" s="1">
        <v>426.0</v>
      </c>
      <c r="D136" s="1" t="s">
        <v>6</v>
      </c>
      <c r="E136" s="1">
        <v>354.0</v>
      </c>
    </row>
    <row r="137">
      <c r="A137" s="2">
        <v>40737.0</v>
      </c>
      <c r="B137" s="3">
        <v>5620.0</v>
      </c>
      <c r="C137" s="1">
        <v>456.0</v>
      </c>
      <c r="D137" s="1">
        <v>21.0</v>
      </c>
      <c r="E137" s="3">
        <v>3996.0</v>
      </c>
    </row>
    <row r="138">
      <c r="A138" s="2">
        <v>40738.0</v>
      </c>
      <c r="B138" s="3">
        <v>1382.0</v>
      </c>
      <c r="C138" s="1">
        <v>12.0</v>
      </c>
      <c r="D138" s="1" t="s">
        <v>6</v>
      </c>
      <c r="E138" s="1">
        <v>324.0</v>
      </c>
    </row>
    <row r="139">
      <c r="A139" s="2">
        <v>40739.0</v>
      </c>
      <c r="B139" s="1">
        <v>250.0</v>
      </c>
      <c r="C139" s="1" t="s">
        <v>6</v>
      </c>
      <c r="D139" s="1" t="s">
        <v>6</v>
      </c>
      <c r="E139" s="1">
        <v>60.0</v>
      </c>
    </row>
    <row r="140">
      <c r="A140" s="2">
        <v>40742.0</v>
      </c>
      <c r="B140" s="3">
        <v>1983.0</v>
      </c>
      <c r="C140" s="1">
        <v>510.0</v>
      </c>
      <c r="D140" s="1" t="s">
        <v>6</v>
      </c>
      <c r="E140" s="1">
        <v>222.0</v>
      </c>
    </row>
    <row r="141">
      <c r="A141" s="2">
        <v>40743.0</v>
      </c>
      <c r="B141" s="3">
        <v>3748.0</v>
      </c>
      <c r="C141" s="1">
        <v>366.0</v>
      </c>
      <c r="D141" s="1" t="s">
        <v>6</v>
      </c>
      <c r="E141" s="1">
        <v>372.0</v>
      </c>
    </row>
    <row r="142">
      <c r="A142" s="2">
        <v>40744.0</v>
      </c>
      <c r="B142" s="3">
        <v>6542.0</v>
      </c>
      <c r="C142" s="1">
        <v>453.0</v>
      </c>
      <c r="D142" s="1">
        <v>20.0</v>
      </c>
      <c r="E142" s="3">
        <v>3642.0</v>
      </c>
    </row>
    <row r="143">
      <c r="A143" s="2">
        <v>40745.0</v>
      </c>
      <c r="B143" s="3">
        <v>1262.0</v>
      </c>
      <c r="C143" s="1">
        <v>32.0</v>
      </c>
      <c r="D143" s="1" t="s">
        <v>6</v>
      </c>
      <c r="E143" s="1">
        <v>636.0</v>
      </c>
    </row>
    <row r="144">
      <c r="A144" s="2">
        <v>40746.0</v>
      </c>
      <c r="B144" s="1">
        <v>100.0</v>
      </c>
      <c r="C144" s="1" t="s">
        <v>6</v>
      </c>
      <c r="D144" s="1" t="s">
        <v>6</v>
      </c>
      <c r="E144" s="1">
        <v>24.0</v>
      </c>
    </row>
    <row r="145">
      <c r="A145" s="2">
        <v>40749.0</v>
      </c>
      <c r="B145" s="3">
        <v>2053.0</v>
      </c>
      <c r="C145" s="1">
        <v>312.0</v>
      </c>
      <c r="D145" s="1" t="s">
        <v>6</v>
      </c>
      <c r="E145" s="1">
        <v>444.0</v>
      </c>
    </row>
    <row r="146">
      <c r="A146" s="2">
        <v>40750.0</v>
      </c>
      <c r="B146" s="3">
        <v>7234.0</v>
      </c>
      <c r="C146" s="1">
        <v>294.0</v>
      </c>
      <c r="D146" s="1" t="s">
        <v>6</v>
      </c>
      <c r="E146" s="1">
        <v>288.0</v>
      </c>
    </row>
    <row r="147">
      <c r="A147" s="2">
        <v>40751.0</v>
      </c>
      <c r="B147" s="3">
        <v>3250.0</v>
      </c>
      <c r="C147" s="1">
        <v>384.0</v>
      </c>
      <c r="D147" s="1">
        <v>15.0</v>
      </c>
      <c r="E147" s="3">
        <v>5460.0</v>
      </c>
    </row>
    <row r="148">
      <c r="A148" s="2">
        <v>40752.0</v>
      </c>
      <c r="B148" s="3">
        <v>1297.0</v>
      </c>
      <c r="C148" s="1">
        <v>36.0</v>
      </c>
      <c r="D148" s="1" t="s">
        <v>6</v>
      </c>
      <c r="E148" s="1">
        <v>438.0</v>
      </c>
    </row>
    <row r="149">
      <c r="A149" s="2">
        <v>40753.0</v>
      </c>
      <c r="B149" s="1">
        <v>611.0</v>
      </c>
      <c r="C149" s="1" t="s">
        <v>6</v>
      </c>
      <c r="D149" s="1" t="s">
        <v>6</v>
      </c>
      <c r="E149" s="1">
        <v>216.0</v>
      </c>
    </row>
    <row r="150">
      <c r="A150" s="2">
        <v>40756.0</v>
      </c>
      <c r="B150" s="3">
        <v>2215.0</v>
      </c>
      <c r="C150" s="1">
        <v>422.0</v>
      </c>
      <c r="D150" s="1" t="s">
        <v>6</v>
      </c>
      <c r="E150" s="1">
        <v>294.0</v>
      </c>
    </row>
    <row r="151">
      <c r="A151" s="2">
        <v>40757.0</v>
      </c>
      <c r="B151" s="3">
        <v>3910.0</v>
      </c>
      <c r="C151" s="1">
        <v>438.0</v>
      </c>
      <c r="D151" s="1" t="s">
        <v>6</v>
      </c>
      <c r="E151" s="3">
        <v>2292.0</v>
      </c>
    </row>
    <row r="152">
      <c r="A152" s="2">
        <v>40758.0</v>
      </c>
      <c r="B152" s="3">
        <v>5062.0</v>
      </c>
      <c r="C152" s="1">
        <v>516.0</v>
      </c>
      <c r="D152" s="1">
        <v>21.0</v>
      </c>
      <c r="E152" s="3">
        <v>1878.0</v>
      </c>
    </row>
    <row r="153">
      <c r="A153" s="2">
        <v>40759.0</v>
      </c>
      <c r="B153" s="1">
        <v>790.0</v>
      </c>
      <c r="C153" s="1">
        <v>1.0</v>
      </c>
      <c r="D153" s="1" t="s">
        <v>6</v>
      </c>
      <c r="E153" s="1">
        <v>558.0</v>
      </c>
    </row>
    <row r="154">
      <c r="A154" s="2">
        <v>40760.0</v>
      </c>
      <c r="B154" s="1">
        <v>200.0</v>
      </c>
      <c r="C154" s="1" t="s">
        <v>6</v>
      </c>
      <c r="D154" s="1" t="s">
        <v>6</v>
      </c>
      <c r="E154" s="1">
        <v>66.0</v>
      </c>
    </row>
    <row r="155">
      <c r="A155" s="2">
        <v>40763.0</v>
      </c>
      <c r="B155" s="3">
        <v>2082.0</v>
      </c>
      <c r="C155" s="1">
        <v>288.0</v>
      </c>
      <c r="D155" s="1" t="s">
        <v>6</v>
      </c>
      <c r="E155" s="1">
        <v>360.0</v>
      </c>
    </row>
    <row r="156">
      <c r="A156" s="2">
        <v>40764.0</v>
      </c>
      <c r="B156" s="3">
        <v>5476.0</v>
      </c>
      <c r="C156" s="1">
        <v>12.0</v>
      </c>
      <c r="D156" s="1" t="s">
        <v>6</v>
      </c>
      <c r="E156" s="1">
        <v>294.0</v>
      </c>
    </row>
    <row r="157">
      <c r="A157" s="2">
        <v>40765.0</v>
      </c>
      <c r="B157" s="3">
        <v>6014.0</v>
      </c>
      <c r="C157" s="1">
        <v>510.0</v>
      </c>
      <c r="D157" s="1">
        <v>20.0</v>
      </c>
      <c r="E157" s="3">
        <v>5814.0</v>
      </c>
    </row>
    <row r="158">
      <c r="A158" s="2">
        <v>40766.0</v>
      </c>
      <c r="B158" s="3">
        <v>1323.0</v>
      </c>
      <c r="C158" s="1">
        <v>451.0</v>
      </c>
      <c r="D158" s="1" t="s">
        <v>6</v>
      </c>
      <c r="E158" s="1">
        <v>612.0</v>
      </c>
    </row>
    <row r="159">
      <c r="A159" s="2">
        <v>40767.0</v>
      </c>
      <c r="B159" s="1">
        <v>200.0</v>
      </c>
      <c r="C159" s="1" t="s">
        <v>6</v>
      </c>
      <c r="D159" s="1" t="s">
        <v>6</v>
      </c>
      <c r="E159" s="1">
        <v>162.0</v>
      </c>
    </row>
    <row r="160">
      <c r="A160" s="2">
        <v>40770.0</v>
      </c>
      <c r="B160" s="3">
        <v>2404.0</v>
      </c>
      <c r="C160" s="1">
        <v>310.0</v>
      </c>
      <c r="D160" s="1" t="s">
        <v>6</v>
      </c>
      <c r="E160" s="1">
        <v>390.0</v>
      </c>
    </row>
    <row r="161">
      <c r="A161" s="2">
        <v>40771.0</v>
      </c>
      <c r="B161" s="3">
        <v>6114.0</v>
      </c>
      <c r="C161" s="1">
        <v>462.0</v>
      </c>
      <c r="D161" s="1" t="s">
        <v>6</v>
      </c>
      <c r="E161" s="1">
        <v>252.0</v>
      </c>
    </row>
    <row r="162">
      <c r="A162" s="2">
        <v>40772.0</v>
      </c>
      <c r="B162" s="3">
        <v>5613.0</v>
      </c>
      <c r="C162" s="1">
        <v>462.0</v>
      </c>
      <c r="D162" s="1">
        <v>21.0</v>
      </c>
      <c r="E162" s="3">
        <v>5694.0</v>
      </c>
    </row>
    <row r="163">
      <c r="A163" s="2">
        <v>40773.0</v>
      </c>
      <c r="B163" s="3">
        <v>1061.0</v>
      </c>
      <c r="C163" s="1" t="s">
        <v>6</v>
      </c>
      <c r="D163" s="1" t="s">
        <v>6</v>
      </c>
      <c r="E163" s="1">
        <v>686.0</v>
      </c>
    </row>
    <row r="164">
      <c r="A164" s="2">
        <v>40774.0</v>
      </c>
      <c r="B164" s="1">
        <v>150.0</v>
      </c>
      <c r="C164" s="1" t="s">
        <v>6</v>
      </c>
      <c r="D164" s="1" t="s">
        <v>6</v>
      </c>
      <c r="E164" s="1">
        <v>78.0</v>
      </c>
    </row>
    <row r="165">
      <c r="A165" s="2">
        <v>40777.0</v>
      </c>
      <c r="B165" s="3">
        <v>2143.0</v>
      </c>
      <c r="C165" s="1">
        <v>318.0</v>
      </c>
      <c r="D165" s="1" t="s">
        <v>6</v>
      </c>
      <c r="E165" s="1">
        <v>480.0</v>
      </c>
    </row>
    <row r="166">
      <c r="A166" s="2">
        <v>40778.0</v>
      </c>
      <c r="B166" s="3">
        <v>7288.0</v>
      </c>
      <c r="C166" s="1">
        <v>642.0</v>
      </c>
      <c r="D166" s="1" t="s">
        <v>6</v>
      </c>
      <c r="E166" s="3">
        <v>4134.0</v>
      </c>
    </row>
    <row r="167">
      <c r="A167" s="2">
        <v>40779.0</v>
      </c>
      <c r="B167" s="3">
        <v>3858.0</v>
      </c>
      <c r="C167" s="1">
        <v>432.0</v>
      </c>
      <c r="D167" s="1">
        <v>20.0</v>
      </c>
      <c r="E167" s="3">
        <v>3606.0</v>
      </c>
    </row>
    <row r="168">
      <c r="A168" s="2">
        <v>40780.0</v>
      </c>
      <c r="B168" s="3">
        <v>1365.0</v>
      </c>
      <c r="C168" s="1">
        <v>18.0</v>
      </c>
      <c r="D168" s="1" t="s">
        <v>6</v>
      </c>
      <c r="E168" s="1">
        <v>756.0</v>
      </c>
    </row>
    <row r="169">
      <c r="A169" s="2">
        <v>40781.0</v>
      </c>
      <c r="B169" s="1">
        <v>250.0</v>
      </c>
      <c r="C169" s="1" t="s">
        <v>6</v>
      </c>
      <c r="D169" s="1" t="s">
        <v>6</v>
      </c>
      <c r="E169" s="1">
        <v>114.0</v>
      </c>
    </row>
    <row r="170">
      <c r="A170" s="2">
        <v>40784.0</v>
      </c>
      <c r="B170" s="3">
        <v>2595.0</v>
      </c>
      <c r="C170" s="1">
        <v>366.0</v>
      </c>
      <c r="D170" s="1" t="s">
        <v>6</v>
      </c>
      <c r="E170" s="1">
        <v>312.0</v>
      </c>
    </row>
    <row r="171">
      <c r="A171" s="2">
        <v>40785.0</v>
      </c>
      <c r="B171" s="3">
        <v>5368.0</v>
      </c>
      <c r="C171" s="1">
        <v>492.0</v>
      </c>
      <c r="D171" s="1" t="s">
        <v>6</v>
      </c>
      <c r="E171" s="1">
        <v>576.0</v>
      </c>
    </row>
    <row r="172">
      <c r="A172" s="2">
        <v>40786.0</v>
      </c>
      <c r="B172" s="3">
        <v>7188.0</v>
      </c>
      <c r="C172" s="1">
        <v>510.0</v>
      </c>
      <c r="D172" s="1">
        <v>20.0</v>
      </c>
      <c r="E172" s="3">
        <v>5586.0</v>
      </c>
    </row>
    <row r="173">
      <c r="A173" s="2">
        <v>40787.0</v>
      </c>
      <c r="B173" s="3">
        <v>2231.0</v>
      </c>
      <c r="C173" s="1" t="s">
        <v>6</v>
      </c>
      <c r="D173" s="1" t="s">
        <v>6</v>
      </c>
      <c r="E173" s="3">
        <v>1158.0</v>
      </c>
    </row>
    <row r="174">
      <c r="A174" s="2">
        <v>40788.0</v>
      </c>
      <c r="B174" s="3">
        <v>2948.0</v>
      </c>
      <c r="C174" s="1" t="s">
        <v>6</v>
      </c>
      <c r="D174" s="1" t="s">
        <v>6</v>
      </c>
      <c r="E174" s="1">
        <v>354.0</v>
      </c>
    </row>
    <row r="175">
      <c r="A175" s="2">
        <v>40792.0</v>
      </c>
      <c r="B175" s="3">
        <v>5621.0</v>
      </c>
      <c r="C175" s="1">
        <v>925.0</v>
      </c>
      <c r="D175" s="1" t="s">
        <v>6</v>
      </c>
      <c r="E175" s="1">
        <v>132.0</v>
      </c>
    </row>
    <row r="176">
      <c r="A176" s="2">
        <v>40793.0</v>
      </c>
      <c r="B176" s="3">
        <v>5686.0</v>
      </c>
      <c r="C176" s="1">
        <v>342.0</v>
      </c>
      <c r="D176" s="1">
        <v>25.0</v>
      </c>
      <c r="E176" s="3">
        <v>6240.0</v>
      </c>
    </row>
    <row r="177">
      <c r="A177" s="2">
        <v>40794.0</v>
      </c>
      <c r="B177" s="1">
        <v>702.0</v>
      </c>
      <c r="C177" s="1">
        <v>12.0</v>
      </c>
      <c r="D177" s="1" t="s">
        <v>6</v>
      </c>
      <c r="E177" s="1">
        <v>390.0</v>
      </c>
    </row>
    <row r="178">
      <c r="A178" s="2">
        <v>40795.0</v>
      </c>
      <c r="B178" s="1">
        <v>10.0</v>
      </c>
      <c r="C178" s="1" t="s">
        <v>6</v>
      </c>
      <c r="D178" s="1" t="s">
        <v>6</v>
      </c>
      <c r="E178" s="1">
        <v>210.0</v>
      </c>
    </row>
    <row r="179">
      <c r="A179" s="2">
        <v>40798.0</v>
      </c>
      <c r="B179" s="3">
        <v>1960.0</v>
      </c>
      <c r="C179" s="1">
        <v>391.0</v>
      </c>
      <c r="D179" s="1">
        <v>25.0</v>
      </c>
      <c r="E179" s="1">
        <v>366.0</v>
      </c>
    </row>
    <row r="180">
      <c r="A180" s="2">
        <v>40799.0</v>
      </c>
      <c r="B180" s="3">
        <v>6410.0</v>
      </c>
      <c r="C180" s="1">
        <v>432.0</v>
      </c>
      <c r="D180" s="1" t="s">
        <v>6</v>
      </c>
      <c r="E180" s="3">
        <v>5562.0</v>
      </c>
    </row>
    <row r="181">
      <c r="A181" s="2">
        <v>40800.0</v>
      </c>
      <c r="B181" s="3">
        <v>3208.0</v>
      </c>
      <c r="C181" s="1">
        <v>504.0</v>
      </c>
      <c r="D181" s="1" t="s">
        <v>6</v>
      </c>
      <c r="E181" s="3">
        <v>3708.0</v>
      </c>
    </row>
    <row r="182">
      <c r="A182" s="2">
        <v>40801.0</v>
      </c>
      <c r="B182" s="3">
        <v>1302.0</v>
      </c>
      <c r="C182" s="1">
        <v>18.0</v>
      </c>
      <c r="D182" s="1" t="s">
        <v>6</v>
      </c>
      <c r="E182" s="1">
        <v>810.0</v>
      </c>
    </row>
    <row r="183">
      <c r="A183" s="2">
        <v>40802.0</v>
      </c>
      <c r="B183" s="1">
        <v>253.0</v>
      </c>
      <c r="C183" s="1" t="s">
        <v>6</v>
      </c>
      <c r="D183" s="1" t="s">
        <v>6</v>
      </c>
      <c r="E183" s="1">
        <v>120.0</v>
      </c>
    </row>
    <row r="184">
      <c r="A184" s="2">
        <v>40805.0</v>
      </c>
      <c r="B184" s="3">
        <v>2748.0</v>
      </c>
      <c r="C184" s="1">
        <v>260.0</v>
      </c>
      <c r="D184" s="1" t="s">
        <v>6</v>
      </c>
      <c r="E184" s="1">
        <v>522.0</v>
      </c>
    </row>
    <row r="185">
      <c r="A185" s="2">
        <v>40806.0</v>
      </c>
      <c r="B185" s="3">
        <v>8870.0</v>
      </c>
      <c r="C185" s="1">
        <v>434.0</v>
      </c>
      <c r="D185" s="1" t="s">
        <v>6</v>
      </c>
      <c r="E185" s="3">
        <v>4860.0</v>
      </c>
    </row>
    <row r="186">
      <c r="A186" s="2">
        <v>40807.0</v>
      </c>
      <c r="B186" s="3">
        <v>3819.0</v>
      </c>
      <c r="C186" s="1">
        <v>474.0</v>
      </c>
      <c r="D186" s="1">
        <v>25.0</v>
      </c>
      <c r="E186" s="3">
        <v>4638.0</v>
      </c>
    </row>
    <row r="187">
      <c r="A187" s="2">
        <v>40808.0</v>
      </c>
      <c r="B187" s="3">
        <v>1484.0</v>
      </c>
      <c r="C187" s="1" t="s">
        <v>6</v>
      </c>
      <c r="D187" s="1" t="s">
        <v>6</v>
      </c>
      <c r="E187" s="1">
        <v>522.0</v>
      </c>
    </row>
    <row r="188">
      <c r="A188" s="2">
        <v>40809.0</v>
      </c>
      <c r="B188" s="1">
        <v>208.0</v>
      </c>
      <c r="C188" s="1" t="s">
        <v>6</v>
      </c>
      <c r="D188" s="1" t="s">
        <v>6</v>
      </c>
      <c r="E188" s="1">
        <v>204.0</v>
      </c>
    </row>
    <row r="189">
      <c r="A189" s="2">
        <v>40812.0</v>
      </c>
      <c r="B189" s="3">
        <v>2558.0</v>
      </c>
      <c r="C189" s="1">
        <v>498.0</v>
      </c>
      <c r="D189" s="1" t="s">
        <v>6</v>
      </c>
      <c r="E189" s="1">
        <v>858.0</v>
      </c>
    </row>
    <row r="190">
      <c r="A190" s="2">
        <v>40813.0</v>
      </c>
      <c r="B190" s="3">
        <v>7802.0</v>
      </c>
      <c r="C190" s="1">
        <v>498.0</v>
      </c>
      <c r="D190" s="1" t="s">
        <v>6</v>
      </c>
      <c r="E190" s="3">
        <v>3780.0</v>
      </c>
    </row>
    <row r="191">
      <c r="A191" s="2">
        <v>40814.0</v>
      </c>
      <c r="B191" s="3">
        <v>4202.0</v>
      </c>
      <c r="C191" s="1">
        <v>522.0</v>
      </c>
      <c r="D191" s="1">
        <v>25.0</v>
      </c>
      <c r="E191" s="3">
        <v>5436.0</v>
      </c>
    </row>
    <row r="192">
      <c r="A192" s="2">
        <v>40815.0</v>
      </c>
      <c r="B192" s="3">
        <v>1313.0</v>
      </c>
      <c r="C192" s="1" t="s">
        <v>6</v>
      </c>
      <c r="D192" s="1" t="s">
        <v>6</v>
      </c>
      <c r="E192" s="1">
        <v>864.0</v>
      </c>
    </row>
    <row r="193">
      <c r="A193" s="2">
        <v>40816.0</v>
      </c>
      <c r="B193" s="1">
        <v>250.0</v>
      </c>
      <c r="C193" s="1" t="s">
        <v>6</v>
      </c>
      <c r="D193" s="1" t="s">
        <v>6</v>
      </c>
      <c r="E193" s="1">
        <v>138.0</v>
      </c>
    </row>
    <row r="194">
      <c r="A194" s="2">
        <v>40819.0</v>
      </c>
      <c r="B194" s="3">
        <v>3678.0</v>
      </c>
      <c r="C194" s="1">
        <v>445.0</v>
      </c>
      <c r="D194" s="1" t="s">
        <v>6</v>
      </c>
      <c r="E194" s="1">
        <v>732.0</v>
      </c>
    </row>
    <row r="195">
      <c r="A195" s="2">
        <v>40820.0</v>
      </c>
      <c r="B195" s="3">
        <v>9481.0</v>
      </c>
      <c r="C195" s="1">
        <v>522.0</v>
      </c>
      <c r="D195" s="1" t="s">
        <v>6</v>
      </c>
      <c r="E195" s="3">
        <v>3240.0</v>
      </c>
    </row>
    <row r="196">
      <c r="A196" s="2">
        <v>40821.0</v>
      </c>
      <c r="B196" s="3">
        <v>4158.0</v>
      </c>
      <c r="C196" s="1">
        <v>531.0</v>
      </c>
      <c r="D196" s="1">
        <v>23.0</v>
      </c>
      <c r="E196" s="3">
        <v>4644.0</v>
      </c>
    </row>
    <row r="197">
      <c r="A197" s="2">
        <v>40822.0</v>
      </c>
      <c r="B197" s="1">
        <v>754.0</v>
      </c>
      <c r="C197" s="1" t="s">
        <v>6</v>
      </c>
      <c r="D197" s="1" t="s">
        <v>6</v>
      </c>
      <c r="E197" s="1">
        <v>468.0</v>
      </c>
    </row>
    <row r="198">
      <c r="A198" s="2">
        <v>40823.0</v>
      </c>
      <c r="B198" s="1">
        <v>187.0</v>
      </c>
      <c r="C198" s="1" t="s">
        <v>6</v>
      </c>
      <c r="D198" s="1" t="s">
        <v>6</v>
      </c>
      <c r="E198" s="1">
        <v>168.0</v>
      </c>
    </row>
    <row r="199">
      <c r="A199" s="2">
        <v>40826.0</v>
      </c>
      <c r="B199" s="3">
        <v>2474.0</v>
      </c>
      <c r="C199" s="1">
        <v>344.0</v>
      </c>
      <c r="D199" s="1" t="s">
        <v>6</v>
      </c>
      <c r="E199" s="1">
        <v>720.0</v>
      </c>
    </row>
    <row r="200">
      <c r="A200" s="2">
        <v>40827.0</v>
      </c>
      <c r="B200" s="3">
        <v>4174.0</v>
      </c>
      <c r="C200" s="1">
        <v>559.0</v>
      </c>
      <c r="D200" s="1" t="s">
        <v>6</v>
      </c>
      <c r="E200" s="1">
        <v>486.0</v>
      </c>
    </row>
    <row r="201">
      <c r="A201" s="2">
        <v>40828.0</v>
      </c>
      <c r="B201" s="3">
        <v>4955.0</v>
      </c>
      <c r="C201" s="1">
        <v>540.0</v>
      </c>
      <c r="D201" s="1">
        <v>25.0</v>
      </c>
      <c r="E201" s="3">
        <v>7290.0</v>
      </c>
    </row>
    <row r="202">
      <c r="A202" s="2">
        <v>40829.0</v>
      </c>
      <c r="B202" s="3">
        <v>1143.0</v>
      </c>
      <c r="C202" s="1">
        <v>304.0</v>
      </c>
      <c r="D202" s="1" t="s">
        <v>6</v>
      </c>
      <c r="E202" s="1">
        <v>846.0</v>
      </c>
    </row>
    <row r="203">
      <c r="A203" s="2">
        <v>40830.0</v>
      </c>
      <c r="B203" s="1">
        <v>211.0</v>
      </c>
      <c r="C203" s="1" t="s">
        <v>6</v>
      </c>
      <c r="D203" s="1" t="s">
        <v>6</v>
      </c>
      <c r="E203" s="1">
        <v>192.0</v>
      </c>
    </row>
    <row r="204">
      <c r="A204" s="2">
        <v>40833.0</v>
      </c>
      <c r="B204" s="3">
        <v>3022.0</v>
      </c>
      <c r="C204" s="1">
        <v>348.0</v>
      </c>
      <c r="D204" s="1" t="s">
        <v>6</v>
      </c>
      <c r="E204" s="1">
        <v>600.0</v>
      </c>
    </row>
    <row r="205">
      <c r="A205" s="2">
        <v>40834.0</v>
      </c>
      <c r="B205" s="3">
        <v>5700.0</v>
      </c>
      <c r="C205" s="3">
        <v>1002.0</v>
      </c>
      <c r="D205" s="1" t="s">
        <v>6</v>
      </c>
      <c r="E205" s="3">
        <v>9684.0</v>
      </c>
    </row>
    <row r="206">
      <c r="A206" s="2">
        <v>40835.0</v>
      </c>
      <c r="B206" s="3">
        <v>1264.0</v>
      </c>
      <c r="C206" s="1">
        <v>24.0</v>
      </c>
      <c r="D206" s="1">
        <v>1.0</v>
      </c>
      <c r="E206" s="1">
        <v>264.0</v>
      </c>
    </row>
    <row r="207">
      <c r="A207" s="2">
        <v>40836.0</v>
      </c>
      <c r="B207" s="3">
        <v>1191.0</v>
      </c>
      <c r="C207" s="1">
        <v>3.0</v>
      </c>
      <c r="D207" s="1">
        <v>22.0</v>
      </c>
      <c r="E207" s="3">
        <v>1830.0</v>
      </c>
    </row>
    <row r="208">
      <c r="A208" s="2">
        <v>40837.0</v>
      </c>
      <c r="B208" s="1">
        <v>250.0</v>
      </c>
      <c r="C208" s="1" t="s">
        <v>6</v>
      </c>
      <c r="D208" s="1" t="s">
        <v>6</v>
      </c>
      <c r="E208" s="1">
        <v>186.0</v>
      </c>
    </row>
    <row r="209">
      <c r="A209" s="2">
        <v>40840.0</v>
      </c>
      <c r="B209" s="3">
        <v>2374.0</v>
      </c>
      <c r="C209" s="1">
        <v>343.0</v>
      </c>
      <c r="D209" s="1" t="s">
        <v>6</v>
      </c>
      <c r="E209" s="1">
        <v>570.0</v>
      </c>
    </row>
    <row r="210">
      <c r="A210" s="2">
        <v>40841.0</v>
      </c>
      <c r="B210" s="3">
        <v>4650.0</v>
      </c>
      <c r="C210" s="1">
        <v>488.0</v>
      </c>
      <c r="D210" s="1" t="s">
        <v>6</v>
      </c>
      <c r="E210" s="1">
        <v>438.0</v>
      </c>
    </row>
    <row r="211">
      <c r="A211" s="2">
        <v>40842.0</v>
      </c>
      <c r="B211" s="3">
        <v>4078.0</v>
      </c>
      <c r="C211" s="1">
        <v>234.0</v>
      </c>
      <c r="D211" s="1">
        <v>2.0</v>
      </c>
      <c r="E211" s="3">
        <v>7116.0</v>
      </c>
    </row>
    <row r="212">
      <c r="A212" s="2">
        <v>40843.0</v>
      </c>
      <c r="B212" s="1">
        <v>985.0</v>
      </c>
      <c r="C212" s="1">
        <v>24.0</v>
      </c>
      <c r="D212" s="1">
        <v>24.0</v>
      </c>
      <c r="E212" s="1">
        <v>690.0</v>
      </c>
    </row>
    <row r="213">
      <c r="A213" s="2">
        <v>40844.0</v>
      </c>
      <c r="B213" s="1">
        <v>660.0</v>
      </c>
      <c r="C213" s="1" t="s">
        <v>6</v>
      </c>
      <c r="D213" s="1" t="s">
        <v>6</v>
      </c>
      <c r="E213" s="1">
        <v>510.0</v>
      </c>
    </row>
    <row r="214">
      <c r="A214" s="2">
        <v>40847.0</v>
      </c>
      <c r="B214" s="1">
        <v>670.0</v>
      </c>
      <c r="C214" s="1">
        <v>498.0</v>
      </c>
      <c r="D214" s="1" t="s">
        <v>6</v>
      </c>
      <c r="E214" s="1" t="s">
        <v>6</v>
      </c>
    </row>
    <row r="215">
      <c r="A215" s="2">
        <v>40848.0</v>
      </c>
      <c r="B215" s="3">
        <v>3154.0</v>
      </c>
      <c r="C215" s="1">
        <v>468.0</v>
      </c>
      <c r="D215" s="1" t="s">
        <v>6</v>
      </c>
      <c r="E215" s="1">
        <v>534.0</v>
      </c>
    </row>
    <row r="216">
      <c r="A216" s="2">
        <v>40849.0</v>
      </c>
      <c r="B216" s="3">
        <v>5708.0</v>
      </c>
      <c r="C216" s="1">
        <v>540.0</v>
      </c>
      <c r="D216" s="1" t="s">
        <v>6</v>
      </c>
      <c r="E216" s="3">
        <v>7464.0</v>
      </c>
    </row>
    <row r="217">
      <c r="A217" s="2">
        <v>40850.0</v>
      </c>
      <c r="B217" s="3">
        <v>1237.0</v>
      </c>
      <c r="C217" s="1" t="s">
        <v>6</v>
      </c>
      <c r="D217" s="1">
        <v>25.0</v>
      </c>
      <c r="E217" s="1">
        <v>336.0</v>
      </c>
    </row>
    <row r="218">
      <c r="A218" s="2">
        <v>40851.0</v>
      </c>
      <c r="B218" s="1">
        <v>275.0</v>
      </c>
      <c r="C218" s="1" t="s">
        <v>6</v>
      </c>
      <c r="D218" s="1" t="s">
        <v>6</v>
      </c>
      <c r="E218" s="1">
        <v>156.0</v>
      </c>
    </row>
    <row r="219">
      <c r="A219" s="2">
        <v>40854.0</v>
      </c>
      <c r="B219" s="3">
        <v>2912.0</v>
      </c>
      <c r="C219" s="1">
        <v>504.0</v>
      </c>
      <c r="D219" s="1" t="s">
        <v>6</v>
      </c>
      <c r="E219" s="1">
        <v>450.0</v>
      </c>
    </row>
    <row r="220">
      <c r="A220" s="2">
        <v>40855.0</v>
      </c>
      <c r="B220" s="3">
        <v>6850.0</v>
      </c>
      <c r="C220" s="1">
        <v>504.0</v>
      </c>
      <c r="D220" s="1" t="s">
        <v>6</v>
      </c>
      <c r="E220" s="1">
        <v>252.0</v>
      </c>
    </row>
    <row r="221">
      <c r="A221" s="2">
        <v>40856.0</v>
      </c>
      <c r="B221" s="3">
        <v>3708.0</v>
      </c>
      <c r="C221" s="1">
        <v>432.0</v>
      </c>
      <c r="D221" s="1" t="s">
        <v>6</v>
      </c>
      <c r="E221" s="3">
        <v>7560.0</v>
      </c>
    </row>
    <row r="222">
      <c r="A222" s="2">
        <v>40857.0</v>
      </c>
      <c r="B222" s="3">
        <v>1078.0</v>
      </c>
      <c r="C222" s="1">
        <v>18.0</v>
      </c>
      <c r="D222" s="1">
        <v>31.0</v>
      </c>
      <c r="E222" s="1">
        <v>816.0</v>
      </c>
    </row>
    <row r="223">
      <c r="A223" s="2">
        <v>40858.0</v>
      </c>
      <c r="B223" s="1">
        <v>200.0</v>
      </c>
      <c r="C223" s="1" t="s">
        <v>6</v>
      </c>
      <c r="D223" s="1" t="s">
        <v>6</v>
      </c>
      <c r="E223" s="1">
        <v>168.0</v>
      </c>
    </row>
    <row r="224">
      <c r="A224" s="2">
        <v>40861.0</v>
      </c>
      <c r="B224" s="3">
        <v>2718.0</v>
      </c>
      <c r="C224" s="1">
        <v>306.0</v>
      </c>
      <c r="D224" s="1" t="s">
        <v>6</v>
      </c>
      <c r="E224" s="1">
        <v>750.0</v>
      </c>
    </row>
    <row r="225">
      <c r="A225" s="2">
        <v>40862.0</v>
      </c>
      <c r="B225" s="3">
        <v>5117.0</v>
      </c>
      <c r="C225" s="1">
        <v>420.0</v>
      </c>
      <c r="D225" s="1" t="s">
        <v>6</v>
      </c>
      <c r="E225" s="3">
        <v>3600.0</v>
      </c>
    </row>
    <row r="226">
      <c r="A226" s="2">
        <v>40863.0</v>
      </c>
      <c r="B226" s="3">
        <v>4716.0</v>
      </c>
      <c r="C226" s="1">
        <v>759.0</v>
      </c>
      <c r="D226" s="1">
        <v>1.0</v>
      </c>
      <c r="E226" s="3">
        <v>7338.0</v>
      </c>
    </row>
    <row r="227">
      <c r="A227" s="2">
        <v>40864.0</v>
      </c>
      <c r="B227" s="3">
        <v>1452.0</v>
      </c>
      <c r="C227" s="1">
        <v>72.0</v>
      </c>
      <c r="D227" s="1">
        <v>29.0</v>
      </c>
      <c r="E227" s="1">
        <v>876.0</v>
      </c>
    </row>
    <row r="228">
      <c r="A228" s="2">
        <v>40865.0</v>
      </c>
      <c r="B228" s="3">
        <v>2138.0</v>
      </c>
      <c r="C228" s="1" t="s">
        <v>6</v>
      </c>
      <c r="D228" s="1" t="s">
        <v>6</v>
      </c>
      <c r="E228" s="1">
        <v>372.0</v>
      </c>
    </row>
    <row r="229">
      <c r="A229" s="2">
        <v>40868.0</v>
      </c>
      <c r="B229" s="1">
        <v>600.0</v>
      </c>
      <c r="C229" s="1">
        <v>42.0</v>
      </c>
      <c r="D229" s="1" t="s">
        <v>6</v>
      </c>
      <c r="E229" s="1">
        <v>276.0</v>
      </c>
    </row>
    <row r="230">
      <c r="A230" s="2">
        <v>40869.0</v>
      </c>
      <c r="B230" s="3">
        <v>7989.0</v>
      </c>
      <c r="C230" s="3">
        <v>1322.0</v>
      </c>
      <c r="D230" s="1" t="s">
        <v>6</v>
      </c>
      <c r="E230" s="3">
        <v>6264.0</v>
      </c>
    </row>
    <row r="231">
      <c r="A231" s="2">
        <v>40870.0</v>
      </c>
      <c r="B231" s="1">
        <v>150.0</v>
      </c>
      <c r="C231" s="1" t="s">
        <v>6</v>
      </c>
      <c r="D231" s="1" t="s">
        <v>6</v>
      </c>
      <c r="E231" s="1">
        <v>156.0</v>
      </c>
    </row>
    <row r="232">
      <c r="A232" s="2">
        <v>40875.0</v>
      </c>
      <c r="B232" s="3">
        <v>1979.0</v>
      </c>
      <c r="C232" s="1">
        <v>327.0</v>
      </c>
      <c r="D232" s="1" t="s">
        <v>6</v>
      </c>
      <c r="E232" s="1">
        <v>498.0</v>
      </c>
    </row>
    <row r="233">
      <c r="A233" s="2">
        <v>40876.0</v>
      </c>
      <c r="B233" s="3">
        <v>4912.0</v>
      </c>
      <c r="C233" s="1">
        <v>486.0</v>
      </c>
      <c r="D233" s="1">
        <v>29.0</v>
      </c>
      <c r="E233" s="3">
        <v>3834.0</v>
      </c>
    </row>
    <row r="234">
      <c r="A234" s="2">
        <v>40877.0</v>
      </c>
      <c r="B234" s="3">
        <v>2404.0</v>
      </c>
      <c r="C234" s="1">
        <v>372.0</v>
      </c>
      <c r="D234" s="1" t="s">
        <v>6</v>
      </c>
      <c r="E234" s="1">
        <v>60.0</v>
      </c>
    </row>
    <row r="235">
      <c r="A235" s="2">
        <v>40878.0</v>
      </c>
      <c r="B235" s="3">
        <v>1160.0</v>
      </c>
      <c r="C235" s="1">
        <v>6.0</v>
      </c>
      <c r="D235" s="1" t="s">
        <v>6</v>
      </c>
      <c r="E235" s="1">
        <v>636.0</v>
      </c>
    </row>
    <row r="236">
      <c r="A236" s="2">
        <v>40879.0</v>
      </c>
      <c r="B236" s="1">
        <v>641.0</v>
      </c>
      <c r="C236" s="1" t="s">
        <v>6</v>
      </c>
      <c r="D236" s="1" t="s">
        <v>6</v>
      </c>
      <c r="E236" s="1">
        <v>756.0</v>
      </c>
    </row>
    <row r="237">
      <c r="A237" s="2">
        <v>40882.0</v>
      </c>
      <c r="B237" s="3">
        <v>1898.0</v>
      </c>
      <c r="C237" s="1">
        <v>362.0</v>
      </c>
      <c r="D237" s="1" t="s">
        <v>6</v>
      </c>
      <c r="E237" s="1">
        <v>444.0</v>
      </c>
    </row>
    <row r="238">
      <c r="A238" s="2">
        <v>40883.0</v>
      </c>
      <c r="B238" s="3">
        <v>5008.0</v>
      </c>
      <c r="C238" s="1">
        <v>504.0</v>
      </c>
      <c r="D238" s="1" t="s">
        <v>6</v>
      </c>
      <c r="E238" s="1" t="s">
        <v>6</v>
      </c>
    </row>
    <row r="239">
      <c r="A239" s="2">
        <v>40884.0</v>
      </c>
      <c r="B239" s="3">
        <v>4714.0</v>
      </c>
      <c r="C239" s="1">
        <v>582.0</v>
      </c>
      <c r="D239" s="1" t="s">
        <v>6</v>
      </c>
      <c r="E239" s="3">
        <v>3798.0</v>
      </c>
    </row>
    <row r="240">
      <c r="A240" s="2">
        <v>40885.0</v>
      </c>
      <c r="B240" s="3">
        <v>1064.0</v>
      </c>
      <c r="C240" s="1">
        <v>50.0</v>
      </c>
      <c r="D240" s="1">
        <v>38.0</v>
      </c>
      <c r="E240" s="3">
        <v>6800.0</v>
      </c>
    </row>
    <row r="241">
      <c r="A241" s="2">
        <v>40886.0</v>
      </c>
      <c r="B241" s="1">
        <v>121.0</v>
      </c>
      <c r="C241" s="1" t="s">
        <v>6</v>
      </c>
      <c r="D241" s="1" t="s">
        <v>6</v>
      </c>
      <c r="E241" s="1">
        <v>120.0</v>
      </c>
    </row>
    <row r="242">
      <c r="A242" s="2">
        <v>40889.0</v>
      </c>
      <c r="B242" s="3">
        <v>2655.0</v>
      </c>
      <c r="C242" s="1">
        <v>684.0</v>
      </c>
      <c r="D242" s="1" t="s">
        <v>6</v>
      </c>
      <c r="E242" s="3">
        <v>3870.0</v>
      </c>
    </row>
    <row r="243">
      <c r="A243" s="2">
        <v>40890.0</v>
      </c>
      <c r="B243" s="3">
        <v>8036.0</v>
      </c>
      <c r="C243" s="1">
        <v>510.0</v>
      </c>
      <c r="D243" s="1" t="s">
        <v>6</v>
      </c>
      <c r="E243" s="1">
        <v>444.0</v>
      </c>
    </row>
    <row r="244">
      <c r="A244" s="2">
        <v>40891.0</v>
      </c>
      <c r="B244" s="3">
        <v>5234.0</v>
      </c>
      <c r="C244" s="1">
        <v>570.0</v>
      </c>
      <c r="D244" s="1">
        <v>5.0</v>
      </c>
      <c r="E244" s="3">
        <v>3780.0</v>
      </c>
    </row>
    <row r="245">
      <c r="A245" s="2">
        <v>40892.0</v>
      </c>
      <c r="B245" s="1">
        <v>882.0</v>
      </c>
      <c r="C245" s="1" t="s">
        <v>6</v>
      </c>
      <c r="D245" s="1">
        <v>30.0</v>
      </c>
      <c r="E245" s="1">
        <v>702.0</v>
      </c>
    </row>
    <row r="246">
      <c r="A246" s="2">
        <v>40893.0</v>
      </c>
      <c r="B246" s="3">
        <v>3188.0</v>
      </c>
      <c r="C246" s="1" t="s">
        <v>6</v>
      </c>
      <c r="D246" s="1" t="s">
        <v>6</v>
      </c>
      <c r="E246" s="1">
        <v>744.0</v>
      </c>
    </row>
    <row r="247">
      <c r="A247" s="2">
        <v>40896.0</v>
      </c>
      <c r="B247" s="3">
        <v>1010.0</v>
      </c>
      <c r="C247" s="1">
        <v>360.0</v>
      </c>
      <c r="D247" s="1">
        <v>36.0</v>
      </c>
      <c r="E247" s="1">
        <v>600.0</v>
      </c>
    </row>
    <row r="248">
      <c r="A248" s="2">
        <v>40897.0</v>
      </c>
      <c r="B248" s="3">
        <v>5582.0</v>
      </c>
      <c r="C248" s="1">
        <v>588.0</v>
      </c>
      <c r="D248" s="1" t="s">
        <v>6</v>
      </c>
      <c r="E248" s="1">
        <v>522.0</v>
      </c>
    </row>
    <row r="249">
      <c r="A249" s="2">
        <v>40898.0</v>
      </c>
      <c r="B249" s="3">
        <v>7427.0</v>
      </c>
      <c r="C249" s="1">
        <v>648.0</v>
      </c>
      <c r="D249" s="1" t="s">
        <v>6</v>
      </c>
      <c r="E249" s="3">
        <v>6606.0</v>
      </c>
    </row>
    <row r="250">
      <c r="A250" s="2">
        <v>40899.0</v>
      </c>
      <c r="B250" s="3">
        <v>2580.0</v>
      </c>
      <c r="C250" s="1">
        <v>88.0</v>
      </c>
      <c r="D250" s="1" t="s">
        <v>6</v>
      </c>
      <c r="E250" s="3">
        <v>4188.0</v>
      </c>
    </row>
    <row r="251">
      <c r="A251" s="2">
        <v>40900.0</v>
      </c>
      <c r="B251" s="3">
        <v>1420.0</v>
      </c>
      <c r="C251" s="1" t="s">
        <v>6</v>
      </c>
      <c r="D251" s="1" t="s">
        <v>6</v>
      </c>
      <c r="E251" s="3">
        <v>1074.0</v>
      </c>
    </row>
    <row r="252">
      <c r="A252" s="2">
        <v>40904.0</v>
      </c>
      <c r="B252" s="3">
        <v>5287.0</v>
      </c>
      <c r="C252" s="1">
        <v>362.0</v>
      </c>
      <c r="D252" s="1">
        <v>5.0</v>
      </c>
      <c r="E252" s="1">
        <v>324.0</v>
      </c>
    </row>
    <row r="253">
      <c r="A253" s="2">
        <v>40905.0</v>
      </c>
      <c r="B253" s="3">
        <v>3129.0</v>
      </c>
      <c r="C253" s="1">
        <v>24.0</v>
      </c>
      <c r="D253" s="1" t="s">
        <v>6</v>
      </c>
      <c r="E253" s="3">
        <v>6090.0</v>
      </c>
    </row>
    <row r="254">
      <c r="A254" s="2">
        <v>40906.0</v>
      </c>
      <c r="B254" s="1" t="s">
        <v>6</v>
      </c>
      <c r="C254" s="1">
        <v>2.0</v>
      </c>
      <c r="D254" s="1">
        <v>6.0</v>
      </c>
      <c r="E254" s="1">
        <v>102.0</v>
      </c>
    </row>
    <row r="255">
      <c r="A255" s="2">
        <v>40907.0</v>
      </c>
      <c r="B255" s="1">
        <v>52.0</v>
      </c>
      <c r="C255" s="1" t="s">
        <v>6</v>
      </c>
      <c r="D255" s="1" t="s">
        <v>6</v>
      </c>
      <c r="E255" s="1">
        <v>90.0</v>
      </c>
    </row>
    <row r="256">
      <c r="A256" s="2">
        <v>40911.0</v>
      </c>
      <c r="B256" s="3">
        <v>1147.0</v>
      </c>
      <c r="C256" s="3">
        <v>1164.0</v>
      </c>
      <c r="D256" s="1">
        <v>62.0</v>
      </c>
      <c r="E256" s="1">
        <v>558.0</v>
      </c>
    </row>
    <row r="257">
      <c r="A257" s="2">
        <v>40912.0</v>
      </c>
      <c r="B257" s="3">
        <v>5100.0</v>
      </c>
      <c r="C257" s="1">
        <v>510.0</v>
      </c>
      <c r="D257" s="1" t="s">
        <v>6</v>
      </c>
      <c r="E257" s="3">
        <v>10092.0</v>
      </c>
    </row>
    <row r="258">
      <c r="A258" s="2">
        <v>40913.0</v>
      </c>
      <c r="B258" s="1">
        <v>776.0</v>
      </c>
      <c r="C258" s="1">
        <v>36.0</v>
      </c>
      <c r="D258" s="1" t="s">
        <v>6</v>
      </c>
      <c r="E258" s="1">
        <v>642.0</v>
      </c>
    </row>
    <row r="259">
      <c r="A259" s="2">
        <v>40914.0</v>
      </c>
      <c r="B259" s="1">
        <v>156.0</v>
      </c>
      <c r="C259" s="1" t="s">
        <v>6</v>
      </c>
      <c r="D259" s="1" t="s">
        <v>6</v>
      </c>
      <c r="E259" s="1">
        <v>258.0</v>
      </c>
    </row>
    <row r="260">
      <c r="A260" s="2">
        <v>40917.0</v>
      </c>
      <c r="B260" s="3">
        <v>5823.0</v>
      </c>
      <c r="C260" s="1">
        <v>354.0</v>
      </c>
      <c r="D260" s="1" t="s">
        <v>6</v>
      </c>
      <c r="E260" s="1">
        <v>402.0</v>
      </c>
    </row>
    <row r="261">
      <c r="A261" s="2">
        <v>40918.0</v>
      </c>
      <c r="B261" s="3">
        <v>2010.0</v>
      </c>
      <c r="C261" s="1">
        <v>42.0</v>
      </c>
      <c r="D261" s="1" t="s">
        <v>6</v>
      </c>
      <c r="E261" s="1">
        <v>132.0</v>
      </c>
    </row>
    <row r="262">
      <c r="A262" s="2">
        <v>40919.0</v>
      </c>
      <c r="B262" s="3">
        <v>3920.0</v>
      </c>
      <c r="C262" s="3">
        <v>1098.0</v>
      </c>
      <c r="D262" s="1" t="s">
        <v>6</v>
      </c>
      <c r="E262" s="3">
        <v>6306.0</v>
      </c>
    </row>
    <row r="263">
      <c r="A263" s="2">
        <v>40920.0</v>
      </c>
      <c r="B263" s="3">
        <v>1303.0</v>
      </c>
      <c r="C263" s="1">
        <v>24.0</v>
      </c>
      <c r="D263" s="1" t="s">
        <v>6</v>
      </c>
      <c r="E263" s="1">
        <v>876.0</v>
      </c>
    </row>
    <row r="264">
      <c r="A264" s="2">
        <v>40921.0</v>
      </c>
      <c r="B264" s="1">
        <v>357.0</v>
      </c>
      <c r="C264" s="1" t="s">
        <v>6</v>
      </c>
      <c r="D264" s="1" t="s">
        <v>6</v>
      </c>
      <c r="E264" s="1">
        <v>174.0</v>
      </c>
    </row>
    <row r="265">
      <c r="A265" s="2">
        <v>40924.0</v>
      </c>
      <c r="B265" s="3">
        <v>1992.0</v>
      </c>
      <c r="C265" s="1">
        <v>222.0</v>
      </c>
      <c r="D265" s="1" t="s">
        <v>6</v>
      </c>
      <c r="E265" s="1">
        <v>420.0</v>
      </c>
    </row>
    <row r="266">
      <c r="A266" s="2">
        <v>40925.0</v>
      </c>
      <c r="B266" s="3">
        <v>3351.0</v>
      </c>
      <c r="C266" s="1">
        <v>390.0</v>
      </c>
      <c r="D266" s="1" t="s">
        <v>6</v>
      </c>
      <c r="E266" s="1">
        <v>138.0</v>
      </c>
    </row>
    <row r="267">
      <c r="A267" s="2">
        <v>40926.0</v>
      </c>
      <c r="B267" s="3">
        <v>4976.0</v>
      </c>
      <c r="C267" s="1">
        <v>396.0</v>
      </c>
      <c r="D267" s="1">
        <v>2.0</v>
      </c>
      <c r="E267" s="3">
        <v>13200.0</v>
      </c>
    </row>
    <row r="268">
      <c r="A268" s="2">
        <v>40927.0</v>
      </c>
      <c r="B268" s="1" t="s">
        <v>6</v>
      </c>
      <c r="C268" s="1" t="s">
        <v>6</v>
      </c>
      <c r="D268" s="1">
        <v>23.0</v>
      </c>
      <c r="E268" s="1">
        <v>72.0</v>
      </c>
    </row>
    <row r="269">
      <c r="A269" s="2">
        <v>40928.0</v>
      </c>
      <c r="B269" s="1">
        <v>850.0</v>
      </c>
      <c r="C269" s="1" t="s">
        <v>6</v>
      </c>
      <c r="D269" s="1" t="s">
        <v>6</v>
      </c>
      <c r="E269" s="1">
        <v>528.0</v>
      </c>
    </row>
    <row r="270">
      <c r="A270" s="2">
        <v>40931.0</v>
      </c>
      <c r="B270" s="3">
        <v>1944.0</v>
      </c>
      <c r="C270" s="1">
        <v>456.0</v>
      </c>
      <c r="D270" s="1" t="s">
        <v>6</v>
      </c>
      <c r="E270" s="1">
        <v>516.0</v>
      </c>
    </row>
    <row r="271">
      <c r="A271" s="2">
        <v>40932.0</v>
      </c>
      <c r="B271" s="3">
        <v>6034.0</v>
      </c>
      <c r="C271" s="1">
        <v>432.0</v>
      </c>
      <c r="D271" s="1" t="s">
        <v>6</v>
      </c>
      <c r="E271" s="3">
        <v>3690.0</v>
      </c>
    </row>
    <row r="272">
      <c r="A272" s="2">
        <v>40933.0</v>
      </c>
      <c r="B272" s="3">
        <v>2227.0</v>
      </c>
      <c r="C272" s="1">
        <v>396.0</v>
      </c>
      <c r="D272" s="1" t="s">
        <v>6</v>
      </c>
      <c r="E272" s="3">
        <v>10836.0</v>
      </c>
    </row>
    <row r="273">
      <c r="A273" s="2">
        <v>40934.0</v>
      </c>
      <c r="B273" s="3">
        <v>2254.0</v>
      </c>
      <c r="C273" s="1">
        <v>12.0</v>
      </c>
      <c r="D273" s="1">
        <v>26.0</v>
      </c>
      <c r="E273" s="3">
        <v>1164.0</v>
      </c>
    </row>
    <row r="274">
      <c r="A274" s="2">
        <v>40935.0</v>
      </c>
      <c r="B274" s="1">
        <v>64.0</v>
      </c>
      <c r="C274" s="1" t="s">
        <v>6</v>
      </c>
      <c r="D274" s="1" t="s">
        <v>6</v>
      </c>
      <c r="E274" s="1">
        <v>156.0</v>
      </c>
    </row>
    <row r="275">
      <c r="A275" s="2">
        <v>40938.0</v>
      </c>
      <c r="B275" s="3">
        <v>2057.0</v>
      </c>
      <c r="C275" s="1">
        <v>393.0</v>
      </c>
      <c r="D275" s="1" t="s">
        <v>6</v>
      </c>
      <c r="E275" s="1">
        <v>456.0</v>
      </c>
    </row>
    <row r="276">
      <c r="A276" s="2">
        <v>40939.0</v>
      </c>
      <c r="B276" s="3">
        <v>4465.0</v>
      </c>
      <c r="C276" s="1">
        <v>504.0</v>
      </c>
      <c r="D276" s="1" t="s">
        <v>6</v>
      </c>
      <c r="E276" s="3">
        <v>3456.0</v>
      </c>
    </row>
    <row r="277">
      <c r="A277" s="2">
        <v>40940.0</v>
      </c>
      <c r="B277" s="3">
        <v>3714.0</v>
      </c>
      <c r="C277" s="1">
        <v>546.0</v>
      </c>
      <c r="D277" s="1">
        <v>3.0</v>
      </c>
      <c r="E277" s="3">
        <v>5082.0</v>
      </c>
    </row>
    <row r="278">
      <c r="A278" s="2">
        <v>40941.0</v>
      </c>
      <c r="B278" s="1">
        <v>789.0</v>
      </c>
      <c r="C278" s="1">
        <v>24.0</v>
      </c>
      <c r="D278" s="1">
        <v>26.0</v>
      </c>
      <c r="E278" s="1">
        <v>744.0</v>
      </c>
    </row>
    <row r="279">
      <c r="A279" s="2">
        <v>40942.0</v>
      </c>
      <c r="B279" s="1">
        <v>226.0</v>
      </c>
      <c r="C279" s="1" t="s">
        <v>6</v>
      </c>
      <c r="D279" s="1" t="s">
        <v>6</v>
      </c>
      <c r="E279" s="1">
        <v>168.0</v>
      </c>
    </row>
    <row r="280">
      <c r="A280" s="2">
        <v>40945.0</v>
      </c>
      <c r="B280" s="3">
        <v>2488.0</v>
      </c>
      <c r="C280" s="1">
        <v>240.0</v>
      </c>
      <c r="D280" s="1" t="s">
        <v>6</v>
      </c>
      <c r="E280" s="1">
        <v>624.0</v>
      </c>
    </row>
    <row r="281">
      <c r="A281" s="2">
        <v>40946.0</v>
      </c>
      <c r="B281" s="3">
        <v>5010.0</v>
      </c>
      <c r="C281" s="1">
        <v>450.0</v>
      </c>
      <c r="D281" s="1" t="s">
        <v>6</v>
      </c>
      <c r="E281" s="3">
        <v>3906.0</v>
      </c>
    </row>
    <row r="282">
      <c r="A282" s="2">
        <v>40947.0</v>
      </c>
      <c r="B282" s="3">
        <v>3292.0</v>
      </c>
      <c r="C282" s="1">
        <v>444.0</v>
      </c>
      <c r="D282" s="1">
        <v>1.0</v>
      </c>
      <c r="E282" s="3">
        <v>6366.0</v>
      </c>
    </row>
    <row r="283">
      <c r="A283" s="2">
        <v>40948.0</v>
      </c>
      <c r="B283" s="1">
        <v>992.0</v>
      </c>
      <c r="C283" s="1">
        <v>42.0</v>
      </c>
      <c r="D283" s="1">
        <v>28.0</v>
      </c>
      <c r="E283" s="3">
        <v>1014.0</v>
      </c>
    </row>
    <row r="284">
      <c r="A284" s="2">
        <v>40949.0</v>
      </c>
      <c r="B284" s="1">
        <v>255.0</v>
      </c>
      <c r="C284" s="1" t="s">
        <v>6</v>
      </c>
      <c r="D284" s="1" t="s">
        <v>6</v>
      </c>
      <c r="E284" s="1">
        <v>96.0</v>
      </c>
    </row>
    <row r="285">
      <c r="A285" s="2">
        <v>40952.0</v>
      </c>
      <c r="B285" s="3">
        <v>4580.0</v>
      </c>
      <c r="C285" s="1">
        <v>716.0</v>
      </c>
      <c r="D285" s="1" t="s">
        <v>6</v>
      </c>
      <c r="E285" s="1">
        <v>648.0</v>
      </c>
    </row>
    <row r="286">
      <c r="A286" s="2">
        <v>40953.0</v>
      </c>
      <c r="B286" s="3">
        <v>3958.0</v>
      </c>
      <c r="C286" s="1">
        <v>866.0</v>
      </c>
      <c r="D286" s="1" t="s">
        <v>6</v>
      </c>
      <c r="E286" s="3">
        <v>4212.0</v>
      </c>
    </row>
    <row r="287">
      <c r="A287" s="2">
        <v>40954.0</v>
      </c>
      <c r="B287" s="3">
        <v>3469.0</v>
      </c>
      <c r="C287" s="1">
        <v>13.0</v>
      </c>
      <c r="D287" s="1" t="s">
        <v>6</v>
      </c>
      <c r="E287" s="3">
        <v>3750.0</v>
      </c>
    </row>
    <row r="288">
      <c r="A288" s="2">
        <v>40955.0</v>
      </c>
      <c r="B288" s="3">
        <v>2595.0</v>
      </c>
      <c r="C288" s="1" t="s">
        <v>6</v>
      </c>
      <c r="D288" s="1">
        <v>36.0</v>
      </c>
      <c r="E288" s="3">
        <v>1344.0</v>
      </c>
    </row>
    <row r="289">
      <c r="A289" s="2">
        <v>40956.0</v>
      </c>
      <c r="B289" s="1">
        <v>130.0</v>
      </c>
      <c r="C289" s="1" t="s">
        <v>6</v>
      </c>
      <c r="D289" s="1" t="s">
        <v>6</v>
      </c>
      <c r="E289" s="1">
        <v>264.0</v>
      </c>
    </row>
    <row r="290">
      <c r="A290" s="2">
        <v>40959.0</v>
      </c>
      <c r="B290" s="1" t="s">
        <v>6</v>
      </c>
      <c r="C290" s="1">
        <v>6.0</v>
      </c>
      <c r="D290" s="1" t="s">
        <v>6</v>
      </c>
      <c r="E290" s="1" t="s">
        <v>6</v>
      </c>
    </row>
    <row r="291">
      <c r="A291" s="2">
        <v>40960.0</v>
      </c>
      <c r="B291" s="3">
        <v>6898.0</v>
      </c>
      <c r="C291" s="1">
        <v>770.0</v>
      </c>
      <c r="D291" s="1" t="s">
        <v>6</v>
      </c>
      <c r="E291" s="3">
        <v>3390.0</v>
      </c>
    </row>
    <row r="292">
      <c r="A292" s="2">
        <v>40961.0</v>
      </c>
      <c r="B292" s="3">
        <v>2958.0</v>
      </c>
      <c r="C292" s="1">
        <v>522.0</v>
      </c>
      <c r="D292" s="1">
        <v>2.0</v>
      </c>
      <c r="E292" s="3">
        <v>7236.0</v>
      </c>
    </row>
    <row r="293">
      <c r="A293" s="2">
        <v>40962.0</v>
      </c>
      <c r="B293" s="3">
        <v>1144.0</v>
      </c>
      <c r="C293" s="1">
        <v>6.0</v>
      </c>
      <c r="D293" s="1">
        <v>27.0</v>
      </c>
      <c r="E293" s="1">
        <v>846.0</v>
      </c>
    </row>
    <row r="294">
      <c r="A294" s="2">
        <v>40963.0</v>
      </c>
      <c r="B294" s="1">
        <v>50.0</v>
      </c>
      <c r="C294" s="1" t="s">
        <v>6</v>
      </c>
      <c r="D294" s="1" t="s">
        <v>6</v>
      </c>
      <c r="E294" s="1">
        <v>18.0</v>
      </c>
    </row>
    <row r="295">
      <c r="A295" s="2">
        <v>40966.0</v>
      </c>
      <c r="B295" s="3">
        <v>2220.0</v>
      </c>
      <c r="C295" s="1">
        <v>408.0</v>
      </c>
      <c r="D295" s="1">
        <v>29.0</v>
      </c>
      <c r="E295" s="1">
        <v>666.0</v>
      </c>
    </row>
    <row r="296">
      <c r="A296" s="2">
        <v>40967.0</v>
      </c>
      <c r="B296" s="3">
        <v>4692.0</v>
      </c>
      <c r="C296" s="1">
        <v>264.0</v>
      </c>
      <c r="D296" s="1" t="s">
        <v>6</v>
      </c>
      <c r="E296" s="3">
        <v>3396.0</v>
      </c>
    </row>
    <row r="297">
      <c r="A297" s="2">
        <v>40968.0</v>
      </c>
      <c r="B297" s="3">
        <v>3782.0</v>
      </c>
      <c r="C297" s="1">
        <v>390.0</v>
      </c>
      <c r="D297" s="1" t="s">
        <v>6</v>
      </c>
      <c r="E297" s="3">
        <v>3762.0</v>
      </c>
    </row>
    <row r="298">
      <c r="A298" s="2">
        <v>40969.0</v>
      </c>
      <c r="B298" s="3">
        <v>1360.0</v>
      </c>
      <c r="C298" s="1">
        <v>216.0</v>
      </c>
      <c r="D298" s="1" t="s">
        <v>6</v>
      </c>
      <c r="E298" s="1">
        <v>726.0</v>
      </c>
    </row>
    <row r="299">
      <c r="A299" s="2">
        <v>40970.0</v>
      </c>
      <c r="B299" s="1">
        <v>250.0</v>
      </c>
      <c r="C299" s="1" t="s">
        <v>6</v>
      </c>
      <c r="D299" s="1" t="s">
        <v>6</v>
      </c>
      <c r="E299" s="1">
        <v>102.0</v>
      </c>
    </row>
    <row r="300">
      <c r="A300" s="2">
        <v>40973.0</v>
      </c>
      <c r="B300" s="3">
        <v>2340.0</v>
      </c>
      <c r="C300" s="1">
        <v>372.0</v>
      </c>
      <c r="D300" s="1" t="s">
        <v>6</v>
      </c>
      <c r="E300" s="1">
        <v>330.0</v>
      </c>
    </row>
    <row r="301">
      <c r="A301" s="2">
        <v>40974.0</v>
      </c>
      <c r="B301" s="3">
        <v>5103.0</v>
      </c>
      <c r="C301" s="1">
        <v>480.0</v>
      </c>
      <c r="D301" s="1" t="s">
        <v>6</v>
      </c>
      <c r="E301" s="3">
        <v>3666.0</v>
      </c>
    </row>
    <row r="302">
      <c r="A302" s="2">
        <v>40975.0</v>
      </c>
      <c r="B302" s="3">
        <v>3582.0</v>
      </c>
      <c r="C302" s="1">
        <v>534.0</v>
      </c>
      <c r="D302" s="1">
        <v>39.0</v>
      </c>
      <c r="E302" s="3">
        <v>4578.0</v>
      </c>
    </row>
    <row r="303">
      <c r="A303" s="2">
        <v>40976.0</v>
      </c>
      <c r="B303" s="3">
        <v>1531.0</v>
      </c>
      <c r="C303" s="1">
        <v>24.0</v>
      </c>
      <c r="D303" s="1" t="s">
        <v>6</v>
      </c>
      <c r="E303" s="3">
        <v>1392.0</v>
      </c>
    </row>
    <row r="304">
      <c r="A304" s="2">
        <v>40977.0</v>
      </c>
      <c r="B304" s="1">
        <v>255.0</v>
      </c>
      <c r="C304" s="1" t="s">
        <v>6</v>
      </c>
      <c r="D304" s="1" t="s">
        <v>6</v>
      </c>
      <c r="E304" s="1">
        <v>66.0</v>
      </c>
    </row>
    <row r="305">
      <c r="A305" s="2">
        <v>40980.0</v>
      </c>
      <c r="B305" s="3">
        <v>2824.0</v>
      </c>
      <c r="C305" s="1">
        <v>270.0</v>
      </c>
      <c r="D305" s="1" t="s">
        <v>6</v>
      </c>
      <c r="E305" s="1">
        <v>792.0</v>
      </c>
    </row>
    <row r="306">
      <c r="A306" s="2">
        <v>40981.0</v>
      </c>
      <c r="B306" s="3">
        <v>6267.0</v>
      </c>
      <c r="C306" s="1">
        <v>550.0</v>
      </c>
      <c r="D306" s="1" t="s">
        <v>6</v>
      </c>
      <c r="E306" s="3">
        <v>3438.0</v>
      </c>
    </row>
    <row r="307">
      <c r="A307" s="2">
        <v>40982.0</v>
      </c>
      <c r="B307" s="3">
        <v>3252.0</v>
      </c>
      <c r="C307" s="1">
        <v>546.0</v>
      </c>
      <c r="D307" s="1">
        <v>2.0</v>
      </c>
      <c r="E307" s="3">
        <v>2730.0</v>
      </c>
    </row>
    <row r="308">
      <c r="A308" s="2">
        <v>40983.0</v>
      </c>
      <c r="B308" s="3">
        <v>1361.0</v>
      </c>
      <c r="C308" s="1">
        <v>24.0</v>
      </c>
      <c r="D308" s="1">
        <v>32.0</v>
      </c>
      <c r="E308" s="1">
        <v>738.0</v>
      </c>
    </row>
    <row r="309">
      <c r="A309" s="2">
        <v>40984.0</v>
      </c>
      <c r="B309" s="1">
        <v>200.0</v>
      </c>
      <c r="C309" s="1" t="s">
        <v>6</v>
      </c>
      <c r="D309" s="1" t="s">
        <v>6</v>
      </c>
      <c r="E309" s="1">
        <v>204.0</v>
      </c>
    </row>
    <row r="310">
      <c r="A310" s="2">
        <v>40987.0</v>
      </c>
      <c r="B310" s="3">
        <v>2906.0</v>
      </c>
      <c r="C310" s="1">
        <v>278.0</v>
      </c>
      <c r="D310" s="1" t="s">
        <v>6</v>
      </c>
      <c r="E310" s="1">
        <v>516.0</v>
      </c>
    </row>
    <row r="311">
      <c r="A311" s="2">
        <v>40988.0</v>
      </c>
      <c r="B311" s="3">
        <v>5886.0</v>
      </c>
      <c r="C311" s="1">
        <v>456.0</v>
      </c>
      <c r="D311" s="1" t="s">
        <v>6</v>
      </c>
      <c r="E311" s="3">
        <v>4062.0</v>
      </c>
    </row>
    <row r="312">
      <c r="A312" s="2">
        <v>40989.0</v>
      </c>
      <c r="B312" s="3">
        <v>3892.0</v>
      </c>
      <c r="C312" s="1">
        <v>408.0</v>
      </c>
      <c r="D312" s="1">
        <v>3.0</v>
      </c>
      <c r="E312" s="3">
        <v>2754.0</v>
      </c>
    </row>
    <row r="313">
      <c r="A313" s="2">
        <v>40990.0</v>
      </c>
      <c r="B313" s="1">
        <v>707.0</v>
      </c>
      <c r="C313" s="1">
        <v>18.0</v>
      </c>
      <c r="D313" s="1">
        <v>38.0</v>
      </c>
      <c r="E313" s="1">
        <v>660.0</v>
      </c>
    </row>
    <row r="314">
      <c r="A314" s="2">
        <v>40991.0</v>
      </c>
      <c r="B314" s="1">
        <v>50.0</v>
      </c>
      <c r="C314" s="1" t="s">
        <v>6</v>
      </c>
      <c r="D314" s="1" t="s">
        <v>6</v>
      </c>
      <c r="E314" s="1">
        <v>144.0</v>
      </c>
    </row>
    <row r="315">
      <c r="A315" s="2">
        <v>40994.0</v>
      </c>
      <c r="B315" s="3">
        <v>1100.0</v>
      </c>
      <c r="C315" s="1">
        <v>450.0</v>
      </c>
      <c r="D315" s="1" t="s">
        <v>6</v>
      </c>
      <c r="E315" s="1">
        <v>432.0</v>
      </c>
    </row>
    <row r="316">
      <c r="A316" s="2">
        <v>40995.0</v>
      </c>
      <c r="B316" s="3">
        <v>8160.0</v>
      </c>
      <c r="C316" s="1">
        <v>465.0</v>
      </c>
      <c r="D316" s="1" t="s">
        <v>6</v>
      </c>
      <c r="E316" s="3">
        <v>3648.0</v>
      </c>
    </row>
    <row r="317">
      <c r="A317" s="2">
        <v>40996.0</v>
      </c>
      <c r="B317" s="3">
        <v>2041.0</v>
      </c>
      <c r="C317" s="1">
        <v>480.0</v>
      </c>
      <c r="D317" s="1" t="s">
        <v>6</v>
      </c>
      <c r="E317" s="3">
        <v>1956.0</v>
      </c>
    </row>
    <row r="318">
      <c r="A318" s="2">
        <v>40997.0</v>
      </c>
      <c r="B318" s="3">
        <v>3582.0</v>
      </c>
      <c r="C318" s="1">
        <v>31.0</v>
      </c>
      <c r="D318" s="1">
        <v>44.0</v>
      </c>
      <c r="E318" s="1">
        <v>768.0</v>
      </c>
    </row>
    <row r="319">
      <c r="A319" s="2">
        <v>40998.0</v>
      </c>
      <c r="B319" s="1">
        <v>705.0</v>
      </c>
      <c r="C319" s="1" t="s">
        <v>6</v>
      </c>
      <c r="D319" s="1" t="s">
        <v>6</v>
      </c>
      <c r="E319" s="1">
        <v>384.0</v>
      </c>
    </row>
    <row r="320">
      <c r="A320" s="2">
        <v>41001.0</v>
      </c>
      <c r="B320" s="3">
        <v>1938.0</v>
      </c>
      <c r="C320" s="1">
        <v>324.0</v>
      </c>
      <c r="D320" s="1" t="s">
        <v>6</v>
      </c>
      <c r="E320" s="1">
        <v>570.0</v>
      </c>
    </row>
    <row r="321">
      <c r="A321" s="2">
        <v>41002.0</v>
      </c>
      <c r="B321" s="3">
        <v>9366.0</v>
      </c>
      <c r="C321" s="1">
        <v>470.0</v>
      </c>
      <c r="D321" s="1" t="s">
        <v>6</v>
      </c>
      <c r="E321" s="1">
        <v>252.0</v>
      </c>
    </row>
    <row r="322">
      <c r="A322" s="2">
        <v>41003.0</v>
      </c>
      <c r="B322" s="3">
        <v>5004.0</v>
      </c>
      <c r="C322" s="1">
        <v>482.0</v>
      </c>
      <c r="D322" s="1">
        <v>3.0</v>
      </c>
      <c r="E322" s="3">
        <v>7212.0</v>
      </c>
    </row>
    <row r="323">
      <c r="A323" s="2">
        <v>41004.0</v>
      </c>
      <c r="B323" s="3">
        <v>1306.0</v>
      </c>
      <c r="C323" s="1">
        <v>234.0</v>
      </c>
      <c r="D323" s="1">
        <v>35.0</v>
      </c>
      <c r="E323" s="1">
        <v>768.0</v>
      </c>
    </row>
    <row r="324">
      <c r="A324" s="2">
        <v>41005.0</v>
      </c>
      <c r="B324" s="3">
        <v>1108.0</v>
      </c>
      <c r="C324" s="1" t="s">
        <v>6</v>
      </c>
      <c r="D324" s="1" t="s">
        <v>6</v>
      </c>
      <c r="E324" s="1">
        <v>12.0</v>
      </c>
    </row>
    <row r="325">
      <c r="A325" s="2">
        <v>41008.0</v>
      </c>
      <c r="B325" s="3">
        <v>1914.0</v>
      </c>
      <c r="C325" s="1">
        <v>348.0</v>
      </c>
      <c r="D325" s="1" t="s">
        <v>6</v>
      </c>
      <c r="E325" s="1">
        <v>786.0</v>
      </c>
    </row>
    <row r="326">
      <c r="A326" s="2">
        <v>41009.0</v>
      </c>
      <c r="B326" s="3">
        <v>5248.0</v>
      </c>
      <c r="C326" s="1">
        <v>498.0</v>
      </c>
      <c r="D326" s="1" t="s">
        <v>6</v>
      </c>
      <c r="E326" s="3">
        <v>3828.0</v>
      </c>
    </row>
    <row r="327">
      <c r="A327" s="2">
        <v>41010.0</v>
      </c>
      <c r="B327" s="3">
        <v>2517.0</v>
      </c>
      <c r="C327" s="1">
        <v>420.0</v>
      </c>
      <c r="D327" s="1">
        <v>3.0</v>
      </c>
      <c r="E327" s="3">
        <v>4704.0</v>
      </c>
    </row>
    <row r="328">
      <c r="A328" s="2">
        <v>41011.0</v>
      </c>
      <c r="B328" s="3">
        <v>1043.0</v>
      </c>
      <c r="C328" s="1">
        <v>30.0</v>
      </c>
      <c r="D328" s="1">
        <v>35.0</v>
      </c>
      <c r="E328" s="1">
        <v>864.0</v>
      </c>
    </row>
    <row r="329">
      <c r="A329" s="2">
        <v>41012.0</v>
      </c>
      <c r="B329" s="1">
        <v>200.0</v>
      </c>
      <c r="C329" s="1" t="s">
        <v>6</v>
      </c>
      <c r="D329" s="1" t="s">
        <v>6</v>
      </c>
      <c r="E329" s="1">
        <v>78.0</v>
      </c>
    </row>
    <row r="330">
      <c r="A330" s="2">
        <v>41015.0</v>
      </c>
      <c r="B330" s="3">
        <v>2140.0</v>
      </c>
      <c r="C330" s="1">
        <v>300.0</v>
      </c>
      <c r="D330" s="1" t="s">
        <v>6</v>
      </c>
      <c r="E330" s="1">
        <v>906.0</v>
      </c>
    </row>
    <row r="331">
      <c r="A331" s="2">
        <v>41016.0</v>
      </c>
      <c r="B331" s="3">
        <v>2196.0</v>
      </c>
      <c r="C331" s="1">
        <v>264.0</v>
      </c>
      <c r="D331" s="1" t="s">
        <v>6</v>
      </c>
      <c r="E331" s="3">
        <v>3828.0</v>
      </c>
    </row>
    <row r="332">
      <c r="A332" s="2">
        <v>41017.0</v>
      </c>
      <c r="B332" s="3">
        <v>3175.0</v>
      </c>
      <c r="C332" s="1">
        <v>384.0</v>
      </c>
      <c r="D332" s="1">
        <v>38.0</v>
      </c>
      <c r="E332" s="3">
        <v>4518.0</v>
      </c>
    </row>
    <row r="333">
      <c r="A333" s="2">
        <v>41018.0</v>
      </c>
      <c r="B333" s="3">
        <v>1100.0</v>
      </c>
      <c r="C333" s="1">
        <v>12.0</v>
      </c>
      <c r="D333" s="1" t="s">
        <v>6</v>
      </c>
      <c r="E333" s="1">
        <v>720.0</v>
      </c>
    </row>
    <row r="334">
      <c r="A334" s="2">
        <v>41019.0</v>
      </c>
      <c r="B334" s="1">
        <v>100.0</v>
      </c>
      <c r="C334" s="1" t="s">
        <v>6</v>
      </c>
      <c r="D334" s="1" t="s">
        <v>6</v>
      </c>
      <c r="E334" s="1">
        <v>84.0</v>
      </c>
    </row>
    <row r="335">
      <c r="A335" s="2">
        <v>41022.0</v>
      </c>
      <c r="B335" s="3">
        <v>1434.0</v>
      </c>
      <c r="C335" s="1">
        <v>350.0</v>
      </c>
      <c r="D335" s="1">
        <v>39.0</v>
      </c>
      <c r="E335" s="1">
        <v>444.0</v>
      </c>
    </row>
    <row r="336">
      <c r="A336" s="2">
        <v>41023.0</v>
      </c>
      <c r="B336" s="3">
        <v>4741.0</v>
      </c>
      <c r="C336" s="1">
        <v>450.0</v>
      </c>
      <c r="D336" s="1" t="s">
        <v>6</v>
      </c>
      <c r="E336" s="3">
        <v>3402.0</v>
      </c>
    </row>
    <row r="337">
      <c r="A337" s="2">
        <v>41024.0</v>
      </c>
      <c r="B337" s="3">
        <v>3398.0</v>
      </c>
      <c r="C337" s="1">
        <v>12.0</v>
      </c>
      <c r="D337" s="1" t="s">
        <v>6</v>
      </c>
      <c r="E337" s="3">
        <v>4788.0</v>
      </c>
    </row>
    <row r="338">
      <c r="A338" s="2">
        <v>41025.0</v>
      </c>
      <c r="B338" s="1">
        <v>289.0</v>
      </c>
      <c r="C338" s="1">
        <v>445.0</v>
      </c>
      <c r="D338" s="1" t="s">
        <v>6</v>
      </c>
      <c r="E338" s="3">
        <v>1470.0</v>
      </c>
    </row>
    <row r="339">
      <c r="A339" s="2">
        <v>41026.0</v>
      </c>
      <c r="B339" s="1" t="s">
        <v>6</v>
      </c>
      <c r="C339" s="1" t="s">
        <v>6</v>
      </c>
      <c r="D339" s="1" t="s">
        <v>6</v>
      </c>
      <c r="E339" s="1">
        <v>30.0</v>
      </c>
    </row>
    <row r="340">
      <c r="A340" s="2">
        <v>41029.0</v>
      </c>
      <c r="B340" s="1">
        <v>550.0</v>
      </c>
      <c r="C340" s="1" t="s">
        <v>6</v>
      </c>
      <c r="D340" s="1" t="s">
        <v>6</v>
      </c>
      <c r="E340" s="1">
        <v>210.0</v>
      </c>
    </row>
    <row r="341">
      <c r="A341" s="4">
        <v>41030.0</v>
      </c>
      <c r="B341" s="3">
        <v>4820.0</v>
      </c>
      <c r="C341" s="1">
        <v>716.0</v>
      </c>
      <c r="D341" s="1">
        <v>1.0</v>
      </c>
      <c r="E341" s="3">
        <v>3642.0</v>
      </c>
    </row>
    <row r="342">
      <c r="A342" s="4">
        <v>41031.0</v>
      </c>
      <c r="B342" s="3">
        <v>3622.0</v>
      </c>
      <c r="C342" s="1">
        <v>577.0</v>
      </c>
      <c r="D342" s="1">
        <v>37.0</v>
      </c>
      <c r="E342" s="3">
        <v>4566.0</v>
      </c>
    </row>
    <row r="343">
      <c r="A343" s="4">
        <v>41032.0</v>
      </c>
      <c r="B343" s="3">
        <v>1029.0</v>
      </c>
      <c r="C343" s="1">
        <v>224.0</v>
      </c>
      <c r="D343" s="1" t="s">
        <v>6</v>
      </c>
      <c r="E343" s="1">
        <v>948.0</v>
      </c>
    </row>
    <row r="344">
      <c r="A344" s="4">
        <v>41033.0</v>
      </c>
      <c r="B344" s="1">
        <v>312.0</v>
      </c>
      <c r="C344" s="1" t="s">
        <v>6</v>
      </c>
      <c r="D344" s="1" t="s">
        <v>6</v>
      </c>
      <c r="E344" s="1">
        <v>432.0</v>
      </c>
    </row>
    <row r="345">
      <c r="A345" s="4">
        <v>41036.0</v>
      </c>
      <c r="B345" s="3">
        <v>2192.0</v>
      </c>
      <c r="C345" s="1">
        <v>432.0</v>
      </c>
      <c r="D345" s="1" t="s">
        <v>6</v>
      </c>
      <c r="E345" s="1">
        <v>636.0</v>
      </c>
    </row>
    <row r="346">
      <c r="A346" s="4">
        <v>41037.0</v>
      </c>
      <c r="B346" s="3">
        <v>4551.0</v>
      </c>
      <c r="C346" s="1">
        <v>486.0</v>
      </c>
      <c r="D346" s="1">
        <v>7.0</v>
      </c>
      <c r="E346" s="1">
        <v>312.0</v>
      </c>
    </row>
    <row r="347">
      <c r="A347" s="4">
        <v>41038.0</v>
      </c>
      <c r="B347" s="3">
        <v>5530.0</v>
      </c>
      <c r="C347" s="1">
        <v>510.0</v>
      </c>
      <c r="D347" s="1">
        <v>39.0</v>
      </c>
      <c r="E347" s="3">
        <v>7044.0</v>
      </c>
    </row>
    <row r="348">
      <c r="A348" s="4">
        <v>41039.0</v>
      </c>
      <c r="B348" s="3">
        <v>1485.0</v>
      </c>
      <c r="C348" s="1">
        <v>32.0</v>
      </c>
      <c r="D348" s="1" t="s">
        <v>6</v>
      </c>
      <c r="E348" s="1">
        <v>570.0</v>
      </c>
    </row>
    <row r="349">
      <c r="A349" s="4">
        <v>41040.0</v>
      </c>
      <c r="B349" s="1">
        <v>206.0</v>
      </c>
      <c r="C349" s="1" t="s">
        <v>6</v>
      </c>
      <c r="D349" s="1" t="s">
        <v>6</v>
      </c>
      <c r="E349" s="1">
        <v>186.0</v>
      </c>
    </row>
    <row r="350">
      <c r="A350" s="4">
        <v>41043.0</v>
      </c>
      <c r="B350" s="3">
        <v>1878.0</v>
      </c>
      <c r="C350" s="1">
        <v>276.0</v>
      </c>
      <c r="D350" s="1" t="s">
        <v>6</v>
      </c>
      <c r="E350" s="1">
        <v>600.0</v>
      </c>
    </row>
    <row r="351">
      <c r="A351" s="4">
        <v>41044.0</v>
      </c>
      <c r="B351" s="3">
        <v>4892.0</v>
      </c>
      <c r="C351" s="1">
        <v>432.0</v>
      </c>
      <c r="D351" s="1">
        <v>3.0</v>
      </c>
      <c r="E351" s="3">
        <v>3474.0</v>
      </c>
    </row>
    <row r="352">
      <c r="A352" s="4">
        <v>41045.0</v>
      </c>
      <c r="B352" s="3">
        <v>4950.0</v>
      </c>
      <c r="C352" s="1">
        <v>900.0</v>
      </c>
      <c r="D352" s="1">
        <v>35.0</v>
      </c>
      <c r="E352" s="3">
        <v>6396.0</v>
      </c>
    </row>
    <row r="353">
      <c r="A353" s="4">
        <v>41046.0</v>
      </c>
      <c r="B353" s="3">
        <v>1349.0</v>
      </c>
      <c r="C353" s="1">
        <v>18.0</v>
      </c>
      <c r="D353" s="1" t="s">
        <v>6</v>
      </c>
      <c r="E353" s="3">
        <v>1350.0</v>
      </c>
    </row>
    <row r="354">
      <c r="A354" s="4">
        <v>41047.0</v>
      </c>
      <c r="B354" s="1">
        <v>229.0</v>
      </c>
      <c r="C354" s="1" t="s">
        <v>6</v>
      </c>
      <c r="D354" s="1" t="s">
        <v>6</v>
      </c>
      <c r="E354" s="1">
        <v>492.0</v>
      </c>
    </row>
    <row r="355">
      <c r="A355" s="4">
        <v>41050.0</v>
      </c>
      <c r="B355" s="3">
        <v>2072.0</v>
      </c>
      <c r="C355" s="1">
        <v>405.0</v>
      </c>
      <c r="D355" s="1" t="s">
        <v>6</v>
      </c>
      <c r="E355" s="1">
        <v>612.0</v>
      </c>
    </row>
    <row r="356">
      <c r="A356" s="4">
        <v>41051.0</v>
      </c>
      <c r="B356" s="3">
        <v>7720.0</v>
      </c>
      <c r="C356" s="1">
        <v>480.0</v>
      </c>
      <c r="D356" s="1">
        <v>3.0</v>
      </c>
      <c r="E356" s="3">
        <v>3714.0</v>
      </c>
    </row>
    <row r="357">
      <c r="A357" s="4">
        <v>41052.0</v>
      </c>
      <c r="B357" s="3">
        <v>1314.0</v>
      </c>
      <c r="C357" s="1">
        <v>594.0</v>
      </c>
      <c r="D357" s="1">
        <v>36.0</v>
      </c>
      <c r="E357" s="3">
        <v>4728.0</v>
      </c>
    </row>
    <row r="358">
      <c r="A358" s="4">
        <v>41053.0</v>
      </c>
      <c r="B358" s="3">
        <v>1364.0</v>
      </c>
      <c r="C358" s="1">
        <v>24.0</v>
      </c>
      <c r="D358" s="1" t="s">
        <v>6</v>
      </c>
      <c r="E358" s="1">
        <v>210.0</v>
      </c>
    </row>
    <row r="359">
      <c r="A359" s="4">
        <v>41054.0</v>
      </c>
      <c r="B359" s="3">
        <v>1088.0</v>
      </c>
      <c r="C359" s="1" t="s">
        <v>6</v>
      </c>
      <c r="D359" s="1" t="s">
        <v>6</v>
      </c>
      <c r="E359" s="3">
        <v>1152.0</v>
      </c>
    </row>
    <row r="360">
      <c r="A360" s="4">
        <v>41058.0</v>
      </c>
      <c r="B360" s="3">
        <v>4497.0</v>
      </c>
      <c r="C360" s="1" t="s">
        <v>6</v>
      </c>
      <c r="D360" s="1" t="s">
        <v>6</v>
      </c>
      <c r="E360" s="3">
        <v>4536.0</v>
      </c>
    </row>
    <row r="361">
      <c r="A361" s="4">
        <v>41059.0</v>
      </c>
      <c r="B361" s="3">
        <v>5332.0</v>
      </c>
      <c r="C361" s="1" t="s">
        <v>6</v>
      </c>
      <c r="D361" s="1">
        <v>41.0</v>
      </c>
      <c r="E361" s="3">
        <v>2190.0</v>
      </c>
    </row>
    <row r="362">
      <c r="A362" s="4">
        <v>41060.0</v>
      </c>
      <c r="B362" s="1" t="s">
        <v>6</v>
      </c>
      <c r="C362" s="1" t="s">
        <v>6</v>
      </c>
      <c r="D362" s="1" t="s">
        <v>6</v>
      </c>
      <c r="E362" s="1">
        <v>840.0</v>
      </c>
    </row>
    <row r="363">
      <c r="A363" s="2">
        <v>41061.0</v>
      </c>
      <c r="B363" s="1">
        <v>463.0</v>
      </c>
      <c r="C363" s="1" t="s">
        <v>6</v>
      </c>
      <c r="D363" s="1" t="s">
        <v>6</v>
      </c>
      <c r="E363" s="1">
        <v>114.0</v>
      </c>
    </row>
    <row r="364">
      <c r="A364" s="2">
        <v>41064.0</v>
      </c>
      <c r="B364" s="3">
        <v>1397.0</v>
      </c>
      <c r="C364" s="1">
        <v>698.0</v>
      </c>
      <c r="D364" s="1" t="s">
        <v>6</v>
      </c>
      <c r="E364" s="1">
        <v>624.0</v>
      </c>
    </row>
    <row r="365">
      <c r="A365" s="2">
        <v>41065.0</v>
      </c>
      <c r="B365" s="3">
        <v>4046.0</v>
      </c>
      <c r="C365" s="1">
        <v>840.0</v>
      </c>
      <c r="D365" s="1">
        <v>3.0</v>
      </c>
      <c r="E365" s="3">
        <v>3852.0</v>
      </c>
    </row>
    <row r="366">
      <c r="A366" s="2">
        <v>41066.0</v>
      </c>
      <c r="B366" s="3">
        <v>3170.0</v>
      </c>
      <c r="C366" s="1">
        <v>954.0</v>
      </c>
      <c r="D366" s="1">
        <v>38.0</v>
      </c>
      <c r="E366" s="3">
        <v>3714.0</v>
      </c>
    </row>
    <row r="367">
      <c r="A367" s="2">
        <v>41067.0</v>
      </c>
      <c r="B367" s="3">
        <v>1233.0</v>
      </c>
      <c r="C367" s="1">
        <v>46.0</v>
      </c>
      <c r="D367" s="1" t="s">
        <v>6</v>
      </c>
      <c r="E367" s="1">
        <v>996.0</v>
      </c>
    </row>
    <row r="368">
      <c r="A368" s="2">
        <v>41068.0</v>
      </c>
      <c r="B368" s="1">
        <v>158.0</v>
      </c>
      <c r="C368" s="1" t="s">
        <v>6</v>
      </c>
      <c r="D368" s="1" t="s">
        <v>6</v>
      </c>
      <c r="E368" s="1">
        <v>192.0</v>
      </c>
    </row>
    <row r="369">
      <c r="A369" s="2">
        <v>41071.0</v>
      </c>
      <c r="B369" s="3">
        <v>2654.0</v>
      </c>
      <c r="C369" s="1">
        <v>252.0</v>
      </c>
      <c r="D369" s="1" t="s">
        <v>6</v>
      </c>
      <c r="E369" s="1">
        <v>210.0</v>
      </c>
    </row>
    <row r="370">
      <c r="A370" s="2">
        <v>41072.0</v>
      </c>
      <c r="B370" s="3">
        <v>5506.0</v>
      </c>
      <c r="C370" s="1">
        <v>480.0</v>
      </c>
      <c r="D370" s="1" t="s">
        <v>6</v>
      </c>
      <c r="E370" s="3">
        <v>4362.0</v>
      </c>
    </row>
    <row r="371">
      <c r="A371" s="2">
        <v>41073.0</v>
      </c>
      <c r="B371" s="3">
        <v>2990.0</v>
      </c>
      <c r="C371" s="1">
        <v>612.0</v>
      </c>
      <c r="D371" s="1">
        <v>43.0</v>
      </c>
      <c r="E371" s="3">
        <v>4542.0</v>
      </c>
    </row>
    <row r="372">
      <c r="A372" s="2">
        <v>41074.0</v>
      </c>
      <c r="B372" s="3">
        <v>1196.0</v>
      </c>
      <c r="C372" s="1">
        <v>6.0</v>
      </c>
      <c r="D372" s="1" t="s">
        <v>6</v>
      </c>
      <c r="E372" s="3">
        <v>1032.0</v>
      </c>
    </row>
    <row r="373">
      <c r="A373" s="2">
        <v>41075.0</v>
      </c>
      <c r="B373" s="1">
        <v>307.0</v>
      </c>
      <c r="C373" s="1" t="s">
        <v>6</v>
      </c>
      <c r="D373" s="1" t="s">
        <v>6</v>
      </c>
      <c r="E373" s="1">
        <v>168.0</v>
      </c>
    </row>
    <row r="374">
      <c r="A374" s="2">
        <v>41078.0</v>
      </c>
      <c r="B374" s="3">
        <v>1588.0</v>
      </c>
      <c r="C374" s="1">
        <v>342.0</v>
      </c>
      <c r="D374" s="1" t="s">
        <v>6</v>
      </c>
      <c r="E374" s="1">
        <v>438.0</v>
      </c>
    </row>
    <row r="375">
      <c r="A375" s="2">
        <v>41079.0</v>
      </c>
      <c r="B375" s="3">
        <v>4639.0</v>
      </c>
      <c r="C375" s="1">
        <v>540.0</v>
      </c>
      <c r="D375" s="1" t="s">
        <v>6</v>
      </c>
      <c r="E375" s="3">
        <v>4026.0</v>
      </c>
    </row>
    <row r="376">
      <c r="A376" s="2">
        <v>41080.0</v>
      </c>
      <c r="B376" s="3">
        <v>3559.0</v>
      </c>
      <c r="C376" s="1">
        <v>588.0</v>
      </c>
      <c r="D376" s="1">
        <v>42.0</v>
      </c>
      <c r="E376" s="3">
        <v>4632.0</v>
      </c>
    </row>
    <row r="377">
      <c r="A377" s="2">
        <v>41081.0</v>
      </c>
      <c r="B377" s="3">
        <v>1015.0</v>
      </c>
      <c r="C377" s="1">
        <v>30.0</v>
      </c>
      <c r="D377" s="1" t="s">
        <v>6</v>
      </c>
      <c r="E377" s="3">
        <v>1032.0</v>
      </c>
    </row>
    <row r="378">
      <c r="A378" s="2">
        <v>41082.0</v>
      </c>
      <c r="B378" s="1">
        <v>207.0</v>
      </c>
      <c r="C378" s="1" t="s">
        <v>6</v>
      </c>
      <c r="D378" s="1" t="s">
        <v>6</v>
      </c>
      <c r="E378" s="1">
        <v>120.0</v>
      </c>
    </row>
    <row r="379">
      <c r="A379" s="2">
        <v>41085.0</v>
      </c>
      <c r="B379" s="3">
        <v>5036.0</v>
      </c>
      <c r="C379" s="1">
        <v>338.0</v>
      </c>
      <c r="D379" s="1" t="s">
        <v>6</v>
      </c>
      <c r="E379" s="1">
        <v>708.0</v>
      </c>
    </row>
    <row r="380">
      <c r="A380" s="2">
        <v>41086.0</v>
      </c>
      <c r="B380" s="3">
        <v>7454.0</v>
      </c>
      <c r="C380" s="1">
        <v>492.0</v>
      </c>
      <c r="D380" s="1" t="s">
        <v>6</v>
      </c>
      <c r="E380" s="1">
        <v>702.0</v>
      </c>
    </row>
    <row r="381">
      <c r="A381" s="2">
        <v>41087.0</v>
      </c>
      <c r="B381" s="3">
        <v>5668.0</v>
      </c>
      <c r="C381" s="1">
        <v>388.0</v>
      </c>
      <c r="D381" s="1">
        <v>42.0</v>
      </c>
      <c r="E381" s="3">
        <v>9720.0</v>
      </c>
    </row>
    <row r="382">
      <c r="A382" s="2">
        <v>41088.0</v>
      </c>
      <c r="B382" s="3">
        <v>1219.0</v>
      </c>
      <c r="C382" s="1">
        <v>31.0</v>
      </c>
      <c r="D382" s="1" t="s">
        <v>6</v>
      </c>
      <c r="E382" s="1">
        <v>678.0</v>
      </c>
    </row>
    <row r="383">
      <c r="A383" s="2">
        <v>41089.0</v>
      </c>
      <c r="B383" s="1">
        <v>52.0</v>
      </c>
      <c r="C383" s="1" t="s">
        <v>6</v>
      </c>
      <c r="D383" s="1" t="s">
        <v>6</v>
      </c>
      <c r="E383" s="1">
        <v>54.0</v>
      </c>
    </row>
    <row r="384">
      <c r="A384" s="2">
        <v>41092.0</v>
      </c>
      <c r="B384" s="3">
        <v>6959.0</v>
      </c>
      <c r="C384" s="1">
        <v>391.0</v>
      </c>
      <c r="D384" s="1">
        <v>8.0</v>
      </c>
      <c r="E384" s="1">
        <v>426.0</v>
      </c>
    </row>
    <row r="385">
      <c r="A385" s="2">
        <v>41093.0</v>
      </c>
      <c r="B385" s="3">
        <v>4963.0</v>
      </c>
      <c r="C385" s="1">
        <v>480.0</v>
      </c>
      <c r="D385" s="1">
        <v>33.0</v>
      </c>
      <c r="E385" s="3">
        <v>4560.0</v>
      </c>
    </row>
    <row r="386">
      <c r="A386" s="2">
        <v>41095.0</v>
      </c>
      <c r="B386" s="3">
        <v>2176.0</v>
      </c>
      <c r="C386" s="1">
        <v>480.0</v>
      </c>
      <c r="D386" s="1" t="s">
        <v>6</v>
      </c>
      <c r="E386" s="3">
        <v>6894.0</v>
      </c>
    </row>
    <row r="387">
      <c r="A387" s="2">
        <v>41096.0</v>
      </c>
      <c r="B387" s="1">
        <v>50.0</v>
      </c>
      <c r="C387" s="1" t="s">
        <v>6</v>
      </c>
      <c r="D387" s="1" t="s">
        <v>6</v>
      </c>
      <c r="E387" s="1">
        <v>282.0</v>
      </c>
    </row>
    <row r="388">
      <c r="A388" s="2">
        <v>41099.0</v>
      </c>
      <c r="B388" s="3">
        <v>1432.0</v>
      </c>
      <c r="C388" s="1">
        <v>111.0</v>
      </c>
      <c r="D388" s="1" t="s">
        <v>6</v>
      </c>
      <c r="E388" s="1">
        <v>618.0</v>
      </c>
    </row>
    <row r="389">
      <c r="A389" s="2">
        <v>41100.0</v>
      </c>
      <c r="B389" s="3">
        <v>3352.0</v>
      </c>
      <c r="C389" s="1">
        <v>546.0</v>
      </c>
      <c r="D389" s="1" t="s">
        <v>6</v>
      </c>
      <c r="E389" s="1">
        <v>330.0</v>
      </c>
    </row>
    <row r="390">
      <c r="A390" s="2">
        <v>41101.0</v>
      </c>
      <c r="B390" s="3">
        <v>4383.0</v>
      </c>
      <c r="C390" s="1">
        <v>578.0</v>
      </c>
      <c r="D390" s="1">
        <v>40.0</v>
      </c>
      <c r="E390" s="3">
        <v>6384.0</v>
      </c>
    </row>
    <row r="391">
      <c r="A391" s="2">
        <v>41102.0</v>
      </c>
      <c r="B391" s="1">
        <v>982.0</v>
      </c>
      <c r="C391" s="1" t="s">
        <v>6</v>
      </c>
      <c r="D391" s="1" t="s">
        <v>6</v>
      </c>
      <c r="E391" s="1">
        <v>996.0</v>
      </c>
    </row>
    <row r="392">
      <c r="A392" s="2">
        <v>41103.0</v>
      </c>
      <c r="B392" s="1">
        <v>256.0</v>
      </c>
      <c r="C392" s="1" t="s">
        <v>6</v>
      </c>
      <c r="D392" s="1" t="s">
        <v>6</v>
      </c>
      <c r="E392" s="1">
        <v>162.0</v>
      </c>
    </row>
    <row r="393">
      <c r="A393" s="2">
        <v>41106.0</v>
      </c>
      <c r="B393" s="3">
        <v>1683.0</v>
      </c>
      <c r="C393" s="1">
        <v>368.0</v>
      </c>
      <c r="D393" s="1" t="s">
        <v>6</v>
      </c>
      <c r="E393" s="1">
        <v>570.0</v>
      </c>
    </row>
    <row r="394">
      <c r="A394" s="2">
        <v>41107.0</v>
      </c>
      <c r="B394" s="1">
        <v>50.0</v>
      </c>
      <c r="C394" s="3">
        <v>1213.0</v>
      </c>
      <c r="D394" s="1" t="s">
        <v>6</v>
      </c>
      <c r="E394" s="1">
        <v>48.0</v>
      </c>
    </row>
    <row r="395">
      <c r="A395" s="2">
        <v>41108.0</v>
      </c>
      <c r="B395" s="3">
        <v>4453.0</v>
      </c>
      <c r="C395" s="1">
        <v>12.0</v>
      </c>
      <c r="D395" s="1">
        <v>42.0</v>
      </c>
      <c r="E395" s="3">
        <v>4872.0</v>
      </c>
    </row>
    <row r="396">
      <c r="A396" s="2">
        <v>41109.0</v>
      </c>
      <c r="B396" s="3">
        <v>1163.0</v>
      </c>
      <c r="C396" s="1">
        <v>24.0</v>
      </c>
      <c r="D396" s="1" t="s">
        <v>6</v>
      </c>
      <c r="E396" s="3">
        <v>3942.0</v>
      </c>
    </row>
    <row r="397">
      <c r="A397" s="2">
        <v>41110.0</v>
      </c>
      <c r="B397" s="3">
        <v>1300.0</v>
      </c>
      <c r="C397" s="1" t="s">
        <v>6</v>
      </c>
      <c r="D397" s="1" t="s">
        <v>6</v>
      </c>
      <c r="E397" s="3">
        <v>2220.0</v>
      </c>
    </row>
    <row r="398">
      <c r="A398" s="2">
        <v>41113.0</v>
      </c>
      <c r="B398" s="3">
        <v>1937.0</v>
      </c>
      <c r="C398" s="1">
        <v>258.0</v>
      </c>
      <c r="D398" s="1" t="s">
        <v>6</v>
      </c>
      <c r="E398" s="1">
        <v>588.0</v>
      </c>
    </row>
    <row r="399">
      <c r="A399" s="2">
        <v>41114.0</v>
      </c>
      <c r="B399" s="3">
        <v>4333.0</v>
      </c>
      <c r="C399" s="1">
        <v>482.0</v>
      </c>
      <c r="D399" s="1" t="s">
        <v>6</v>
      </c>
      <c r="E399" s="3">
        <v>3654.0</v>
      </c>
    </row>
    <row r="400">
      <c r="A400" s="2">
        <v>41115.0</v>
      </c>
      <c r="B400" s="3">
        <v>2844.0</v>
      </c>
      <c r="C400" s="1">
        <v>396.0</v>
      </c>
      <c r="D400" s="1">
        <v>55.0</v>
      </c>
      <c r="E400" s="3">
        <v>6432.0</v>
      </c>
    </row>
    <row r="401">
      <c r="A401" s="2">
        <v>41116.0</v>
      </c>
      <c r="B401" s="3">
        <v>2085.0</v>
      </c>
      <c r="C401" s="1">
        <v>28.0</v>
      </c>
      <c r="D401" s="1" t="s">
        <v>6</v>
      </c>
      <c r="E401" s="3">
        <v>3018.0</v>
      </c>
    </row>
    <row r="402">
      <c r="A402" s="2">
        <v>41117.0</v>
      </c>
      <c r="B402" s="1">
        <v>50.0</v>
      </c>
      <c r="C402" s="1" t="s">
        <v>6</v>
      </c>
      <c r="D402" s="1" t="s">
        <v>6</v>
      </c>
      <c r="E402" s="1">
        <v>42.0</v>
      </c>
    </row>
    <row r="403">
      <c r="A403" s="2">
        <v>41120.0</v>
      </c>
      <c r="B403" s="3">
        <v>2206.0</v>
      </c>
      <c r="C403" s="1">
        <v>463.0</v>
      </c>
      <c r="D403" s="1" t="s">
        <v>6</v>
      </c>
      <c r="E403" s="1">
        <v>960.0</v>
      </c>
    </row>
    <row r="404">
      <c r="A404" s="2">
        <v>41121.0</v>
      </c>
      <c r="B404" s="3">
        <v>3282.0</v>
      </c>
      <c r="C404" s="1" t="s">
        <v>6</v>
      </c>
      <c r="D404" s="1" t="s">
        <v>6</v>
      </c>
      <c r="E404" s="1">
        <v>564.0</v>
      </c>
    </row>
    <row r="405">
      <c r="A405" s="2">
        <v>41122.0</v>
      </c>
      <c r="B405" s="3">
        <v>3892.0</v>
      </c>
      <c r="C405" s="1">
        <v>915.0</v>
      </c>
      <c r="D405" s="1">
        <v>54.0</v>
      </c>
      <c r="E405" s="3">
        <v>2532.0</v>
      </c>
    </row>
    <row r="406">
      <c r="A406" s="2">
        <v>41123.0</v>
      </c>
      <c r="B406" s="3">
        <v>1030.0</v>
      </c>
      <c r="C406" s="1" t="s">
        <v>6</v>
      </c>
      <c r="D406" s="1" t="s">
        <v>6</v>
      </c>
      <c r="E406" s="3">
        <v>6276.0</v>
      </c>
    </row>
    <row r="407">
      <c r="A407" s="2">
        <v>41124.0</v>
      </c>
      <c r="B407" s="1">
        <v>102.0</v>
      </c>
      <c r="C407" s="1" t="s">
        <v>6</v>
      </c>
      <c r="D407" s="1" t="s">
        <v>6</v>
      </c>
      <c r="E407" s="1">
        <v>144.0</v>
      </c>
    </row>
    <row r="408">
      <c r="A408" s="2">
        <v>41127.0</v>
      </c>
      <c r="B408" s="3">
        <v>1651.0</v>
      </c>
      <c r="C408" s="1">
        <v>228.0</v>
      </c>
      <c r="D408" s="1" t="s">
        <v>6</v>
      </c>
      <c r="E408" s="1">
        <v>222.0</v>
      </c>
    </row>
    <row r="409">
      <c r="A409" s="2">
        <v>41128.0</v>
      </c>
      <c r="B409" s="3">
        <v>2610.0</v>
      </c>
      <c r="C409" s="1">
        <v>270.0</v>
      </c>
      <c r="D409" s="1" t="s">
        <v>6</v>
      </c>
      <c r="E409" s="1">
        <v>426.0</v>
      </c>
    </row>
    <row r="410">
      <c r="A410" s="2">
        <v>41129.0</v>
      </c>
      <c r="B410" s="3">
        <v>2641.0</v>
      </c>
      <c r="C410" s="1">
        <v>666.0</v>
      </c>
      <c r="D410" s="1">
        <v>70.0</v>
      </c>
      <c r="E410" s="3">
        <v>5478.0</v>
      </c>
    </row>
    <row r="411">
      <c r="A411" s="2">
        <v>41130.0</v>
      </c>
      <c r="B411" s="3">
        <v>1002.0</v>
      </c>
      <c r="C411" s="1">
        <v>24.0</v>
      </c>
      <c r="D411" s="1" t="s">
        <v>6</v>
      </c>
      <c r="E411" s="1">
        <v>798.0</v>
      </c>
    </row>
    <row r="412">
      <c r="A412" s="2">
        <v>41131.0</v>
      </c>
      <c r="B412" s="1">
        <v>113.0</v>
      </c>
      <c r="C412" s="1" t="s">
        <v>6</v>
      </c>
      <c r="D412" s="1" t="s">
        <v>6</v>
      </c>
      <c r="E412" s="1">
        <v>138.0</v>
      </c>
    </row>
    <row r="413">
      <c r="A413" s="2">
        <v>41134.0</v>
      </c>
      <c r="B413" s="3">
        <v>2038.0</v>
      </c>
      <c r="C413" s="1">
        <v>294.0</v>
      </c>
      <c r="D413" s="1" t="s">
        <v>6</v>
      </c>
      <c r="E413" s="1">
        <v>342.0</v>
      </c>
    </row>
    <row r="414">
      <c r="A414" s="2">
        <v>41135.0</v>
      </c>
      <c r="B414" s="3">
        <v>4156.0</v>
      </c>
      <c r="C414" s="1">
        <v>440.0</v>
      </c>
      <c r="D414" s="1" t="s">
        <v>6</v>
      </c>
      <c r="E414" s="1">
        <v>648.0</v>
      </c>
    </row>
    <row r="415">
      <c r="A415" s="2">
        <v>41136.0</v>
      </c>
      <c r="B415" s="3">
        <v>3483.0</v>
      </c>
      <c r="C415" s="1">
        <v>528.0</v>
      </c>
      <c r="D415" s="1">
        <v>52.0</v>
      </c>
      <c r="E415" s="3">
        <v>3666.0</v>
      </c>
    </row>
    <row r="416">
      <c r="A416" s="2">
        <v>41137.0</v>
      </c>
      <c r="B416" s="3">
        <v>1317.0</v>
      </c>
      <c r="C416" s="1">
        <v>12.0</v>
      </c>
      <c r="D416" s="1" t="s">
        <v>6</v>
      </c>
      <c r="E416" s="3">
        <v>1206.0</v>
      </c>
    </row>
    <row r="417">
      <c r="A417" s="2">
        <v>41138.0</v>
      </c>
      <c r="B417" s="1">
        <v>200.0</v>
      </c>
      <c r="C417" s="1" t="s">
        <v>6</v>
      </c>
      <c r="D417" s="1" t="s">
        <v>6</v>
      </c>
      <c r="E417" s="1">
        <v>192.0</v>
      </c>
    </row>
    <row r="418">
      <c r="A418" s="2">
        <v>41141.0</v>
      </c>
      <c r="B418" s="3">
        <v>2657.0</v>
      </c>
      <c r="C418" s="1">
        <v>360.0</v>
      </c>
      <c r="D418" s="1" t="s">
        <v>6</v>
      </c>
      <c r="E418" s="1">
        <v>750.0</v>
      </c>
    </row>
    <row r="419">
      <c r="A419" s="2">
        <v>41142.0</v>
      </c>
      <c r="B419" s="3">
        <v>3510.0</v>
      </c>
      <c r="C419" s="1">
        <v>164.0</v>
      </c>
      <c r="D419" s="1" t="s">
        <v>6</v>
      </c>
      <c r="E419" s="3">
        <v>2556.0</v>
      </c>
    </row>
    <row r="420">
      <c r="A420" s="2">
        <v>41143.0</v>
      </c>
      <c r="B420" s="3">
        <v>3524.0</v>
      </c>
      <c r="C420" s="1">
        <v>493.0</v>
      </c>
      <c r="D420" s="1">
        <v>52.0</v>
      </c>
      <c r="E420" s="3">
        <v>6978.0</v>
      </c>
    </row>
    <row r="421">
      <c r="A421" s="2">
        <v>41144.0</v>
      </c>
      <c r="B421" s="1">
        <v>992.0</v>
      </c>
      <c r="C421" s="1">
        <v>12.0</v>
      </c>
      <c r="D421" s="1" t="s">
        <v>6</v>
      </c>
      <c r="E421" s="3">
        <v>1542.0</v>
      </c>
    </row>
    <row r="422">
      <c r="A422" s="2">
        <v>41145.0</v>
      </c>
      <c r="B422" s="1">
        <v>464.0</v>
      </c>
      <c r="C422" s="1" t="s">
        <v>6</v>
      </c>
      <c r="D422" s="1" t="s">
        <v>6</v>
      </c>
      <c r="E422" s="3">
        <v>1722.0</v>
      </c>
    </row>
    <row r="423">
      <c r="A423" s="2">
        <v>41148.0</v>
      </c>
      <c r="B423" s="3">
        <v>2898.0</v>
      </c>
      <c r="C423" s="1">
        <v>435.0</v>
      </c>
      <c r="D423" s="1" t="s">
        <v>6</v>
      </c>
      <c r="E423" s="3">
        <v>1338.0</v>
      </c>
    </row>
    <row r="424">
      <c r="A424" s="2">
        <v>41149.0</v>
      </c>
      <c r="B424" s="3">
        <v>4814.0</v>
      </c>
      <c r="C424" s="1">
        <v>138.0</v>
      </c>
      <c r="D424" s="1" t="s">
        <v>6</v>
      </c>
      <c r="E424" s="1">
        <v>516.0</v>
      </c>
    </row>
    <row r="425">
      <c r="A425" s="2">
        <v>41150.0</v>
      </c>
      <c r="B425" s="3">
        <v>2961.0</v>
      </c>
      <c r="C425" s="1">
        <v>492.0</v>
      </c>
      <c r="D425" s="1">
        <v>52.0</v>
      </c>
      <c r="E425" s="3">
        <v>3720.0</v>
      </c>
    </row>
    <row r="426">
      <c r="A426" s="2">
        <v>41151.0</v>
      </c>
      <c r="B426" s="3">
        <v>2180.0</v>
      </c>
      <c r="C426" s="1">
        <v>42.0</v>
      </c>
      <c r="D426" s="1" t="s">
        <v>6</v>
      </c>
      <c r="E426" s="3">
        <v>1470.0</v>
      </c>
    </row>
    <row r="427">
      <c r="A427" s="2">
        <v>41152.0</v>
      </c>
      <c r="B427" s="1">
        <v>137.0</v>
      </c>
      <c r="C427" s="1" t="s">
        <v>6</v>
      </c>
      <c r="D427" s="1" t="s">
        <v>6</v>
      </c>
      <c r="E427" s="1">
        <v>78.0</v>
      </c>
    </row>
    <row r="428">
      <c r="A428" s="2">
        <v>41156.0</v>
      </c>
      <c r="B428" s="3">
        <v>5148.0</v>
      </c>
      <c r="C428" s="1">
        <v>702.0</v>
      </c>
      <c r="D428" s="1" t="s">
        <v>6</v>
      </c>
      <c r="E428" s="3">
        <v>2856.0</v>
      </c>
    </row>
    <row r="429">
      <c r="A429" s="2">
        <v>41157.0</v>
      </c>
      <c r="B429" s="3">
        <v>3374.0</v>
      </c>
      <c r="C429" s="1">
        <v>800.0</v>
      </c>
      <c r="D429" s="1">
        <v>53.0</v>
      </c>
      <c r="E429" s="3">
        <v>3708.0</v>
      </c>
    </row>
    <row r="430">
      <c r="A430" s="2">
        <v>41158.0</v>
      </c>
      <c r="B430" s="1">
        <v>889.0</v>
      </c>
      <c r="C430" s="1">
        <v>4.0</v>
      </c>
      <c r="D430" s="1" t="s">
        <v>6</v>
      </c>
      <c r="E430" s="1">
        <v>378.0</v>
      </c>
    </row>
    <row r="431">
      <c r="A431" s="2">
        <v>41159.0</v>
      </c>
      <c r="B431" s="1">
        <v>60.0</v>
      </c>
      <c r="C431" s="1" t="s">
        <v>6</v>
      </c>
      <c r="D431" s="1" t="s">
        <v>6</v>
      </c>
      <c r="E431" s="1">
        <v>162.0</v>
      </c>
    </row>
    <row r="432">
      <c r="A432" s="2">
        <v>41162.0</v>
      </c>
      <c r="B432" s="3">
        <v>2266.0</v>
      </c>
      <c r="C432" s="1">
        <v>144.0</v>
      </c>
      <c r="D432" s="1" t="s">
        <v>6</v>
      </c>
      <c r="E432" s="1">
        <v>810.0</v>
      </c>
    </row>
    <row r="433">
      <c r="A433" s="2">
        <v>41163.0</v>
      </c>
      <c r="B433" s="3">
        <v>3073.0</v>
      </c>
      <c r="C433" s="1">
        <v>492.0</v>
      </c>
      <c r="D433" s="1" t="s">
        <v>6</v>
      </c>
      <c r="E433" s="3">
        <v>3600.0</v>
      </c>
    </row>
    <row r="434">
      <c r="A434" s="2">
        <v>41164.0</v>
      </c>
      <c r="B434" s="3">
        <v>4458.0</v>
      </c>
      <c r="C434" s="1">
        <v>464.0</v>
      </c>
      <c r="D434" s="1">
        <v>53.0</v>
      </c>
      <c r="E434" s="3">
        <v>6528.0</v>
      </c>
    </row>
    <row r="435">
      <c r="A435" s="2">
        <v>41165.0</v>
      </c>
      <c r="B435" s="3">
        <v>1220.0</v>
      </c>
      <c r="C435" s="1">
        <v>12.0</v>
      </c>
      <c r="D435" s="1" t="s">
        <v>6</v>
      </c>
      <c r="E435" s="1">
        <v>732.0</v>
      </c>
    </row>
    <row r="436">
      <c r="A436" s="2">
        <v>41166.0</v>
      </c>
      <c r="B436" s="1">
        <v>250.0</v>
      </c>
      <c r="C436" s="1" t="s">
        <v>6</v>
      </c>
      <c r="D436" s="1" t="s">
        <v>6</v>
      </c>
      <c r="E436" s="1">
        <v>126.0</v>
      </c>
    </row>
    <row r="437">
      <c r="A437" s="2">
        <v>41169.0</v>
      </c>
      <c r="B437" s="3">
        <v>1640.0</v>
      </c>
      <c r="C437" s="1">
        <v>516.0</v>
      </c>
      <c r="D437" s="1" t="s">
        <v>6</v>
      </c>
      <c r="E437" s="1">
        <v>648.0</v>
      </c>
    </row>
    <row r="438">
      <c r="A438" s="2">
        <v>41170.0</v>
      </c>
      <c r="B438" s="3">
        <v>5618.0</v>
      </c>
      <c r="C438" s="1">
        <v>456.0</v>
      </c>
      <c r="D438" s="1">
        <v>8.0</v>
      </c>
      <c r="E438" s="1">
        <v>246.0</v>
      </c>
    </row>
    <row r="439">
      <c r="A439" s="2">
        <v>41171.0</v>
      </c>
      <c r="B439" s="3">
        <v>3942.0</v>
      </c>
      <c r="C439" s="1">
        <v>516.0</v>
      </c>
      <c r="D439" s="1">
        <v>51.0</v>
      </c>
      <c r="E439" s="3">
        <v>3888.0</v>
      </c>
    </row>
    <row r="440">
      <c r="A440" s="2">
        <v>41172.0</v>
      </c>
      <c r="B440" s="3">
        <v>1311.0</v>
      </c>
      <c r="C440" s="1">
        <v>6.0</v>
      </c>
      <c r="D440" s="1" t="s">
        <v>6</v>
      </c>
      <c r="E440" s="1">
        <v>660.0</v>
      </c>
    </row>
    <row r="441">
      <c r="A441" s="2">
        <v>41173.0</v>
      </c>
      <c r="B441" s="1">
        <v>150.0</v>
      </c>
      <c r="C441" s="1" t="s">
        <v>6</v>
      </c>
      <c r="D441" s="1" t="s">
        <v>6</v>
      </c>
      <c r="E441" s="1">
        <v>126.0</v>
      </c>
    </row>
    <row r="442">
      <c r="A442" s="2">
        <v>41176.0</v>
      </c>
      <c r="B442" s="3">
        <v>5476.0</v>
      </c>
      <c r="C442" s="1">
        <v>360.0</v>
      </c>
      <c r="D442" s="1" t="s">
        <v>6</v>
      </c>
      <c r="E442" s="1">
        <v>354.0</v>
      </c>
    </row>
    <row r="443">
      <c r="A443" s="2">
        <v>41177.0</v>
      </c>
      <c r="B443" s="3">
        <v>5724.0</v>
      </c>
      <c r="C443" s="1">
        <v>456.0</v>
      </c>
      <c r="D443" s="1">
        <v>8.0</v>
      </c>
      <c r="E443" s="1">
        <v>552.0</v>
      </c>
    </row>
    <row r="444">
      <c r="A444" s="2">
        <v>41178.0</v>
      </c>
      <c r="B444" s="3">
        <v>3058.0</v>
      </c>
      <c r="C444" s="1">
        <v>504.0</v>
      </c>
      <c r="D444" s="1">
        <v>56.0</v>
      </c>
      <c r="E444" s="3">
        <v>2724.0</v>
      </c>
    </row>
    <row r="445">
      <c r="A445" s="2">
        <v>41179.0</v>
      </c>
      <c r="B445" s="3">
        <v>2304.0</v>
      </c>
      <c r="C445" s="1">
        <v>24.0</v>
      </c>
      <c r="D445" s="1" t="s">
        <v>6</v>
      </c>
      <c r="E445" s="1">
        <v>576.0</v>
      </c>
    </row>
    <row r="446">
      <c r="A446" s="2">
        <v>41180.0</v>
      </c>
      <c r="B446" s="1">
        <v>210.0</v>
      </c>
      <c r="C446" s="1" t="s">
        <v>6</v>
      </c>
      <c r="D446" s="1" t="s">
        <v>6</v>
      </c>
      <c r="E446" s="1">
        <v>102.0</v>
      </c>
    </row>
    <row r="447">
      <c r="A447" s="2">
        <v>41183.0</v>
      </c>
      <c r="B447" s="3">
        <v>3194.0</v>
      </c>
      <c r="C447" s="1">
        <v>541.0</v>
      </c>
      <c r="D447" s="1" t="s">
        <v>6</v>
      </c>
      <c r="E447" s="1">
        <v>474.0</v>
      </c>
    </row>
    <row r="448">
      <c r="A448" s="2">
        <v>41184.0</v>
      </c>
      <c r="B448" s="3">
        <v>7383.0</v>
      </c>
      <c r="C448" s="1">
        <v>462.0</v>
      </c>
      <c r="D448" s="1" t="s">
        <v>6</v>
      </c>
      <c r="E448" s="1">
        <v>234.0</v>
      </c>
    </row>
    <row r="449">
      <c r="A449" s="2">
        <v>41185.0</v>
      </c>
      <c r="B449" s="3">
        <v>2484.0</v>
      </c>
      <c r="C449" s="1">
        <v>374.0</v>
      </c>
      <c r="D449" s="1">
        <v>62.0</v>
      </c>
      <c r="E449" s="3">
        <v>2856.0</v>
      </c>
    </row>
    <row r="450">
      <c r="A450" s="2">
        <v>41186.0</v>
      </c>
      <c r="B450" s="3">
        <v>1162.0</v>
      </c>
      <c r="C450" s="1">
        <v>48.0</v>
      </c>
      <c r="D450" s="1" t="s">
        <v>6</v>
      </c>
      <c r="E450" s="1">
        <v>828.0</v>
      </c>
    </row>
    <row r="451">
      <c r="A451" s="2">
        <v>41187.0</v>
      </c>
      <c r="B451" s="1">
        <v>326.0</v>
      </c>
      <c r="C451" s="1" t="s">
        <v>6</v>
      </c>
      <c r="D451" s="1" t="s">
        <v>6</v>
      </c>
      <c r="E451" s="1">
        <v>84.0</v>
      </c>
    </row>
    <row r="452">
      <c r="A452" s="2">
        <v>41190.0</v>
      </c>
      <c r="B452" s="3">
        <v>1290.0</v>
      </c>
      <c r="C452" s="1">
        <v>337.0</v>
      </c>
      <c r="D452" s="1" t="s">
        <v>6</v>
      </c>
      <c r="E452" s="1">
        <v>264.0</v>
      </c>
    </row>
    <row r="453">
      <c r="A453" s="2">
        <v>41191.0</v>
      </c>
      <c r="B453" s="3">
        <v>3434.0</v>
      </c>
      <c r="C453" s="1">
        <v>553.0</v>
      </c>
      <c r="D453" s="1" t="s">
        <v>6</v>
      </c>
      <c r="E453" s="3">
        <v>2316.0</v>
      </c>
    </row>
    <row r="454">
      <c r="A454" s="2">
        <v>41192.0</v>
      </c>
      <c r="B454" s="3">
        <v>3329.0</v>
      </c>
      <c r="C454" s="1">
        <v>358.0</v>
      </c>
      <c r="D454" s="1">
        <v>62.0</v>
      </c>
      <c r="E454" s="3">
        <v>2790.0</v>
      </c>
    </row>
    <row r="455">
      <c r="A455" s="2">
        <v>41193.0</v>
      </c>
      <c r="B455" s="3">
        <v>1000.0</v>
      </c>
      <c r="C455" s="1">
        <v>37.0</v>
      </c>
      <c r="D455" s="1" t="s">
        <v>6</v>
      </c>
      <c r="E455" s="1">
        <v>708.0</v>
      </c>
    </row>
    <row r="456">
      <c r="A456" s="2">
        <v>41194.0</v>
      </c>
      <c r="B456" s="1">
        <v>251.0</v>
      </c>
      <c r="C456" s="1" t="s">
        <v>6</v>
      </c>
      <c r="D456" s="1" t="s">
        <v>6</v>
      </c>
      <c r="E456" s="1">
        <v>252.0</v>
      </c>
    </row>
    <row r="457">
      <c r="A457" s="2">
        <v>41197.0</v>
      </c>
      <c r="B457" s="3">
        <v>1809.0</v>
      </c>
      <c r="C457" s="1">
        <v>979.0</v>
      </c>
      <c r="D457" s="1" t="s">
        <v>6</v>
      </c>
      <c r="E457" s="1">
        <v>474.0</v>
      </c>
    </row>
    <row r="458">
      <c r="A458" s="2">
        <v>41198.0</v>
      </c>
      <c r="B458" s="3">
        <v>2265.0</v>
      </c>
      <c r="C458" s="1">
        <v>469.0</v>
      </c>
      <c r="D458" s="1">
        <v>10.0</v>
      </c>
      <c r="E458" s="1">
        <v>426.0</v>
      </c>
    </row>
    <row r="459">
      <c r="A459" s="2">
        <v>41199.0</v>
      </c>
      <c r="B459" s="3">
        <v>4410.0</v>
      </c>
      <c r="C459" s="1">
        <v>36.0</v>
      </c>
      <c r="D459" s="1">
        <v>52.0</v>
      </c>
      <c r="E459" s="3">
        <v>4848.0</v>
      </c>
    </row>
    <row r="460">
      <c r="A460" s="2">
        <v>41200.0</v>
      </c>
      <c r="B460" s="1">
        <v>884.0</v>
      </c>
      <c r="C460" s="1">
        <v>6.0</v>
      </c>
      <c r="D460" s="1" t="s">
        <v>6</v>
      </c>
      <c r="E460" s="1">
        <v>558.0</v>
      </c>
    </row>
    <row r="461">
      <c r="A461" s="2">
        <v>41201.0</v>
      </c>
      <c r="B461" s="1">
        <v>200.0</v>
      </c>
      <c r="C461" s="1" t="s">
        <v>6</v>
      </c>
      <c r="D461" s="1" t="s">
        <v>6</v>
      </c>
      <c r="E461" s="1">
        <v>600.0</v>
      </c>
    </row>
    <row r="462">
      <c r="A462" s="2">
        <v>41204.0</v>
      </c>
      <c r="B462" s="3">
        <v>1848.0</v>
      </c>
      <c r="C462" s="1">
        <v>458.0</v>
      </c>
      <c r="D462" s="1" t="s">
        <v>6</v>
      </c>
      <c r="E462" s="3">
        <v>1542.0</v>
      </c>
    </row>
    <row r="463">
      <c r="A463" s="2">
        <v>41205.0</v>
      </c>
      <c r="B463" s="3">
        <v>5001.0</v>
      </c>
      <c r="C463" s="1">
        <v>534.0</v>
      </c>
      <c r="D463" s="1" t="s">
        <v>6</v>
      </c>
      <c r="E463" s="3">
        <v>2526.0</v>
      </c>
    </row>
    <row r="464">
      <c r="A464" s="2">
        <v>41206.0</v>
      </c>
      <c r="B464" s="3">
        <v>2819.0</v>
      </c>
      <c r="C464" s="1">
        <v>476.0</v>
      </c>
      <c r="D464" s="1">
        <v>62.0</v>
      </c>
      <c r="E464" s="3">
        <v>1152.0</v>
      </c>
    </row>
    <row r="465">
      <c r="A465" s="2">
        <v>41207.0</v>
      </c>
      <c r="B465" s="3">
        <v>1720.0</v>
      </c>
      <c r="C465" s="1">
        <v>6.0</v>
      </c>
      <c r="D465" s="1" t="s">
        <v>6</v>
      </c>
      <c r="E465" s="1">
        <v>858.0</v>
      </c>
    </row>
    <row r="466">
      <c r="A466" s="2">
        <v>41208.0</v>
      </c>
      <c r="B466" s="1">
        <v>50.0</v>
      </c>
      <c r="C466" s="1" t="s">
        <v>6</v>
      </c>
      <c r="D466" s="1" t="s">
        <v>6</v>
      </c>
      <c r="E466" s="1">
        <v>78.0</v>
      </c>
    </row>
    <row r="467">
      <c r="A467" s="2">
        <v>41213.0</v>
      </c>
      <c r="B467" s="3">
        <v>8541.0</v>
      </c>
      <c r="C467" s="3">
        <v>1418.0</v>
      </c>
      <c r="D467" s="1" t="s">
        <v>6</v>
      </c>
      <c r="E467" s="3">
        <v>8556.0</v>
      </c>
    </row>
    <row r="468">
      <c r="A468" s="2">
        <v>41214.0</v>
      </c>
      <c r="B468" s="3">
        <v>1368.0</v>
      </c>
      <c r="C468" s="1">
        <v>18.0</v>
      </c>
      <c r="D468" s="1">
        <v>72.0</v>
      </c>
      <c r="E468" s="1">
        <v>612.0</v>
      </c>
    </row>
    <row r="469">
      <c r="A469" s="2">
        <v>41215.0</v>
      </c>
      <c r="B469" s="1">
        <v>100.0</v>
      </c>
      <c r="C469" s="1" t="s">
        <v>6</v>
      </c>
      <c r="D469" s="1" t="s">
        <v>6</v>
      </c>
      <c r="E469" s="1">
        <v>138.0</v>
      </c>
    </row>
    <row r="470">
      <c r="A470" s="2">
        <v>41218.0</v>
      </c>
      <c r="B470" s="3">
        <v>1644.0</v>
      </c>
      <c r="C470" s="1">
        <v>301.0</v>
      </c>
      <c r="D470" s="1" t="s">
        <v>6</v>
      </c>
      <c r="E470" s="1">
        <v>408.0</v>
      </c>
    </row>
    <row r="471">
      <c r="A471" s="2">
        <v>41219.0</v>
      </c>
      <c r="B471" s="3">
        <v>4118.0</v>
      </c>
      <c r="C471" s="1">
        <v>438.0</v>
      </c>
      <c r="D471" s="1" t="s">
        <v>6</v>
      </c>
      <c r="E471" s="3">
        <v>3084.0</v>
      </c>
    </row>
    <row r="472">
      <c r="A472" s="2">
        <v>41220.0</v>
      </c>
      <c r="B472" s="3">
        <v>2826.0</v>
      </c>
      <c r="C472" s="1">
        <v>30.0</v>
      </c>
      <c r="D472" s="1">
        <v>63.0</v>
      </c>
      <c r="E472" s="3">
        <v>4494.0</v>
      </c>
    </row>
    <row r="473">
      <c r="A473" s="2">
        <v>41221.0</v>
      </c>
      <c r="B473" s="3">
        <v>1100.0</v>
      </c>
      <c r="C473" s="1">
        <v>432.0</v>
      </c>
      <c r="D473" s="1" t="s">
        <v>6</v>
      </c>
      <c r="E473" s="1">
        <v>594.0</v>
      </c>
    </row>
    <row r="474">
      <c r="A474" s="2">
        <v>41222.0</v>
      </c>
      <c r="B474" s="1">
        <v>207.0</v>
      </c>
      <c r="C474" s="1" t="s">
        <v>6</v>
      </c>
      <c r="D474" s="1" t="s">
        <v>6</v>
      </c>
      <c r="E474" s="1">
        <v>84.0</v>
      </c>
    </row>
    <row r="475">
      <c r="A475" s="2">
        <v>41225.0</v>
      </c>
      <c r="B475" s="3">
        <v>2567.0</v>
      </c>
      <c r="C475" s="1">
        <v>660.0</v>
      </c>
      <c r="D475" s="1" t="s">
        <v>6</v>
      </c>
      <c r="E475" s="1">
        <v>234.0</v>
      </c>
    </row>
    <row r="476">
      <c r="A476" s="2">
        <v>41226.0</v>
      </c>
      <c r="B476" s="3">
        <v>5634.0</v>
      </c>
      <c r="C476" s="1">
        <v>504.0</v>
      </c>
      <c r="D476" s="1" t="s">
        <v>6</v>
      </c>
      <c r="E476" s="3">
        <v>3234.0</v>
      </c>
    </row>
    <row r="477">
      <c r="A477" s="2">
        <v>41227.0</v>
      </c>
      <c r="B477" s="3">
        <v>2823.0</v>
      </c>
      <c r="C477" s="1">
        <v>510.0</v>
      </c>
      <c r="D477" s="1">
        <v>65.0</v>
      </c>
      <c r="E477" s="3">
        <v>2946.0</v>
      </c>
    </row>
    <row r="478">
      <c r="A478" s="2">
        <v>41228.0</v>
      </c>
      <c r="B478" s="1">
        <v>905.0</v>
      </c>
      <c r="C478" s="1">
        <v>51.0</v>
      </c>
      <c r="D478" s="1" t="s">
        <v>6</v>
      </c>
      <c r="E478" s="1">
        <v>720.0</v>
      </c>
    </row>
    <row r="479">
      <c r="A479" s="2">
        <v>41229.0</v>
      </c>
      <c r="B479" s="1">
        <v>211.0</v>
      </c>
      <c r="C479" s="1" t="s">
        <v>6</v>
      </c>
      <c r="D479" s="1" t="s">
        <v>6</v>
      </c>
      <c r="E479" s="1">
        <v>114.0</v>
      </c>
    </row>
    <row r="480">
      <c r="A480" s="2">
        <v>41232.0</v>
      </c>
      <c r="B480" s="3">
        <v>5032.0</v>
      </c>
      <c r="C480" s="1">
        <v>458.0</v>
      </c>
      <c r="D480" s="1" t="s">
        <v>6</v>
      </c>
      <c r="E480" s="1">
        <v>768.0</v>
      </c>
    </row>
    <row r="481">
      <c r="A481" s="2">
        <v>41233.0</v>
      </c>
      <c r="B481" s="3">
        <v>8079.0</v>
      </c>
      <c r="C481" s="3">
        <v>1110.0</v>
      </c>
      <c r="D481" s="1">
        <v>65.0</v>
      </c>
      <c r="E481" s="3">
        <v>8664.0</v>
      </c>
    </row>
    <row r="482">
      <c r="A482" s="2">
        <v>41234.0</v>
      </c>
      <c r="B482" s="1">
        <v>154.0</v>
      </c>
      <c r="C482" s="1" t="s">
        <v>6</v>
      </c>
      <c r="D482" s="1" t="s">
        <v>6</v>
      </c>
      <c r="E482" s="1">
        <v>156.0</v>
      </c>
    </row>
    <row r="483">
      <c r="A483" s="2">
        <v>41239.0</v>
      </c>
      <c r="B483" s="3">
        <v>2216.0</v>
      </c>
      <c r="C483" s="1">
        <v>260.0</v>
      </c>
      <c r="D483" s="1" t="s">
        <v>6</v>
      </c>
      <c r="E483" s="1">
        <v>90.0</v>
      </c>
    </row>
    <row r="484">
      <c r="A484" s="2">
        <v>41240.0</v>
      </c>
      <c r="B484" s="3">
        <v>2736.0</v>
      </c>
      <c r="C484" s="1">
        <v>468.0</v>
      </c>
      <c r="D484" s="1" t="s">
        <v>6</v>
      </c>
      <c r="E484" s="1">
        <v>324.0</v>
      </c>
    </row>
    <row r="485">
      <c r="A485" s="2">
        <v>41241.0</v>
      </c>
      <c r="B485" s="3">
        <v>3783.0</v>
      </c>
      <c r="C485" s="1">
        <v>306.0</v>
      </c>
      <c r="D485" s="1">
        <v>66.0</v>
      </c>
      <c r="E485" s="3">
        <v>2322.0</v>
      </c>
    </row>
    <row r="486">
      <c r="A486" s="2">
        <v>41242.0</v>
      </c>
      <c r="B486" s="1">
        <v>784.0</v>
      </c>
      <c r="C486" s="1">
        <v>6.0</v>
      </c>
      <c r="D486" s="1" t="s">
        <v>6</v>
      </c>
      <c r="E486" s="1">
        <v>564.0</v>
      </c>
    </row>
    <row r="487">
      <c r="A487" s="2">
        <v>41243.0</v>
      </c>
      <c r="B487" s="1">
        <v>254.0</v>
      </c>
      <c r="C487" s="1" t="s">
        <v>6</v>
      </c>
      <c r="D487" s="1" t="s">
        <v>6</v>
      </c>
      <c r="E487" s="1">
        <v>162.0</v>
      </c>
    </row>
    <row r="488">
      <c r="A488" s="2">
        <v>41246.0</v>
      </c>
      <c r="B488" s="3">
        <v>2817.0</v>
      </c>
      <c r="C488" s="1">
        <v>312.0</v>
      </c>
      <c r="D488" s="1" t="s">
        <v>6</v>
      </c>
      <c r="E488" s="1">
        <v>222.0</v>
      </c>
    </row>
    <row r="489">
      <c r="A489" s="2">
        <v>41247.0</v>
      </c>
      <c r="B489" s="3">
        <v>4230.0</v>
      </c>
      <c r="C489" s="1">
        <v>492.0</v>
      </c>
      <c r="D489" s="1" t="s">
        <v>6</v>
      </c>
      <c r="E489" s="3">
        <v>2550.0</v>
      </c>
    </row>
    <row r="490">
      <c r="A490" s="2">
        <v>41248.0</v>
      </c>
      <c r="B490" s="3">
        <v>2944.0</v>
      </c>
      <c r="C490" s="1">
        <v>301.0</v>
      </c>
      <c r="D490" s="1">
        <v>5.0</v>
      </c>
      <c r="E490" s="3">
        <v>2946.0</v>
      </c>
    </row>
    <row r="491">
      <c r="A491" s="2">
        <v>41249.0</v>
      </c>
      <c r="B491" s="3">
        <v>1288.0</v>
      </c>
      <c r="C491" s="1" t="s">
        <v>6</v>
      </c>
      <c r="D491" s="1" t="s">
        <v>6</v>
      </c>
      <c r="E491" s="1">
        <v>654.0</v>
      </c>
    </row>
    <row r="492">
      <c r="A492" s="2">
        <v>41250.0</v>
      </c>
      <c r="B492" s="1">
        <v>250.0</v>
      </c>
      <c r="C492" s="1" t="s">
        <v>6</v>
      </c>
      <c r="D492" s="1">
        <v>70.0</v>
      </c>
      <c r="E492" s="1">
        <v>132.0</v>
      </c>
    </row>
    <row r="493">
      <c r="A493" s="2">
        <v>41253.0</v>
      </c>
      <c r="B493" s="3">
        <v>3844.0</v>
      </c>
      <c r="C493" s="1">
        <v>699.0</v>
      </c>
      <c r="D493" s="1" t="s">
        <v>6</v>
      </c>
      <c r="E493" s="1">
        <v>414.0</v>
      </c>
    </row>
    <row r="494">
      <c r="A494" s="2">
        <v>41254.0</v>
      </c>
      <c r="B494" s="3">
        <v>4707.0</v>
      </c>
      <c r="C494" s="1">
        <v>576.0</v>
      </c>
      <c r="D494" s="1" t="s">
        <v>6</v>
      </c>
      <c r="E494" s="3">
        <v>2616.0</v>
      </c>
    </row>
    <row r="495">
      <c r="A495" s="2">
        <v>41255.0</v>
      </c>
      <c r="B495" s="3">
        <v>5890.0</v>
      </c>
      <c r="C495" s="1">
        <v>528.0</v>
      </c>
      <c r="D495" s="1">
        <v>101.0</v>
      </c>
      <c r="E495" s="3">
        <v>3924.0</v>
      </c>
    </row>
    <row r="496">
      <c r="A496" s="2">
        <v>41256.0</v>
      </c>
      <c r="B496" s="3">
        <v>1010.0</v>
      </c>
      <c r="C496" s="1">
        <v>6.0</v>
      </c>
      <c r="D496" s="1" t="s">
        <v>6</v>
      </c>
      <c r="E496" s="1">
        <v>294.0</v>
      </c>
    </row>
    <row r="497">
      <c r="A497" s="2">
        <v>41257.0</v>
      </c>
      <c r="B497" s="1">
        <v>210.0</v>
      </c>
      <c r="C497" s="1" t="s">
        <v>6</v>
      </c>
      <c r="D497" s="1" t="s">
        <v>6</v>
      </c>
      <c r="E497" s="1">
        <v>42.0</v>
      </c>
    </row>
    <row r="498">
      <c r="A498" s="2">
        <v>41260.0</v>
      </c>
      <c r="B498" s="3">
        <v>4022.0</v>
      </c>
      <c r="C498" s="1">
        <v>427.0</v>
      </c>
      <c r="D498" s="1" t="s">
        <v>6</v>
      </c>
      <c r="E498" s="1">
        <v>468.0</v>
      </c>
    </row>
    <row r="499">
      <c r="A499" s="2">
        <v>41261.0</v>
      </c>
      <c r="B499" s="3">
        <v>7156.0</v>
      </c>
      <c r="C499" s="1">
        <v>530.0</v>
      </c>
      <c r="D499" s="1" t="s">
        <v>6</v>
      </c>
      <c r="E499" s="3">
        <v>2850.0</v>
      </c>
    </row>
    <row r="500">
      <c r="A500" s="2">
        <v>41262.0</v>
      </c>
      <c r="B500" s="3">
        <v>3569.0</v>
      </c>
      <c r="C500" s="1">
        <v>924.0</v>
      </c>
      <c r="D500" s="1">
        <v>121.0</v>
      </c>
      <c r="E500" s="3">
        <v>6870.0</v>
      </c>
    </row>
    <row r="501">
      <c r="A501" s="2">
        <v>41263.0</v>
      </c>
      <c r="B501" s="3">
        <v>3182.0</v>
      </c>
      <c r="C501" s="1" t="s">
        <v>6</v>
      </c>
      <c r="D501" s="1" t="s">
        <v>6</v>
      </c>
      <c r="E501" s="1">
        <v>552.0</v>
      </c>
    </row>
    <row r="502">
      <c r="A502" s="2">
        <v>41264.0</v>
      </c>
      <c r="B502" s="3">
        <v>2202.0</v>
      </c>
      <c r="C502" s="1" t="s">
        <v>6</v>
      </c>
      <c r="D502" s="1" t="s">
        <v>6</v>
      </c>
      <c r="E502" s="1">
        <v>726.0</v>
      </c>
    </row>
    <row r="503">
      <c r="A503" s="2">
        <v>41267.0</v>
      </c>
      <c r="B503" s="1">
        <v>1.0</v>
      </c>
      <c r="C503" s="1" t="s">
        <v>6</v>
      </c>
      <c r="D503" s="1" t="s">
        <v>6</v>
      </c>
      <c r="E503" s="1">
        <v>12.0</v>
      </c>
    </row>
    <row r="504">
      <c r="A504" s="2">
        <v>41269.0</v>
      </c>
      <c r="B504" s="3">
        <v>1506.0</v>
      </c>
      <c r="C504" s="1">
        <v>24.0</v>
      </c>
      <c r="D504" s="1" t="s">
        <v>6</v>
      </c>
      <c r="E504" s="3">
        <v>2304.0</v>
      </c>
    </row>
    <row r="505">
      <c r="A505" s="2">
        <v>41270.0</v>
      </c>
      <c r="B505" s="3">
        <v>2272.0</v>
      </c>
      <c r="C505" s="1">
        <v>12.0</v>
      </c>
      <c r="D505" s="1" t="s">
        <v>6</v>
      </c>
      <c r="E505" s="1">
        <v>510.0</v>
      </c>
    </row>
    <row r="506">
      <c r="A506" s="2">
        <v>41271.0</v>
      </c>
      <c r="B506" s="1">
        <v>14.0</v>
      </c>
      <c r="C506" s="1" t="s">
        <v>6</v>
      </c>
      <c r="D506" s="1" t="s">
        <v>6</v>
      </c>
      <c r="E506" s="1">
        <v>84.0</v>
      </c>
    </row>
    <row r="507">
      <c r="A507" s="2">
        <v>41274.0</v>
      </c>
      <c r="B507" s="3">
        <v>2500.0</v>
      </c>
      <c r="C507" s="1" t="s">
        <v>6</v>
      </c>
      <c r="D507" s="1" t="s">
        <v>6</v>
      </c>
      <c r="E507" s="1">
        <v>12.0</v>
      </c>
    </row>
    <row r="508">
      <c r="A508" s="2">
        <v>41276.0</v>
      </c>
      <c r="B508" s="3">
        <v>10320.0</v>
      </c>
      <c r="C508" s="3">
        <v>2058.0</v>
      </c>
      <c r="D508" s="1">
        <v>15.0</v>
      </c>
      <c r="E508" s="3">
        <v>4320.0</v>
      </c>
    </row>
    <row r="509">
      <c r="A509" s="2">
        <v>41277.0</v>
      </c>
      <c r="B509" s="1">
        <v>629.0</v>
      </c>
      <c r="C509" s="1">
        <v>60.0</v>
      </c>
      <c r="D509" s="1">
        <v>52.0</v>
      </c>
      <c r="E509" s="1">
        <v>318.0</v>
      </c>
    </row>
    <row r="510">
      <c r="A510" s="2">
        <v>41278.0</v>
      </c>
      <c r="B510" s="1">
        <v>204.0</v>
      </c>
      <c r="C510" s="1" t="s">
        <v>6</v>
      </c>
      <c r="D510" s="1" t="s">
        <v>6</v>
      </c>
      <c r="E510" s="1">
        <v>96.0</v>
      </c>
    </row>
    <row r="511">
      <c r="A511" s="2">
        <v>41281.0</v>
      </c>
      <c r="B511" s="1">
        <v>740.0</v>
      </c>
      <c r="C511" s="1">
        <v>539.0</v>
      </c>
      <c r="D511" s="1" t="s">
        <v>6</v>
      </c>
      <c r="E511" s="1">
        <v>180.0</v>
      </c>
    </row>
    <row r="512">
      <c r="A512" s="2">
        <v>41282.0</v>
      </c>
      <c r="B512" s="3">
        <v>3202.0</v>
      </c>
      <c r="C512" s="1">
        <v>624.0</v>
      </c>
      <c r="D512" s="1" t="s">
        <v>6</v>
      </c>
      <c r="E512" s="3">
        <v>2076.0</v>
      </c>
    </row>
    <row r="513">
      <c r="A513" s="2">
        <v>41283.0</v>
      </c>
      <c r="B513" s="3">
        <v>2818.0</v>
      </c>
      <c r="C513" s="1">
        <v>246.0</v>
      </c>
      <c r="D513" s="1">
        <v>67.0</v>
      </c>
      <c r="E513" s="3">
        <v>2754.0</v>
      </c>
    </row>
    <row r="514">
      <c r="A514" s="2">
        <v>41284.0</v>
      </c>
      <c r="B514" s="3">
        <v>1068.0</v>
      </c>
      <c r="C514" s="1">
        <v>30.0</v>
      </c>
      <c r="D514" s="1" t="s">
        <v>6</v>
      </c>
      <c r="E514" s="1">
        <v>702.0</v>
      </c>
    </row>
    <row r="515">
      <c r="A515" s="2">
        <v>41285.0</v>
      </c>
      <c r="B515" s="1">
        <v>252.0</v>
      </c>
      <c r="C515" s="1" t="s">
        <v>6</v>
      </c>
      <c r="D515" s="1" t="s">
        <v>6</v>
      </c>
      <c r="E515" s="1">
        <v>72.0</v>
      </c>
    </row>
    <row r="516">
      <c r="A516" s="2">
        <v>41288.0</v>
      </c>
      <c r="B516" s="3">
        <v>1025.0</v>
      </c>
      <c r="C516" s="1">
        <v>450.0</v>
      </c>
      <c r="D516" s="1" t="s">
        <v>6</v>
      </c>
      <c r="E516" s="1">
        <v>312.0</v>
      </c>
    </row>
    <row r="517">
      <c r="A517" s="2">
        <v>41289.0</v>
      </c>
      <c r="B517" s="3">
        <v>2201.0</v>
      </c>
      <c r="C517" s="1">
        <v>37.0</v>
      </c>
      <c r="D517" s="1" t="s">
        <v>6</v>
      </c>
      <c r="E517" s="3">
        <v>2130.0</v>
      </c>
    </row>
    <row r="518">
      <c r="A518" s="2">
        <v>41290.0</v>
      </c>
      <c r="B518" s="3">
        <v>2041.0</v>
      </c>
      <c r="C518" s="1">
        <v>396.0</v>
      </c>
      <c r="D518" s="1">
        <v>67.0</v>
      </c>
      <c r="E518" s="3">
        <v>3720.0</v>
      </c>
    </row>
    <row r="519">
      <c r="A519" s="2">
        <v>41291.0</v>
      </c>
      <c r="B519" s="3">
        <v>1097.0</v>
      </c>
      <c r="C519" s="1">
        <v>6.0</v>
      </c>
      <c r="D519" s="1" t="s">
        <v>6</v>
      </c>
      <c r="E519" s="1">
        <v>588.0</v>
      </c>
    </row>
    <row r="520">
      <c r="A520" s="2">
        <v>41292.0</v>
      </c>
      <c r="B520" s="1">
        <v>150.0</v>
      </c>
      <c r="C520" s="1" t="s">
        <v>6</v>
      </c>
      <c r="D520" s="1" t="s">
        <v>6</v>
      </c>
      <c r="E520" s="1">
        <v>168.0</v>
      </c>
    </row>
    <row r="521">
      <c r="A521" s="2">
        <v>41295.0</v>
      </c>
      <c r="B521" s="1">
        <v>669.0</v>
      </c>
      <c r="C521" s="1">
        <v>468.0</v>
      </c>
      <c r="D521" s="1" t="s">
        <v>6</v>
      </c>
      <c r="E521" s="1">
        <v>120.0</v>
      </c>
    </row>
    <row r="522">
      <c r="A522" s="2">
        <v>41296.0</v>
      </c>
      <c r="B522" s="3">
        <v>4914.0</v>
      </c>
      <c r="C522" s="1">
        <v>404.0</v>
      </c>
      <c r="D522" s="1" t="s">
        <v>6</v>
      </c>
      <c r="E522" s="3">
        <v>2076.0</v>
      </c>
    </row>
    <row r="523">
      <c r="A523" s="2">
        <v>41297.0</v>
      </c>
      <c r="B523" s="3">
        <v>1606.0</v>
      </c>
      <c r="C523" s="1">
        <v>576.0</v>
      </c>
      <c r="D523" s="1">
        <v>66.0</v>
      </c>
      <c r="E523" s="3">
        <v>1902.0</v>
      </c>
    </row>
    <row r="524">
      <c r="A524" s="2">
        <v>41298.0</v>
      </c>
      <c r="B524" s="1">
        <v>840.0</v>
      </c>
      <c r="C524" s="1">
        <v>42.0</v>
      </c>
      <c r="D524" s="1" t="s">
        <v>6</v>
      </c>
      <c r="E524" s="1">
        <v>324.0</v>
      </c>
    </row>
    <row r="525">
      <c r="A525" s="2">
        <v>41299.0</v>
      </c>
      <c r="B525" s="1">
        <v>100.0</v>
      </c>
      <c r="C525" s="1" t="s">
        <v>6</v>
      </c>
      <c r="D525" s="1" t="s">
        <v>6</v>
      </c>
      <c r="E525" s="1">
        <v>60.0</v>
      </c>
    </row>
    <row r="526">
      <c r="A526" s="2">
        <v>41302.0</v>
      </c>
      <c r="B526" s="1">
        <v>981.0</v>
      </c>
      <c r="C526" s="1">
        <v>566.0</v>
      </c>
      <c r="D526" s="1" t="s">
        <v>6</v>
      </c>
      <c r="E526" s="1">
        <v>378.0</v>
      </c>
    </row>
    <row r="527">
      <c r="A527" s="2">
        <v>41303.0</v>
      </c>
      <c r="B527" s="3">
        <v>2153.0</v>
      </c>
      <c r="C527" s="1">
        <v>756.0</v>
      </c>
      <c r="D527" s="1">
        <v>5.0</v>
      </c>
      <c r="E527" s="3">
        <v>1836.0</v>
      </c>
    </row>
    <row r="528">
      <c r="A528" s="2">
        <v>41304.0</v>
      </c>
      <c r="B528" s="3">
        <v>1470.0</v>
      </c>
      <c r="C528" s="1">
        <v>204.0</v>
      </c>
      <c r="D528" s="1">
        <v>75.0</v>
      </c>
      <c r="E528" s="3">
        <v>1848.0</v>
      </c>
    </row>
    <row r="529">
      <c r="A529" s="2">
        <v>41305.0</v>
      </c>
      <c r="B529" s="1">
        <v>759.0</v>
      </c>
      <c r="C529" s="1" t="s">
        <v>6</v>
      </c>
      <c r="D529" s="1" t="s">
        <v>6</v>
      </c>
      <c r="E529" s="1">
        <v>54.0</v>
      </c>
    </row>
    <row r="530">
      <c r="A530" s="2">
        <v>41306.0</v>
      </c>
      <c r="B530" s="1">
        <v>156.0</v>
      </c>
      <c r="C530" s="1" t="s">
        <v>6</v>
      </c>
      <c r="D530" s="1" t="s">
        <v>6</v>
      </c>
      <c r="E530" s="1">
        <v>732.0</v>
      </c>
    </row>
    <row r="531">
      <c r="A531" s="2">
        <v>41309.0</v>
      </c>
      <c r="B531" s="1">
        <v>647.0</v>
      </c>
      <c r="C531" s="1">
        <v>516.0</v>
      </c>
      <c r="D531" s="1" t="s">
        <v>6</v>
      </c>
      <c r="E531" s="1">
        <v>264.0</v>
      </c>
    </row>
    <row r="532">
      <c r="A532" s="2">
        <v>41310.0</v>
      </c>
      <c r="B532" s="3">
        <v>1130.0</v>
      </c>
      <c r="C532" s="1">
        <v>72.0</v>
      </c>
      <c r="D532" s="1">
        <v>5.0</v>
      </c>
      <c r="E532" s="1">
        <v>66.0</v>
      </c>
    </row>
    <row r="533">
      <c r="A533" s="2">
        <v>41311.0</v>
      </c>
      <c r="B533" s="3">
        <v>1530.0</v>
      </c>
      <c r="C533" s="1" t="s">
        <v>6</v>
      </c>
      <c r="D533" s="1">
        <v>62.0</v>
      </c>
      <c r="E533" s="3">
        <v>1878.0</v>
      </c>
    </row>
    <row r="534">
      <c r="A534" s="2">
        <v>41312.0</v>
      </c>
      <c r="B534" s="3">
        <v>1299.0</v>
      </c>
      <c r="C534" s="1">
        <v>283.0</v>
      </c>
      <c r="D534" s="1" t="s">
        <v>6</v>
      </c>
      <c r="E534" s="1">
        <v>342.0</v>
      </c>
    </row>
    <row r="535">
      <c r="A535" s="2">
        <v>41313.0</v>
      </c>
      <c r="B535" s="1">
        <v>180.0</v>
      </c>
      <c r="C535" s="1" t="s">
        <v>6</v>
      </c>
      <c r="D535" s="1" t="s">
        <v>6</v>
      </c>
      <c r="E535" s="1">
        <v>120.0</v>
      </c>
    </row>
    <row r="536">
      <c r="A536" s="2">
        <v>41316.0</v>
      </c>
      <c r="B536" s="1">
        <v>615.0</v>
      </c>
      <c r="C536" s="1">
        <v>352.0</v>
      </c>
      <c r="D536" s="1" t="s">
        <v>6</v>
      </c>
      <c r="E536" s="1">
        <v>354.0</v>
      </c>
    </row>
    <row r="537">
      <c r="A537" s="2">
        <v>41317.0</v>
      </c>
      <c r="B537" s="3">
        <v>4112.0</v>
      </c>
      <c r="C537" s="1">
        <v>360.0</v>
      </c>
      <c r="D537" s="1">
        <v>8.0</v>
      </c>
      <c r="E537" s="3">
        <v>2100.0</v>
      </c>
    </row>
    <row r="538">
      <c r="A538" s="2">
        <v>41318.0</v>
      </c>
      <c r="B538" s="3">
        <v>2409.0</v>
      </c>
      <c r="C538" s="1">
        <v>324.0</v>
      </c>
      <c r="D538" s="1">
        <v>59.0</v>
      </c>
      <c r="E538" s="3">
        <v>2790.0</v>
      </c>
    </row>
    <row r="539">
      <c r="A539" s="2">
        <v>41319.0</v>
      </c>
      <c r="B539" s="3">
        <v>1013.0</v>
      </c>
      <c r="C539" s="1">
        <v>75.0</v>
      </c>
      <c r="D539" s="1" t="s">
        <v>6</v>
      </c>
      <c r="E539" s="1">
        <v>474.0</v>
      </c>
    </row>
    <row r="540">
      <c r="A540" s="2">
        <v>41320.0</v>
      </c>
      <c r="B540" s="1">
        <v>200.0</v>
      </c>
      <c r="C540" s="1" t="s">
        <v>6</v>
      </c>
      <c r="D540" s="1" t="s">
        <v>6</v>
      </c>
      <c r="E540" s="1">
        <v>114.0</v>
      </c>
    </row>
    <row r="541">
      <c r="A541" s="2">
        <v>41323.0</v>
      </c>
      <c r="B541" s="1">
        <v>871.0</v>
      </c>
      <c r="C541" s="1">
        <v>414.0</v>
      </c>
      <c r="D541" s="1" t="s">
        <v>6</v>
      </c>
      <c r="E541" s="1">
        <v>114.0</v>
      </c>
    </row>
    <row r="542">
      <c r="A542" s="2">
        <v>41324.0</v>
      </c>
      <c r="B542" s="3">
        <v>2648.0</v>
      </c>
      <c r="C542" s="1">
        <v>342.0</v>
      </c>
      <c r="D542" s="1" t="s">
        <v>6</v>
      </c>
      <c r="E542" s="1">
        <v>78.0</v>
      </c>
    </row>
    <row r="543">
      <c r="A543" s="2">
        <v>41325.0</v>
      </c>
      <c r="B543" s="3">
        <v>5978.0</v>
      </c>
      <c r="C543" s="1">
        <v>12.0</v>
      </c>
      <c r="D543" s="1">
        <v>67.0</v>
      </c>
      <c r="E543" s="3">
        <v>1878.0</v>
      </c>
    </row>
    <row r="544">
      <c r="A544" s="2">
        <v>41326.0</v>
      </c>
      <c r="B544" s="3">
        <v>1079.0</v>
      </c>
      <c r="C544" s="1">
        <v>16.0</v>
      </c>
      <c r="D544" s="1" t="s">
        <v>6</v>
      </c>
      <c r="E544" s="1">
        <v>414.0</v>
      </c>
    </row>
    <row r="545">
      <c r="A545" s="2">
        <v>41327.0</v>
      </c>
      <c r="B545" s="1">
        <v>157.0</v>
      </c>
      <c r="C545" s="1" t="s">
        <v>6</v>
      </c>
      <c r="D545" s="1" t="s">
        <v>6</v>
      </c>
      <c r="E545" s="1">
        <v>108.0</v>
      </c>
    </row>
    <row r="546">
      <c r="A546" s="2">
        <v>41330.0</v>
      </c>
      <c r="B546" s="3">
        <v>1321.0</v>
      </c>
      <c r="C546" s="1">
        <v>450.0</v>
      </c>
      <c r="D546" s="1" t="s">
        <v>6</v>
      </c>
      <c r="E546" s="1">
        <v>366.0</v>
      </c>
    </row>
    <row r="547">
      <c r="A547" s="2">
        <v>41331.0</v>
      </c>
      <c r="B547" s="3">
        <v>2500.0</v>
      </c>
      <c r="C547" s="1">
        <v>42.0</v>
      </c>
      <c r="D547" s="1" t="s">
        <v>6</v>
      </c>
      <c r="E547" s="3">
        <v>1434.0</v>
      </c>
    </row>
    <row r="548">
      <c r="A548" s="2">
        <v>41332.0</v>
      </c>
      <c r="B548" s="3">
        <v>2640.0</v>
      </c>
      <c r="C548" s="1">
        <v>150.0</v>
      </c>
      <c r="D548" s="1">
        <v>81.0</v>
      </c>
      <c r="E548" s="3">
        <v>2802.0</v>
      </c>
    </row>
    <row r="549">
      <c r="A549" s="2">
        <v>41333.0</v>
      </c>
      <c r="B549" s="3">
        <v>1632.0</v>
      </c>
      <c r="C549" s="1">
        <v>9.0</v>
      </c>
      <c r="D549" s="1" t="s">
        <v>6</v>
      </c>
      <c r="E549" s="1">
        <v>654.0</v>
      </c>
    </row>
    <row r="550">
      <c r="A550" s="2">
        <v>41334.0</v>
      </c>
      <c r="B550" s="1">
        <v>100.0</v>
      </c>
      <c r="C550" s="1" t="s">
        <v>6</v>
      </c>
      <c r="D550" s="1" t="s">
        <v>6</v>
      </c>
      <c r="E550" s="1">
        <v>48.0</v>
      </c>
    </row>
    <row r="551">
      <c r="A551" s="2">
        <v>41337.0</v>
      </c>
      <c r="B551" s="3">
        <v>1492.0</v>
      </c>
      <c r="C551" s="1">
        <v>582.0</v>
      </c>
      <c r="D551" s="1" t="s">
        <v>6</v>
      </c>
      <c r="E551" s="1">
        <v>264.0</v>
      </c>
    </row>
    <row r="552">
      <c r="A552" s="2">
        <v>41338.0</v>
      </c>
      <c r="B552" s="1">
        <v>191.0</v>
      </c>
      <c r="C552" s="1">
        <v>289.0</v>
      </c>
      <c r="D552" s="1" t="s">
        <v>6</v>
      </c>
      <c r="E552" s="3">
        <v>2100.0</v>
      </c>
    </row>
    <row r="553">
      <c r="A553" s="2">
        <v>41339.0</v>
      </c>
      <c r="B553" s="3">
        <v>2874.0</v>
      </c>
      <c r="C553" s="1">
        <v>73.0</v>
      </c>
      <c r="D553" s="1">
        <v>68.0</v>
      </c>
      <c r="E553" s="3">
        <v>2004.0</v>
      </c>
    </row>
    <row r="554">
      <c r="A554" s="2">
        <v>41340.0</v>
      </c>
      <c r="B554" s="1">
        <v>938.0</v>
      </c>
      <c r="C554" s="1">
        <v>10.0</v>
      </c>
      <c r="D554" s="1" t="s">
        <v>6</v>
      </c>
      <c r="E554" s="1">
        <v>186.0</v>
      </c>
    </row>
    <row r="555">
      <c r="A555" s="2">
        <v>41341.0</v>
      </c>
      <c r="B555" s="1">
        <v>244.0</v>
      </c>
      <c r="C555" s="1" t="s">
        <v>6</v>
      </c>
      <c r="D555" s="1" t="s">
        <v>6</v>
      </c>
      <c r="E555" s="1">
        <v>48.0</v>
      </c>
    </row>
    <row r="556">
      <c r="A556" s="2">
        <v>41344.0</v>
      </c>
      <c r="B556" s="1">
        <v>263.0</v>
      </c>
      <c r="C556" s="1">
        <v>308.0</v>
      </c>
      <c r="D556" s="1" t="s">
        <v>6</v>
      </c>
      <c r="E556" s="1">
        <v>336.0</v>
      </c>
    </row>
    <row r="557">
      <c r="A557" s="2">
        <v>41345.0</v>
      </c>
      <c r="B557" s="3">
        <v>1720.0</v>
      </c>
      <c r="C557" s="1">
        <v>432.0</v>
      </c>
      <c r="D557" s="1" t="s">
        <v>6</v>
      </c>
      <c r="E557" s="3">
        <v>2004.0</v>
      </c>
    </row>
    <row r="558">
      <c r="A558" s="2">
        <v>41346.0</v>
      </c>
      <c r="B558" s="3">
        <v>1405.0</v>
      </c>
      <c r="C558" s="1">
        <v>117.0</v>
      </c>
      <c r="D558" s="1">
        <v>70.0</v>
      </c>
      <c r="E558" s="3">
        <v>3018.0</v>
      </c>
    </row>
    <row r="559">
      <c r="A559" s="2">
        <v>41347.0</v>
      </c>
      <c r="B559" s="1">
        <v>933.0</v>
      </c>
      <c r="C559" s="1">
        <v>6.0</v>
      </c>
      <c r="D559" s="1" t="s">
        <v>6</v>
      </c>
      <c r="E559" s="1">
        <v>378.0</v>
      </c>
    </row>
    <row r="560">
      <c r="A560" s="2">
        <v>41348.0</v>
      </c>
      <c r="B560" s="1">
        <v>256.0</v>
      </c>
      <c r="C560" s="1" t="s">
        <v>6</v>
      </c>
      <c r="D560" s="1" t="s">
        <v>6</v>
      </c>
      <c r="E560" s="1">
        <v>72.0</v>
      </c>
    </row>
    <row r="561">
      <c r="A561" s="2">
        <v>41351.0</v>
      </c>
      <c r="B561" s="1" t="s">
        <v>6</v>
      </c>
      <c r="C561" s="1">
        <v>4.0</v>
      </c>
      <c r="D561" s="1" t="s">
        <v>6</v>
      </c>
      <c r="E561" s="1">
        <v>12.0</v>
      </c>
    </row>
    <row r="562">
      <c r="A562" s="2">
        <v>41352.0</v>
      </c>
      <c r="B562" s="3">
        <v>1021.0</v>
      </c>
      <c r="C562" s="3">
        <v>1158.0</v>
      </c>
      <c r="D562" s="1" t="s">
        <v>6</v>
      </c>
      <c r="E562" s="3">
        <v>2184.0</v>
      </c>
    </row>
    <row r="563">
      <c r="A563" s="2">
        <v>41353.0</v>
      </c>
      <c r="B563" s="3">
        <v>1424.0</v>
      </c>
      <c r="C563" s="1">
        <v>168.0</v>
      </c>
      <c r="D563" s="1">
        <v>68.0</v>
      </c>
      <c r="E563" s="3">
        <v>2148.0</v>
      </c>
    </row>
    <row r="564">
      <c r="A564" s="2">
        <v>41354.0</v>
      </c>
      <c r="B564" s="1">
        <v>416.0</v>
      </c>
      <c r="C564" s="1">
        <v>1.0</v>
      </c>
      <c r="D564" s="1" t="s">
        <v>6</v>
      </c>
      <c r="E564" s="1">
        <v>336.0</v>
      </c>
    </row>
    <row r="565">
      <c r="A565" s="2">
        <v>41355.0</v>
      </c>
      <c r="B565" s="1">
        <v>160.0</v>
      </c>
      <c r="C565" s="1" t="s">
        <v>6</v>
      </c>
      <c r="D565" s="1" t="s">
        <v>6</v>
      </c>
      <c r="E565" s="1">
        <v>48.0</v>
      </c>
    </row>
    <row r="566">
      <c r="A566" s="2">
        <v>41358.0</v>
      </c>
      <c r="B566" s="1">
        <v>648.0</v>
      </c>
      <c r="C566" s="1">
        <v>354.0</v>
      </c>
      <c r="D566" s="1" t="s">
        <v>6</v>
      </c>
      <c r="E566" s="1">
        <v>168.0</v>
      </c>
    </row>
    <row r="567">
      <c r="A567" s="2">
        <v>41359.0</v>
      </c>
      <c r="B567" s="1">
        <v>500.0</v>
      </c>
      <c r="C567" s="1">
        <v>265.0</v>
      </c>
      <c r="D567" s="1" t="s">
        <v>6</v>
      </c>
      <c r="E567" s="3">
        <v>1848.0</v>
      </c>
    </row>
    <row r="568">
      <c r="A568" s="2">
        <v>41360.0</v>
      </c>
      <c r="B568" s="1">
        <v>136.0</v>
      </c>
      <c r="C568" s="1">
        <v>162.0</v>
      </c>
      <c r="D568" s="1">
        <v>89.0</v>
      </c>
      <c r="E568" s="3">
        <v>1914.0</v>
      </c>
    </row>
    <row r="569">
      <c r="A569" s="2">
        <v>41361.0</v>
      </c>
      <c r="B569" s="1">
        <v>647.0</v>
      </c>
      <c r="C569" s="1">
        <v>1.0</v>
      </c>
      <c r="D569" s="1" t="s">
        <v>6</v>
      </c>
      <c r="E569" s="1">
        <v>672.0</v>
      </c>
    </row>
    <row r="570">
      <c r="A570" s="2">
        <v>41362.0</v>
      </c>
      <c r="B570" s="1">
        <v>1.0</v>
      </c>
      <c r="C570" s="1" t="s">
        <v>6</v>
      </c>
      <c r="D570" s="1" t="s">
        <v>6</v>
      </c>
      <c r="E570" s="1">
        <v>96.0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0.5"/>
    <col customWidth="1" min="5" max="5" width="19.38"/>
    <col customWidth="1" min="8" max="8" width="16.13"/>
    <col customWidth="1" min="9" max="9" width="18.13"/>
    <col customWidth="1" min="10" max="10" width="20.38"/>
    <col customWidth="1" min="11" max="11" width="15.0"/>
    <col customWidth="1" min="15" max="18" width="17.5"/>
    <col customWidth="1" min="19" max="19" width="20.25"/>
  </cols>
  <sheetData>
    <row r="1">
      <c r="A1" s="1" t="s">
        <v>4</v>
      </c>
      <c r="B1" s="1" t="s">
        <v>5</v>
      </c>
      <c r="C1" s="1" t="s">
        <v>7</v>
      </c>
      <c r="D1" s="1" t="s">
        <v>8</v>
      </c>
      <c r="E1" s="1" t="s">
        <v>9</v>
      </c>
      <c r="K1" s="1" t="s">
        <v>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10</v>
      </c>
      <c r="Q1" s="1" t="s">
        <v>11</v>
      </c>
      <c r="R1" s="1" t="s">
        <v>12</v>
      </c>
      <c r="S1" s="1" t="s">
        <v>9</v>
      </c>
      <c r="T1" s="1" t="s">
        <v>10</v>
      </c>
      <c r="U1" s="1" t="s">
        <v>11</v>
      </c>
      <c r="V1" s="1" t="s">
        <v>12</v>
      </c>
    </row>
    <row r="2">
      <c r="A2" s="1"/>
    </row>
    <row r="3">
      <c r="A3" s="2">
        <v>40546.0</v>
      </c>
      <c r="B3" s="5">
        <v>210.0</v>
      </c>
    </row>
    <row r="4">
      <c r="A4" s="2">
        <v>40547.0</v>
      </c>
      <c r="B4" s="5">
        <v>10294.0</v>
      </c>
      <c r="E4" s="5">
        <f>B3</f>
        <v>210</v>
      </c>
    </row>
    <row r="5">
      <c r="A5" s="2">
        <v>40548.0</v>
      </c>
      <c r="B5" s="5">
        <v>3395.0</v>
      </c>
      <c r="E5" s="5">
        <f t="shared" ref="E5:E255" si="1">ROUND(J$7*B4+(1-J$7)*E4,0)</f>
        <v>8277</v>
      </c>
    </row>
    <row r="6">
      <c r="A6" s="2">
        <v>40549.0</v>
      </c>
      <c r="B6" s="5">
        <v>432.0</v>
      </c>
      <c r="E6" s="5">
        <f t="shared" si="1"/>
        <v>4371</v>
      </c>
      <c r="G6" s="6"/>
      <c r="H6" s="7" t="s">
        <v>7</v>
      </c>
      <c r="I6" s="7" t="s">
        <v>8</v>
      </c>
      <c r="J6" s="8" t="s">
        <v>9</v>
      </c>
    </row>
    <row r="7">
      <c r="A7" s="2">
        <v>40550.0</v>
      </c>
      <c r="B7" s="5">
        <v>106.0</v>
      </c>
      <c r="E7" s="5">
        <f t="shared" si="1"/>
        <v>1220</v>
      </c>
      <c r="F7" s="9"/>
      <c r="G7" s="10" t="s">
        <v>14</v>
      </c>
      <c r="H7" s="9"/>
      <c r="I7" s="9"/>
      <c r="J7" s="11">
        <v>0.8</v>
      </c>
    </row>
    <row r="8">
      <c r="A8" s="2">
        <v>40553.0</v>
      </c>
      <c r="B8" s="5">
        <v>0.0</v>
      </c>
      <c r="C8" s="5">
        <f t="shared" ref="C8:C255" si="2">ROUND(AVERAGE(B3:B7),0)</f>
        <v>2887</v>
      </c>
      <c r="D8" s="5">
        <f t="shared" ref="D8:D255" si="3">ROUND(AVERAGE(B$3:B7),0)</f>
        <v>2887</v>
      </c>
      <c r="E8" s="5">
        <f t="shared" si="1"/>
        <v>329</v>
      </c>
      <c r="G8" s="10" t="s">
        <v>15</v>
      </c>
      <c r="H8" s="12">
        <f>AVERAGE(L24:L574)</f>
        <v>-9.325411335</v>
      </c>
      <c r="I8" s="12">
        <f>AVERAGE(P24:P574)</f>
        <v>-441.190128</v>
      </c>
      <c r="J8" s="13">
        <f>AVERAGE(T24:T574)</f>
        <v>-5.170018282</v>
      </c>
    </row>
    <row r="9">
      <c r="A9" s="2">
        <v>40554.0</v>
      </c>
      <c r="B9" s="5">
        <v>13344.0</v>
      </c>
      <c r="C9" s="5">
        <f t="shared" si="2"/>
        <v>2845</v>
      </c>
      <c r="D9" s="5">
        <f t="shared" si="3"/>
        <v>2406</v>
      </c>
      <c r="E9" s="5">
        <f t="shared" si="1"/>
        <v>66</v>
      </c>
      <c r="G9" s="10" t="s">
        <v>16</v>
      </c>
      <c r="H9" s="14">
        <f>AVERAGE(M24:M574)</f>
        <v>12.47403538</v>
      </c>
      <c r="I9" s="14">
        <f>AVERAGE(Q24:Q574)</f>
        <v>15.18952838</v>
      </c>
      <c r="J9" s="15">
        <f>AVERAGE(U24:U574)</f>
        <v>9.156268717</v>
      </c>
    </row>
    <row r="10">
      <c r="A10" s="2">
        <v>40555.0</v>
      </c>
      <c r="B10" s="5">
        <v>5066.0</v>
      </c>
      <c r="C10" s="5">
        <f t="shared" si="2"/>
        <v>3455</v>
      </c>
      <c r="D10" s="5">
        <f t="shared" si="3"/>
        <v>3969</v>
      </c>
      <c r="E10" s="5">
        <f t="shared" si="1"/>
        <v>10688</v>
      </c>
      <c r="G10" s="16" t="s">
        <v>17</v>
      </c>
      <c r="H10" s="17">
        <f>AVERAGE(N24:N574)</f>
        <v>5513949.625</v>
      </c>
      <c r="I10" s="17">
        <f>AVERAGE(R24:R574)</f>
        <v>5644705.79</v>
      </c>
      <c r="J10" s="18">
        <f>AVERAGE(V24:V574)</f>
        <v>8763619.583</v>
      </c>
    </row>
    <row r="11">
      <c r="A11" s="2">
        <v>40556.0</v>
      </c>
      <c r="B11" s="5">
        <v>1283.0</v>
      </c>
      <c r="C11" s="5">
        <f t="shared" si="2"/>
        <v>3790</v>
      </c>
      <c r="D11" s="5">
        <f t="shared" si="3"/>
        <v>4106</v>
      </c>
      <c r="E11" s="5">
        <f t="shared" si="1"/>
        <v>6190</v>
      </c>
    </row>
    <row r="12">
      <c r="A12" s="2">
        <v>40557.0</v>
      </c>
      <c r="B12" s="5">
        <v>343.0</v>
      </c>
      <c r="C12" s="5">
        <f t="shared" si="2"/>
        <v>3960</v>
      </c>
      <c r="D12" s="5">
        <f t="shared" si="3"/>
        <v>3792</v>
      </c>
      <c r="E12" s="5">
        <f t="shared" si="1"/>
        <v>2264</v>
      </c>
      <c r="G12" s="1" t="s">
        <v>18</v>
      </c>
      <c r="H12" s="5">
        <f>MIN(B3:B570)</f>
        <v>0</v>
      </c>
    </row>
    <row r="13">
      <c r="A13" s="2">
        <v>40560.0</v>
      </c>
      <c r="B13" s="5">
        <v>2989.0</v>
      </c>
      <c r="C13" s="5">
        <f t="shared" si="2"/>
        <v>4007</v>
      </c>
      <c r="D13" s="5">
        <f t="shared" si="3"/>
        <v>3447</v>
      </c>
      <c r="E13" s="5">
        <f t="shared" si="1"/>
        <v>727</v>
      </c>
      <c r="G13" s="1" t="s">
        <v>19</v>
      </c>
      <c r="H13" s="5">
        <f>MAX(B3:B570)</f>
        <v>13344</v>
      </c>
    </row>
    <row r="14">
      <c r="A14" s="2">
        <v>40561.0</v>
      </c>
      <c r="B14" s="5">
        <v>9631.0</v>
      </c>
      <c r="C14" s="5">
        <f t="shared" si="2"/>
        <v>4605</v>
      </c>
      <c r="D14" s="5">
        <f t="shared" si="3"/>
        <v>3406</v>
      </c>
      <c r="E14" s="5">
        <f t="shared" si="1"/>
        <v>2537</v>
      </c>
    </row>
    <row r="15">
      <c r="A15" s="2">
        <v>40562.0</v>
      </c>
      <c r="B15" s="5">
        <v>3758.0</v>
      </c>
      <c r="C15" s="5">
        <f t="shared" si="2"/>
        <v>3862</v>
      </c>
      <c r="D15" s="5">
        <f t="shared" si="3"/>
        <v>3924</v>
      </c>
      <c r="E15" s="5">
        <f t="shared" si="1"/>
        <v>8212</v>
      </c>
    </row>
    <row r="16">
      <c r="A16" s="2">
        <v>40563.0</v>
      </c>
      <c r="B16" s="5">
        <v>1552.0</v>
      </c>
      <c r="C16" s="5">
        <f t="shared" si="2"/>
        <v>3601</v>
      </c>
      <c r="D16" s="5">
        <f t="shared" si="3"/>
        <v>3912</v>
      </c>
      <c r="E16" s="5">
        <f t="shared" si="1"/>
        <v>4649</v>
      </c>
    </row>
    <row r="17">
      <c r="A17" s="2">
        <v>40564.0</v>
      </c>
      <c r="B17" s="5">
        <v>124.0</v>
      </c>
      <c r="C17" s="5">
        <f t="shared" si="2"/>
        <v>3655</v>
      </c>
      <c r="D17" s="5">
        <f t="shared" si="3"/>
        <v>3743</v>
      </c>
      <c r="E17" s="5">
        <f t="shared" si="1"/>
        <v>2171</v>
      </c>
    </row>
    <row r="18">
      <c r="A18" s="2">
        <v>40567.0</v>
      </c>
      <c r="B18" s="5">
        <v>2591.0</v>
      </c>
      <c r="C18" s="5">
        <f t="shared" si="2"/>
        <v>3611</v>
      </c>
      <c r="D18" s="5">
        <f t="shared" si="3"/>
        <v>3502</v>
      </c>
      <c r="E18" s="5">
        <f t="shared" si="1"/>
        <v>533</v>
      </c>
    </row>
    <row r="19">
      <c r="A19" s="2">
        <v>40568.0</v>
      </c>
      <c r="B19" s="5">
        <v>5514.0</v>
      </c>
      <c r="C19" s="5">
        <f t="shared" si="2"/>
        <v>3531</v>
      </c>
      <c r="D19" s="5">
        <f t="shared" si="3"/>
        <v>3445</v>
      </c>
      <c r="E19" s="5">
        <f t="shared" si="1"/>
        <v>2179</v>
      </c>
    </row>
    <row r="20">
      <c r="A20" s="2">
        <v>40569.0</v>
      </c>
      <c r="B20" s="5">
        <v>4572.0</v>
      </c>
      <c r="C20" s="5">
        <f t="shared" si="2"/>
        <v>2708</v>
      </c>
      <c r="D20" s="5">
        <f t="shared" si="3"/>
        <v>3567</v>
      </c>
      <c r="E20" s="5">
        <f t="shared" si="1"/>
        <v>4847</v>
      </c>
    </row>
    <row r="21">
      <c r="A21" s="2">
        <v>40570.0</v>
      </c>
      <c r="B21" s="5">
        <v>280.0</v>
      </c>
      <c r="C21" s="5">
        <f t="shared" si="2"/>
        <v>2871</v>
      </c>
      <c r="D21" s="5">
        <f t="shared" si="3"/>
        <v>3622</v>
      </c>
      <c r="E21" s="5">
        <f t="shared" si="1"/>
        <v>4627</v>
      </c>
    </row>
    <row r="22">
      <c r="A22" s="2">
        <v>40571.0</v>
      </c>
      <c r="B22" s="5">
        <v>0.0</v>
      </c>
      <c r="C22" s="5">
        <f t="shared" si="2"/>
        <v>2616</v>
      </c>
      <c r="D22" s="5">
        <f t="shared" si="3"/>
        <v>3447</v>
      </c>
      <c r="E22" s="5">
        <f t="shared" si="1"/>
        <v>1149</v>
      </c>
    </row>
    <row r="23">
      <c r="A23" s="2">
        <v>40574.0</v>
      </c>
      <c r="B23" s="5">
        <v>2926.0</v>
      </c>
      <c r="C23" s="5">
        <f t="shared" si="2"/>
        <v>2591</v>
      </c>
      <c r="D23" s="5">
        <f t="shared" si="3"/>
        <v>3274</v>
      </c>
      <c r="E23" s="5">
        <f t="shared" si="1"/>
        <v>230</v>
      </c>
    </row>
    <row r="24">
      <c r="A24" s="2">
        <v>40575.0</v>
      </c>
      <c r="B24" s="5">
        <v>5309.0</v>
      </c>
      <c r="C24" s="5">
        <f t="shared" si="2"/>
        <v>2658</v>
      </c>
      <c r="D24" s="5">
        <f t="shared" si="3"/>
        <v>3258</v>
      </c>
      <c r="E24" s="5">
        <f t="shared" si="1"/>
        <v>2387</v>
      </c>
      <c r="L24" s="5">
        <f t="shared" ref="L24:L255" si="4">B24-C24</f>
        <v>2651</v>
      </c>
      <c r="M24" s="19">
        <f t="shared" ref="M24:M255" si="5">IF(B24=0, IF(C24=0, 0, 1), ABS(B24-C24)/B24)</f>
        <v>0.4993407421</v>
      </c>
      <c r="N24" s="5">
        <f t="shared" ref="N24:N255" si="6">(B24-C24)^2</f>
        <v>7027801</v>
      </c>
      <c r="P24" s="5">
        <f t="shared" ref="P24:P255" si="7">B24-D24</f>
        <v>2051</v>
      </c>
      <c r="Q24" s="19">
        <f t="shared" ref="Q24:Q255" si="8">IF(B24=0, IF(D24=0, 0, 1), ABS(B24-D24)/B24)</f>
        <v>0.3863251083</v>
      </c>
      <c r="R24" s="5">
        <f t="shared" ref="R24:R255" si="9">(B24-D24)^2</f>
        <v>4206601</v>
      </c>
      <c r="T24" s="5">
        <f t="shared" ref="T24:T255" si="10">B24-E24</f>
        <v>2922</v>
      </c>
      <c r="U24" s="19">
        <f t="shared" ref="U24:U255" si="11">IF(B24=0, IF(E24=0, 0, 1), ABS(B24-E24)/B24)</f>
        <v>0.5503861367</v>
      </c>
      <c r="V24" s="5">
        <f t="shared" ref="V24:V255" si="12">(B24-E24)^2</f>
        <v>8538084</v>
      </c>
    </row>
    <row r="25">
      <c r="A25" s="2">
        <v>40576.0</v>
      </c>
      <c r="B25" s="5">
        <v>5038.0</v>
      </c>
      <c r="C25" s="5">
        <f t="shared" si="2"/>
        <v>2617</v>
      </c>
      <c r="D25" s="5">
        <f t="shared" si="3"/>
        <v>3351</v>
      </c>
      <c r="E25" s="5">
        <f t="shared" si="1"/>
        <v>4725</v>
      </c>
      <c r="L25" s="5">
        <f t="shared" si="4"/>
        <v>2421</v>
      </c>
      <c r="M25" s="19">
        <f t="shared" si="5"/>
        <v>0.4805478364</v>
      </c>
      <c r="N25" s="5">
        <f t="shared" si="6"/>
        <v>5861241</v>
      </c>
      <c r="P25" s="5">
        <f t="shared" si="7"/>
        <v>1687</v>
      </c>
      <c r="Q25" s="19">
        <f t="shared" si="8"/>
        <v>0.3348551012</v>
      </c>
      <c r="R25" s="5">
        <f t="shared" si="9"/>
        <v>2845969</v>
      </c>
      <c r="T25" s="5">
        <f t="shared" si="10"/>
        <v>313</v>
      </c>
      <c r="U25" s="19">
        <f t="shared" si="11"/>
        <v>0.0621278285</v>
      </c>
      <c r="V25" s="5">
        <f t="shared" si="12"/>
        <v>97969</v>
      </c>
    </row>
    <row r="26">
      <c r="A26" s="2">
        <v>40577.0</v>
      </c>
      <c r="B26" s="5">
        <v>1446.0</v>
      </c>
      <c r="C26" s="5">
        <f t="shared" si="2"/>
        <v>2711</v>
      </c>
      <c r="D26" s="5">
        <f t="shared" si="3"/>
        <v>3424</v>
      </c>
      <c r="E26" s="5">
        <f t="shared" si="1"/>
        <v>4975</v>
      </c>
      <c r="L26" s="5">
        <f t="shared" si="4"/>
        <v>-1265</v>
      </c>
      <c r="M26" s="19">
        <f t="shared" si="5"/>
        <v>0.8748271093</v>
      </c>
      <c r="N26" s="5">
        <f t="shared" si="6"/>
        <v>1600225</v>
      </c>
      <c r="P26" s="5">
        <f t="shared" si="7"/>
        <v>-1978</v>
      </c>
      <c r="Q26" s="19">
        <f t="shared" si="8"/>
        <v>1.36791148</v>
      </c>
      <c r="R26" s="5">
        <f t="shared" si="9"/>
        <v>3912484</v>
      </c>
      <c r="T26" s="5">
        <f t="shared" si="10"/>
        <v>-3529</v>
      </c>
      <c r="U26" s="19">
        <f t="shared" si="11"/>
        <v>2.440525588</v>
      </c>
      <c r="V26" s="5">
        <f t="shared" si="12"/>
        <v>12453841</v>
      </c>
    </row>
    <row r="27">
      <c r="A27" s="2">
        <v>40578.0</v>
      </c>
      <c r="B27" s="5">
        <v>200.0</v>
      </c>
      <c r="C27" s="5">
        <f t="shared" si="2"/>
        <v>2944</v>
      </c>
      <c r="D27" s="5">
        <f t="shared" si="3"/>
        <v>3342</v>
      </c>
      <c r="E27" s="5">
        <f t="shared" si="1"/>
        <v>2152</v>
      </c>
      <c r="L27" s="5">
        <f t="shared" si="4"/>
        <v>-2744</v>
      </c>
      <c r="M27" s="19">
        <f t="shared" si="5"/>
        <v>13.72</v>
      </c>
      <c r="N27" s="5">
        <f t="shared" si="6"/>
        <v>7529536</v>
      </c>
      <c r="P27" s="5">
        <f t="shared" si="7"/>
        <v>-3142</v>
      </c>
      <c r="Q27" s="19">
        <f t="shared" si="8"/>
        <v>15.71</v>
      </c>
      <c r="R27" s="5">
        <f t="shared" si="9"/>
        <v>9872164</v>
      </c>
      <c r="T27" s="5">
        <f t="shared" si="10"/>
        <v>-1952</v>
      </c>
      <c r="U27" s="19">
        <f t="shared" si="11"/>
        <v>9.76</v>
      </c>
      <c r="V27" s="5">
        <f t="shared" si="12"/>
        <v>3810304</v>
      </c>
    </row>
    <row r="28">
      <c r="A28" s="2">
        <v>40581.0</v>
      </c>
      <c r="B28" s="5">
        <v>2219.0</v>
      </c>
      <c r="C28" s="5">
        <f t="shared" si="2"/>
        <v>2984</v>
      </c>
      <c r="D28" s="5">
        <f t="shared" si="3"/>
        <v>3216</v>
      </c>
      <c r="E28" s="5">
        <f t="shared" si="1"/>
        <v>590</v>
      </c>
      <c r="L28" s="5">
        <f t="shared" si="4"/>
        <v>-765</v>
      </c>
      <c r="M28" s="19">
        <f t="shared" si="5"/>
        <v>0.3447498873</v>
      </c>
      <c r="N28" s="5">
        <f t="shared" si="6"/>
        <v>585225</v>
      </c>
      <c r="P28" s="5">
        <f t="shared" si="7"/>
        <v>-997</v>
      </c>
      <c r="Q28" s="19">
        <f t="shared" si="8"/>
        <v>0.4493014872</v>
      </c>
      <c r="R28" s="5">
        <f t="shared" si="9"/>
        <v>994009</v>
      </c>
      <c r="T28" s="5">
        <f t="shared" si="10"/>
        <v>1629</v>
      </c>
      <c r="U28" s="19">
        <f t="shared" si="11"/>
        <v>0.734114466</v>
      </c>
      <c r="V28" s="5">
        <f t="shared" si="12"/>
        <v>2653641</v>
      </c>
    </row>
    <row r="29">
      <c r="A29" s="2">
        <v>40582.0</v>
      </c>
      <c r="B29" s="5">
        <v>7254.0</v>
      </c>
      <c r="C29" s="5">
        <f t="shared" si="2"/>
        <v>2842</v>
      </c>
      <c r="D29" s="5">
        <f t="shared" si="3"/>
        <v>3178</v>
      </c>
      <c r="E29" s="5">
        <f t="shared" si="1"/>
        <v>1893</v>
      </c>
      <c r="L29" s="5">
        <f t="shared" si="4"/>
        <v>4412</v>
      </c>
      <c r="M29" s="19">
        <f t="shared" si="5"/>
        <v>0.6082161566</v>
      </c>
      <c r="N29" s="5">
        <f t="shared" si="6"/>
        <v>19465744</v>
      </c>
      <c r="P29" s="5">
        <f t="shared" si="7"/>
        <v>4076</v>
      </c>
      <c r="Q29" s="19">
        <f t="shared" si="8"/>
        <v>0.5618968845</v>
      </c>
      <c r="R29" s="5">
        <f t="shared" si="9"/>
        <v>16613776</v>
      </c>
      <c r="T29" s="5">
        <f t="shared" si="10"/>
        <v>5361</v>
      </c>
      <c r="U29" s="19">
        <f t="shared" si="11"/>
        <v>0.7390405294</v>
      </c>
      <c r="V29" s="5">
        <f t="shared" si="12"/>
        <v>28740321</v>
      </c>
    </row>
    <row r="30">
      <c r="A30" s="2">
        <v>40583.0</v>
      </c>
      <c r="B30" s="5">
        <v>6398.0</v>
      </c>
      <c r="C30" s="5">
        <f t="shared" si="2"/>
        <v>3231</v>
      </c>
      <c r="D30" s="5">
        <f t="shared" si="3"/>
        <v>3329</v>
      </c>
      <c r="E30" s="5">
        <f t="shared" si="1"/>
        <v>6182</v>
      </c>
      <c r="L30" s="5">
        <f t="shared" si="4"/>
        <v>3167</v>
      </c>
      <c r="M30" s="19">
        <f t="shared" si="5"/>
        <v>0.494998437</v>
      </c>
      <c r="N30" s="5">
        <f t="shared" si="6"/>
        <v>10029889</v>
      </c>
      <c r="P30" s="5">
        <f t="shared" si="7"/>
        <v>3069</v>
      </c>
      <c r="Q30" s="19">
        <f t="shared" si="8"/>
        <v>0.4796811504</v>
      </c>
      <c r="R30" s="5">
        <f t="shared" si="9"/>
        <v>9418761</v>
      </c>
      <c r="T30" s="5">
        <f t="shared" si="10"/>
        <v>216</v>
      </c>
      <c r="U30" s="19">
        <f t="shared" si="11"/>
        <v>0.03376055017</v>
      </c>
      <c r="V30" s="5">
        <f t="shared" si="12"/>
        <v>46656</v>
      </c>
    </row>
    <row r="31">
      <c r="A31" s="2">
        <v>40584.0</v>
      </c>
      <c r="B31" s="5">
        <v>1363.0</v>
      </c>
      <c r="C31" s="5">
        <f t="shared" si="2"/>
        <v>3503</v>
      </c>
      <c r="D31" s="5">
        <f t="shared" si="3"/>
        <v>3438</v>
      </c>
      <c r="E31" s="5">
        <f t="shared" si="1"/>
        <v>6355</v>
      </c>
      <c r="L31" s="5">
        <f t="shared" si="4"/>
        <v>-2140</v>
      </c>
      <c r="M31" s="19">
        <f t="shared" si="5"/>
        <v>1.570066031</v>
      </c>
      <c r="N31" s="5">
        <f t="shared" si="6"/>
        <v>4579600</v>
      </c>
      <c r="P31" s="5">
        <f t="shared" si="7"/>
        <v>-2075</v>
      </c>
      <c r="Q31" s="19">
        <f t="shared" si="8"/>
        <v>1.522377109</v>
      </c>
      <c r="R31" s="5">
        <f t="shared" si="9"/>
        <v>4305625</v>
      </c>
      <c r="T31" s="5">
        <f t="shared" si="10"/>
        <v>-4992</v>
      </c>
      <c r="U31" s="19">
        <f t="shared" si="11"/>
        <v>3.662509171</v>
      </c>
      <c r="V31" s="5">
        <f t="shared" si="12"/>
        <v>24920064</v>
      </c>
    </row>
    <row r="32">
      <c r="A32" s="2">
        <v>40585.0</v>
      </c>
      <c r="B32" s="5">
        <v>225.0</v>
      </c>
      <c r="C32" s="5">
        <f t="shared" si="2"/>
        <v>3487</v>
      </c>
      <c r="D32" s="5">
        <f t="shared" si="3"/>
        <v>3367</v>
      </c>
      <c r="E32" s="5">
        <f t="shared" si="1"/>
        <v>2361</v>
      </c>
      <c r="L32" s="5">
        <f t="shared" si="4"/>
        <v>-3262</v>
      </c>
      <c r="M32" s="19">
        <f t="shared" si="5"/>
        <v>14.49777778</v>
      </c>
      <c r="N32" s="5">
        <f t="shared" si="6"/>
        <v>10640644</v>
      </c>
      <c r="P32" s="5">
        <f t="shared" si="7"/>
        <v>-3142</v>
      </c>
      <c r="Q32" s="19">
        <f t="shared" si="8"/>
        <v>13.96444444</v>
      </c>
      <c r="R32" s="5">
        <f t="shared" si="9"/>
        <v>9872164</v>
      </c>
      <c r="T32" s="5">
        <f t="shared" si="10"/>
        <v>-2136</v>
      </c>
      <c r="U32" s="19">
        <f t="shared" si="11"/>
        <v>9.493333333</v>
      </c>
      <c r="V32" s="5">
        <f t="shared" si="12"/>
        <v>4562496</v>
      </c>
    </row>
    <row r="33">
      <c r="A33" s="2">
        <v>40588.0</v>
      </c>
      <c r="B33" s="5">
        <v>2474.0</v>
      </c>
      <c r="C33" s="5">
        <f t="shared" si="2"/>
        <v>3492</v>
      </c>
      <c r="D33" s="5">
        <f t="shared" si="3"/>
        <v>3262</v>
      </c>
      <c r="E33" s="5">
        <f t="shared" si="1"/>
        <v>652</v>
      </c>
      <c r="L33" s="5">
        <f t="shared" si="4"/>
        <v>-1018</v>
      </c>
      <c r="M33" s="19">
        <f t="shared" si="5"/>
        <v>0.4114793856</v>
      </c>
      <c r="N33" s="5">
        <f t="shared" si="6"/>
        <v>1036324</v>
      </c>
      <c r="P33" s="5">
        <f t="shared" si="7"/>
        <v>-788</v>
      </c>
      <c r="Q33" s="19">
        <f t="shared" si="8"/>
        <v>0.3185125303</v>
      </c>
      <c r="R33" s="5">
        <f t="shared" si="9"/>
        <v>620944</v>
      </c>
      <c r="T33" s="5">
        <f t="shared" si="10"/>
        <v>1822</v>
      </c>
      <c r="U33" s="19">
        <f t="shared" si="11"/>
        <v>0.7364591754</v>
      </c>
      <c r="V33" s="5">
        <f t="shared" si="12"/>
        <v>3319684</v>
      </c>
    </row>
    <row r="34">
      <c r="A34" s="2">
        <v>40589.0</v>
      </c>
      <c r="B34" s="5">
        <v>10196.0</v>
      </c>
      <c r="C34" s="5">
        <f t="shared" si="2"/>
        <v>3543</v>
      </c>
      <c r="D34" s="5">
        <f t="shared" si="3"/>
        <v>3237</v>
      </c>
      <c r="E34" s="5">
        <f t="shared" si="1"/>
        <v>2110</v>
      </c>
      <c r="L34" s="5">
        <f t="shared" si="4"/>
        <v>6653</v>
      </c>
      <c r="M34" s="19">
        <f t="shared" si="5"/>
        <v>0.6525107885</v>
      </c>
      <c r="N34" s="5">
        <f t="shared" si="6"/>
        <v>44262409</v>
      </c>
      <c r="P34" s="5">
        <f t="shared" si="7"/>
        <v>6959</v>
      </c>
      <c r="Q34" s="19">
        <f t="shared" si="8"/>
        <v>0.6825225579</v>
      </c>
      <c r="R34" s="5">
        <f t="shared" si="9"/>
        <v>48427681</v>
      </c>
      <c r="T34" s="5">
        <f t="shared" si="10"/>
        <v>8086</v>
      </c>
      <c r="U34" s="19">
        <f t="shared" si="11"/>
        <v>0.7930561004</v>
      </c>
      <c r="V34" s="5">
        <f t="shared" si="12"/>
        <v>65383396</v>
      </c>
    </row>
    <row r="35">
      <c r="A35" s="2">
        <v>40590.0</v>
      </c>
      <c r="B35" s="5">
        <v>4123.0</v>
      </c>
      <c r="C35" s="5">
        <f t="shared" si="2"/>
        <v>4131</v>
      </c>
      <c r="D35" s="5">
        <f t="shared" si="3"/>
        <v>3454</v>
      </c>
      <c r="E35" s="5">
        <f t="shared" si="1"/>
        <v>8579</v>
      </c>
      <c r="L35" s="5">
        <f t="shared" si="4"/>
        <v>-8</v>
      </c>
      <c r="M35" s="19">
        <f t="shared" si="5"/>
        <v>0.001940334708</v>
      </c>
      <c r="N35" s="5">
        <f t="shared" si="6"/>
        <v>64</v>
      </c>
      <c r="P35" s="5">
        <f t="shared" si="7"/>
        <v>669</v>
      </c>
      <c r="Q35" s="19">
        <f t="shared" si="8"/>
        <v>0.1622604899</v>
      </c>
      <c r="R35" s="5">
        <f t="shared" si="9"/>
        <v>447561</v>
      </c>
      <c r="T35" s="5">
        <f t="shared" si="10"/>
        <v>-4456</v>
      </c>
      <c r="U35" s="19">
        <f t="shared" si="11"/>
        <v>1.080766432</v>
      </c>
      <c r="V35" s="5">
        <f t="shared" si="12"/>
        <v>19855936</v>
      </c>
    </row>
    <row r="36">
      <c r="A36" s="2">
        <v>40591.0</v>
      </c>
      <c r="B36" s="5">
        <v>1998.0</v>
      </c>
      <c r="C36" s="5">
        <f t="shared" si="2"/>
        <v>3676</v>
      </c>
      <c r="D36" s="5">
        <f t="shared" si="3"/>
        <v>3474</v>
      </c>
      <c r="E36" s="5">
        <f t="shared" si="1"/>
        <v>5014</v>
      </c>
      <c r="L36" s="5">
        <f t="shared" si="4"/>
        <v>-1678</v>
      </c>
      <c r="M36" s="19">
        <f t="shared" si="5"/>
        <v>0.8398398398</v>
      </c>
      <c r="N36" s="5">
        <f t="shared" si="6"/>
        <v>2815684</v>
      </c>
      <c r="P36" s="5">
        <f t="shared" si="7"/>
        <v>-1476</v>
      </c>
      <c r="Q36" s="19">
        <f t="shared" si="8"/>
        <v>0.7387387387</v>
      </c>
      <c r="R36" s="5">
        <f t="shared" si="9"/>
        <v>2178576</v>
      </c>
      <c r="T36" s="5">
        <f t="shared" si="10"/>
        <v>-3016</v>
      </c>
      <c r="U36" s="19">
        <f t="shared" si="11"/>
        <v>1.50950951</v>
      </c>
      <c r="V36" s="5">
        <f t="shared" si="12"/>
        <v>9096256</v>
      </c>
    </row>
    <row r="37">
      <c r="A37" s="2">
        <v>40592.0</v>
      </c>
      <c r="B37" s="5">
        <v>3434.0</v>
      </c>
      <c r="C37" s="5">
        <f t="shared" si="2"/>
        <v>3803</v>
      </c>
      <c r="D37" s="5">
        <f t="shared" si="3"/>
        <v>3431</v>
      </c>
      <c r="E37" s="5">
        <f t="shared" si="1"/>
        <v>2601</v>
      </c>
      <c r="L37" s="5">
        <f t="shared" si="4"/>
        <v>-369</v>
      </c>
      <c r="M37" s="19">
        <f t="shared" si="5"/>
        <v>0.1074548631</v>
      </c>
      <c r="N37" s="5">
        <f t="shared" si="6"/>
        <v>136161</v>
      </c>
      <c r="P37" s="5">
        <f t="shared" si="7"/>
        <v>3</v>
      </c>
      <c r="Q37" s="19">
        <f t="shared" si="8"/>
        <v>0.0008736167734</v>
      </c>
      <c r="R37" s="5">
        <f t="shared" si="9"/>
        <v>9</v>
      </c>
      <c r="T37" s="5">
        <f t="shared" si="10"/>
        <v>833</v>
      </c>
      <c r="U37" s="19">
        <f t="shared" si="11"/>
        <v>0.2425742574</v>
      </c>
      <c r="V37" s="5">
        <f t="shared" si="12"/>
        <v>693889</v>
      </c>
    </row>
    <row r="38">
      <c r="A38" s="2">
        <v>40596.0</v>
      </c>
      <c r="B38" s="5">
        <v>6684.0</v>
      </c>
      <c r="C38" s="5">
        <f t="shared" si="2"/>
        <v>4445</v>
      </c>
      <c r="D38" s="5">
        <f t="shared" si="3"/>
        <v>3431</v>
      </c>
      <c r="E38" s="5">
        <f t="shared" si="1"/>
        <v>3267</v>
      </c>
      <c r="L38" s="5">
        <f t="shared" si="4"/>
        <v>2239</v>
      </c>
      <c r="M38" s="19">
        <f t="shared" si="5"/>
        <v>0.3349790545</v>
      </c>
      <c r="N38" s="5">
        <f t="shared" si="6"/>
        <v>5013121</v>
      </c>
      <c r="P38" s="5">
        <f t="shared" si="7"/>
        <v>3253</v>
      </c>
      <c r="Q38" s="19">
        <f t="shared" si="8"/>
        <v>0.48668462</v>
      </c>
      <c r="R38" s="5">
        <f t="shared" si="9"/>
        <v>10582009</v>
      </c>
      <c r="T38" s="5">
        <f t="shared" si="10"/>
        <v>3417</v>
      </c>
      <c r="U38" s="19">
        <f t="shared" si="11"/>
        <v>0.5112208259</v>
      </c>
      <c r="V38" s="5">
        <f t="shared" si="12"/>
        <v>11675889</v>
      </c>
    </row>
    <row r="39">
      <c r="A39" s="2">
        <v>40597.0</v>
      </c>
      <c r="B39" s="5">
        <v>5806.0</v>
      </c>
      <c r="C39" s="5">
        <f t="shared" si="2"/>
        <v>5287</v>
      </c>
      <c r="D39" s="5">
        <f t="shared" si="3"/>
        <v>3521</v>
      </c>
      <c r="E39" s="5">
        <f t="shared" si="1"/>
        <v>6001</v>
      </c>
      <c r="L39" s="5">
        <f t="shared" si="4"/>
        <v>519</v>
      </c>
      <c r="M39" s="19">
        <f t="shared" si="5"/>
        <v>0.08939028591</v>
      </c>
      <c r="N39" s="5">
        <f t="shared" si="6"/>
        <v>269361</v>
      </c>
      <c r="P39" s="5">
        <f t="shared" si="7"/>
        <v>2285</v>
      </c>
      <c r="Q39" s="19">
        <f t="shared" si="8"/>
        <v>0.3935583879</v>
      </c>
      <c r="R39" s="5">
        <f t="shared" si="9"/>
        <v>5221225</v>
      </c>
      <c r="T39" s="5">
        <f t="shared" si="10"/>
        <v>-195</v>
      </c>
      <c r="U39" s="19">
        <f t="shared" si="11"/>
        <v>0.03358594557</v>
      </c>
      <c r="V39" s="5">
        <f t="shared" si="12"/>
        <v>38025</v>
      </c>
    </row>
    <row r="40">
      <c r="A40" s="2">
        <v>40598.0</v>
      </c>
      <c r="B40" s="5">
        <v>69.0</v>
      </c>
      <c r="C40" s="5">
        <f t="shared" si="2"/>
        <v>4409</v>
      </c>
      <c r="D40" s="5">
        <f t="shared" si="3"/>
        <v>3583</v>
      </c>
      <c r="E40" s="5">
        <f t="shared" si="1"/>
        <v>5845</v>
      </c>
      <c r="L40" s="5">
        <f t="shared" si="4"/>
        <v>-4340</v>
      </c>
      <c r="M40" s="19">
        <f t="shared" si="5"/>
        <v>62.89855072</v>
      </c>
      <c r="N40" s="5">
        <f t="shared" si="6"/>
        <v>18835600</v>
      </c>
      <c r="P40" s="5">
        <f t="shared" si="7"/>
        <v>-3514</v>
      </c>
      <c r="Q40" s="19">
        <f t="shared" si="8"/>
        <v>50.92753623</v>
      </c>
      <c r="R40" s="5">
        <f t="shared" si="9"/>
        <v>12348196</v>
      </c>
      <c r="T40" s="5">
        <f t="shared" si="10"/>
        <v>-5776</v>
      </c>
      <c r="U40" s="19">
        <f t="shared" si="11"/>
        <v>83.71014493</v>
      </c>
      <c r="V40" s="5">
        <f t="shared" si="12"/>
        <v>33362176</v>
      </c>
    </row>
    <row r="41">
      <c r="A41" s="2">
        <v>40599.0</v>
      </c>
      <c r="B41" s="5">
        <v>302.0</v>
      </c>
      <c r="C41" s="5">
        <f t="shared" si="2"/>
        <v>3598</v>
      </c>
      <c r="D41" s="5">
        <f t="shared" si="3"/>
        <v>3491</v>
      </c>
      <c r="E41" s="5">
        <f t="shared" si="1"/>
        <v>1224</v>
      </c>
      <c r="L41" s="5">
        <f t="shared" si="4"/>
        <v>-3296</v>
      </c>
      <c r="M41" s="19">
        <f t="shared" si="5"/>
        <v>10.91390728</v>
      </c>
      <c r="N41" s="5">
        <f t="shared" si="6"/>
        <v>10863616</v>
      </c>
      <c r="P41" s="5">
        <f t="shared" si="7"/>
        <v>-3189</v>
      </c>
      <c r="Q41" s="19">
        <f t="shared" si="8"/>
        <v>10.55960265</v>
      </c>
      <c r="R41" s="5">
        <f t="shared" si="9"/>
        <v>10169721</v>
      </c>
      <c r="T41" s="5">
        <f t="shared" si="10"/>
        <v>-922</v>
      </c>
      <c r="U41" s="19">
        <f t="shared" si="11"/>
        <v>3.052980132</v>
      </c>
      <c r="V41" s="5">
        <f t="shared" si="12"/>
        <v>850084</v>
      </c>
    </row>
    <row r="42">
      <c r="A42" s="2">
        <v>40602.0</v>
      </c>
      <c r="B42" s="5">
        <v>1326.0</v>
      </c>
      <c r="C42" s="5">
        <f t="shared" si="2"/>
        <v>3259</v>
      </c>
      <c r="D42" s="5">
        <f t="shared" si="3"/>
        <v>3409</v>
      </c>
      <c r="E42" s="5">
        <f t="shared" si="1"/>
        <v>486</v>
      </c>
      <c r="L42" s="5">
        <f t="shared" si="4"/>
        <v>-1933</v>
      </c>
      <c r="M42" s="19">
        <f t="shared" si="5"/>
        <v>1.457767722</v>
      </c>
      <c r="N42" s="5">
        <f t="shared" si="6"/>
        <v>3736489</v>
      </c>
      <c r="P42" s="5">
        <f t="shared" si="7"/>
        <v>-2083</v>
      </c>
      <c r="Q42" s="19">
        <f t="shared" si="8"/>
        <v>1.570889894</v>
      </c>
      <c r="R42" s="5">
        <f t="shared" si="9"/>
        <v>4338889</v>
      </c>
      <c r="T42" s="5">
        <f t="shared" si="10"/>
        <v>840</v>
      </c>
      <c r="U42" s="19">
        <f t="shared" si="11"/>
        <v>0.6334841629</v>
      </c>
      <c r="V42" s="5">
        <f t="shared" si="12"/>
        <v>705600</v>
      </c>
    </row>
    <row r="43">
      <c r="A43" s="2">
        <v>40603.0</v>
      </c>
      <c r="B43" s="5">
        <v>8444.0</v>
      </c>
      <c r="C43" s="5">
        <f t="shared" si="2"/>
        <v>2837</v>
      </c>
      <c r="D43" s="5">
        <f t="shared" si="3"/>
        <v>3357</v>
      </c>
      <c r="E43" s="5">
        <f t="shared" si="1"/>
        <v>1158</v>
      </c>
      <c r="L43" s="5">
        <f t="shared" si="4"/>
        <v>5607</v>
      </c>
      <c r="M43" s="19">
        <f t="shared" si="5"/>
        <v>0.6640217906</v>
      </c>
      <c r="N43" s="5">
        <f t="shared" si="6"/>
        <v>31438449</v>
      </c>
      <c r="P43" s="5">
        <f t="shared" si="7"/>
        <v>5087</v>
      </c>
      <c r="Q43" s="19">
        <f t="shared" si="8"/>
        <v>0.6024396021</v>
      </c>
      <c r="R43" s="5">
        <f t="shared" si="9"/>
        <v>25877569</v>
      </c>
      <c r="T43" s="5">
        <f t="shared" si="10"/>
        <v>7286</v>
      </c>
      <c r="U43" s="19">
        <f t="shared" si="11"/>
        <v>0.8628612032</v>
      </c>
      <c r="V43" s="5">
        <f t="shared" si="12"/>
        <v>53085796</v>
      </c>
    </row>
    <row r="44">
      <c r="A44" s="2">
        <v>40604.0</v>
      </c>
      <c r="B44" s="5">
        <v>3273.0</v>
      </c>
      <c r="C44" s="5">
        <f t="shared" si="2"/>
        <v>3189</v>
      </c>
      <c r="D44" s="5">
        <f t="shared" si="3"/>
        <v>3481</v>
      </c>
      <c r="E44" s="5">
        <f t="shared" si="1"/>
        <v>6987</v>
      </c>
      <c r="L44" s="5">
        <f t="shared" si="4"/>
        <v>84</v>
      </c>
      <c r="M44" s="19">
        <f t="shared" si="5"/>
        <v>0.02566452796</v>
      </c>
      <c r="N44" s="5">
        <f t="shared" si="6"/>
        <v>7056</v>
      </c>
      <c r="P44" s="5">
        <f t="shared" si="7"/>
        <v>-208</v>
      </c>
      <c r="Q44" s="19">
        <f t="shared" si="8"/>
        <v>0.0635502597</v>
      </c>
      <c r="R44" s="5">
        <f t="shared" si="9"/>
        <v>43264</v>
      </c>
      <c r="T44" s="5">
        <f t="shared" si="10"/>
        <v>-3714</v>
      </c>
      <c r="U44" s="19">
        <f t="shared" si="11"/>
        <v>1.134738772</v>
      </c>
      <c r="V44" s="5">
        <f t="shared" si="12"/>
        <v>13793796</v>
      </c>
    </row>
    <row r="45">
      <c r="A45" s="2">
        <v>40605.0</v>
      </c>
      <c r="B45" s="5">
        <v>1342.0</v>
      </c>
      <c r="C45" s="5">
        <f t="shared" si="2"/>
        <v>2683</v>
      </c>
      <c r="D45" s="5">
        <f t="shared" si="3"/>
        <v>3476</v>
      </c>
      <c r="E45" s="5">
        <f t="shared" si="1"/>
        <v>4016</v>
      </c>
      <c r="L45" s="5">
        <f t="shared" si="4"/>
        <v>-1341</v>
      </c>
      <c r="M45" s="19">
        <f t="shared" si="5"/>
        <v>0.9992548435</v>
      </c>
      <c r="N45" s="5">
        <f t="shared" si="6"/>
        <v>1798281</v>
      </c>
      <c r="P45" s="5">
        <f t="shared" si="7"/>
        <v>-2134</v>
      </c>
      <c r="Q45" s="19">
        <f t="shared" si="8"/>
        <v>1.590163934</v>
      </c>
      <c r="R45" s="5">
        <f t="shared" si="9"/>
        <v>4553956</v>
      </c>
      <c r="T45" s="5">
        <f t="shared" si="10"/>
        <v>-2674</v>
      </c>
      <c r="U45" s="19">
        <f t="shared" si="11"/>
        <v>1.992548435</v>
      </c>
      <c r="V45" s="5">
        <f t="shared" si="12"/>
        <v>7150276</v>
      </c>
    </row>
    <row r="46">
      <c r="A46" s="2">
        <v>40606.0</v>
      </c>
      <c r="B46" s="5">
        <v>400.0</v>
      </c>
      <c r="C46" s="5">
        <f t="shared" si="2"/>
        <v>2937</v>
      </c>
      <c r="D46" s="5">
        <f t="shared" si="3"/>
        <v>3426</v>
      </c>
      <c r="E46" s="5">
        <f t="shared" si="1"/>
        <v>1877</v>
      </c>
      <c r="L46" s="5">
        <f t="shared" si="4"/>
        <v>-2537</v>
      </c>
      <c r="M46" s="19">
        <f t="shared" si="5"/>
        <v>6.3425</v>
      </c>
      <c r="N46" s="5">
        <f t="shared" si="6"/>
        <v>6436369</v>
      </c>
      <c r="P46" s="5">
        <f t="shared" si="7"/>
        <v>-3026</v>
      </c>
      <c r="Q46" s="19">
        <f t="shared" si="8"/>
        <v>7.565</v>
      </c>
      <c r="R46" s="5">
        <f t="shared" si="9"/>
        <v>9156676</v>
      </c>
      <c r="T46" s="5">
        <f t="shared" si="10"/>
        <v>-1477</v>
      </c>
      <c r="U46" s="19">
        <f t="shared" si="11"/>
        <v>3.6925</v>
      </c>
      <c r="V46" s="5">
        <f t="shared" si="12"/>
        <v>2181529</v>
      </c>
    </row>
    <row r="47">
      <c r="A47" s="2">
        <v>40609.0</v>
      </c>
      <c r="B47" s="5">
        <v>2011.0</v>
      </c>
      <c r="C47" s="5">
        <f t="shared" si="2"/>
        <v>2957</v>
      </c>
      <c r="D47" s="5">
        <f t="shared" si="3"/>
        <v>3358</v>
      </c>
      <c r="E47" s="5">
        <f t="shared" si="1"/>
        <v>695</v>
      </c>
      <c r="L47" s="5">
        <f t="shared" si="4"/>
        <v>-946</v>
      </c>
      <c r="M47" s="19">
        <f t="shared" si="5"/>
        <v>0.47041273</v>
      </c>
      <c r="N47" s="5">
        <f t="shared" si="6"/>
        <v>894916</v>
      </c>
      <c r="P47" s="5">
        <f t="shared" si="7"/>
        <v>-1347</v>
      </c>
      <c r="Q47" s="19">
        <f t="shared" si="8"/>
        <v>0.6698160119</v>
      </c>
      <c r="R47" s="5">
        <f t="shared" si="9"/>
        <v>1814409</v>
      </c>
      <c r="T47" s="5">
        <f t="shared" si="10"/>
        <v>1316</v>
      </c>
      <c r="U47" s="19">
        <f t="shared" si="11"/>
        <v>0.6544007956</v>
      </c>
      <c r="V47" s="5">
        <f t="shared" si="12"/>
        <v>1731856</v>
      </c>
    </row>
    <row r="48">
      <c r="A48" s="2">
        <v>40610.0</v>
      </c>
      <c r="B48" s="5">
        <v>6826.0</v>
      </c>
      <c r="C48" s="5">
        <f t="shared" si="2"/>
        <v>3094</v>
      </c>
      <c r="D48" s="5">
        <f t="shared" si="3"/>
        <v>3328</v>
      </c>
      <c r="E48" s="5">
        <f t="shared" si="1"/>
        <v>1748</v>
      </c>
      <c r="L48" s="5">
        <f t="shared" si="4"/>
        <v>3732</v>
      </c>
      <c r="M48" s="19">
        <f t="shared" si="5"/>
        <v>0.5467330794</v>
      </c>
      <c r="N48" s="5">
        <f t="shared" si="6"/>
        <v>13927824</v>
      </c>
      <c r="P48" s="5">
        <f t="shared" si="7"/>
        <v>3498</v>
      </c>
      <c r="Q48" s="19">
        <f t="shared" si="8"/>
        <v>0.5124523879</v>
      </c>
      <c r="R48" s="5">
        <f t="shared" si="9"/>
        <v>12236004</v>
      </c>
      <c r="T48" s="5">
        <f t="shared" si="10"/>
        <v>5078</v>
      </c>
      <c r="U48" s="19">
        <f t="shared" si="11"/>
        <v>0.7439203047</v>
      </c>
      <c r="V48" s="5">
        <f t="shared" si="12"/>
        <v>25786084</v>
      </c>
    </row>
    <row r="49">
      <c r="A49" s="2">
        <v>40611.0</v>
      </c>
      <c r="B49" s="5">
        <v>5860.0</v>
      </c>
      <c r="C49" s="5">
        <f t="shared" si="2"/>
        <v>2770</v>
      </c>
      <c r="D49" s="5">
        <f t="shared" si="3"/>
        <v>3404</v>
      </c>
      <c r="E49" s="5">
        <f t="shared" si="1"/>
        <v>5810</v>
      </c>
      <c r="L49" s="5">
        <f t="shared" si="4"/>
        <v>3090</v>
      </c>
      <c r="M49" s="19">
        <f t="shared" si="5"/>
        <v>0.5273037543</v>
      </c>
      <c r="N49" s="5">
        <f t="shared" si="6"/>
        <v>9548100</v>
      </c>
      <c r="P49" s="5">
        <f t="shared" si="7"/>
        <v>2456</v>
      </c>
      <c r="Q49" s="19">
        <f t="shared" si="8"/>
        <v>0.419112628</v>
      </c>
      <c r="R49" s="5">
        <f t="shared" si="9"/>
        <v>6031936</v>
      </c>
      <c r="T49" s="5">
        <f t="shared" si="10"/>
        <v>50</v>
      </c>
      <c r="U49" s="19">
        <f t="shared" si="11"/>
        <v>0.008532423208</v>
      </c>
      <c r="V49" s="5">
        <f t="shared" si="12"/>
        <v>2500</v>
      </c>
    </row>
    <row r="50">
      <c r="A50" s="2">
        <v>40612.0</v>
      </c>
      <c r="B50" s="5">
        <v>1368.0</v>
      </c>
      <c r="C50" s="5">
        <f t="shared" si="2"/>
        <v>3288</v>
      </c>
      <c r="D50" s="5">
        <f t="shared" si="3"/>
        <v>3456</v>
      </c>
      <c r="E50" s="5">
        <f t="shared" si="1"/>
        <v>5850</v>
      </c>
      <c r="L50" s="5">
        <f t="shared" si="4"/>
        <v>-1920</v>
      </c>
      <c r="M50" s="19">
        <f t="shared" si="5"/>
        <v>1.403508772</v>
      </c>
      <c r="N50" s="5">
        <f t="shared" si="6"/>
        <v>3686400</v>
      </c>
      <c r="P50" s="5">
        <f t="shared" si="7"/>
        <v>-2088</v>
      </c>
      <c r="Q50" s="19">
        <f t="shared" si="8"/>
        <v>1.526315789</v>
      </c>
      <c r="R50" s="5">
        <f t="shared" si="9"/>
        <v>4359744</v>
      </c>
      <c r="T50" s="5">
        <f t="shared" si="10"/>
        <v>-4482</v>
      </c>
      <c r="U50" s="19">
        <f t="shared" si="11"/>
        <v>3.276315789</v>
      </c>
      <c r="V50" s="5">
        <f t="shared" si="12"/>
        <v>20088324</v>
      </c>
    </row>
    <row r="51">
      <c r="A51" s="2">
        <v>40613.0</v>
      </c>
      <c r="B51" s="5">
        <v>253.0</v>
      </c>
      <c r="C51" s="5">
        <f t="shared" si="2"/>
        <v>3293</v>
      </c>
      <c r="D51" s="5">
        <f t="shared" si="3"/>
        <v>3412</v>
      </c>
      <c r="E51" s="5">
        <f t="shared" si="1"/>
        <v>2264</v>
      </c>
      <c r="L51" s="5">
        <f t="shared" si="4"/>
        <v>-3040</v>
      </c>
      <c r="M51" s="19">
        <f t="shared" si="5"/>
        <v>12.01581028</v>
      </c>
      <c r="N51" s="5">
        <f t="shared" si="6"/>
        <v>9241600</v>
      </c>
      <c r="P51" s="5">
        <f t="shared" si="7"/>
        <v>-3159</v>
      </c>
      <c r="Q51" s="19">
        <f t="shared" si="8"/>
        <v>12.48616601</v>
      </c>
      <c r="R51" s="5">
        <f t="shared" si="9"/>
        <v>9979281</v>
      </c>
      <c r="T51" s="5">
        <f t="shared" si="10"/>
        <v>-2011</v>
      </c>
      <c r="U51" s="19">
        <f t="shared" si="11"/>
        <v>7.948616601</v>
      </c>
      <c r="V51" s="5">
        <f t="shared" si="12"/>
        <v>4044121</v>
      </c>
    </row>
    <row r="52">
      <c r="A52" s="2">
        <v>40616.0</v>
      </c>
      <c r="B52" s="5">
        <v>3008.0</v>
      </c>
      <c r="C52" s="5">
        <f t="shared" si="2"/>
        <v>3264</v>
      </c>
      <c r="D52" s="5">
        <f t="shared" si="3"/>
        <v>3348</v>
      </c>
      <c r="E52" s="5">
        <f t="shared" si="1"/>
        <v>655</v>
      </c>
      <c r="L52" s="5">
        <f t="shared" si="4"/>
        <v>-256</v>
      </c>
      <c r="M52" s="19">
        <f t="shared" si="5"/>
        <v>0.08510638298</v>
      </c>
      <c r="N52" s="5">
        <f t="shared" si="6"/>
        <v>65536</v>
      </c>
      <c r="P52" s="5">
        <f t="shared" si="7"/>
        <v>-340</v>
      </c>
      <c r="Q52" s="19">
        <f t="shared" si="8"/>
        <v>0.1130319149</v>
      </c>
      <c r="R52" s="5">
        <f t="shared" si="9"/>
        <v>115600</v>
      </c>
      <c r="T52" s="5">
        <f t="shared" si="10"/>
        <v>2353</v>
      </c>
      <c r="U52" s="19">
        <f t="shared" si="11"/>
        <v>0.7822473404</v>
      </c>
      <c r="V52" s="5">
        <f t="shared" si="12"/>
        <v>5536609</v>
      </c>
    </row>
    <row r="53">
      <c r="A53" s="2">
        <v>40617.0</v>
      </c>
      <c r="B53" s="5">
        <v>1960.0</v>
      </c>
      <c r="C53" s="5">
        <f t="shared" si="2"/>
        <v>3463</v>
      </c>
      <c r="D53" s="5">
        <f t="shared" si="3"/>
        <v>3341</v>
      </c>
      <c r="E53" s="5">
        <f t="shared" si="1"/>
        <v>2537</v>
      </c>
      <c r="L53" s="5">
        <f t="shared" si="4"/>
        <v>-1503</v>
      </c>
      <c r="M53" s="19">
        <f t="shared" si="5"/>
        <v>0.7668367347</v>
      </c>
      <c r="N53" s="5">
        <f t="shared" si="6"/>
        <v>2259009</v>
      </c>
      <c r="P53" s="5">
        <f t="shared" si="7"/>
        <v>-1381</v>
      </c>
      <c r="Q53" s="19">
        <f t="shared" si="8"/>
        <v>0.7045918367</v>
      </c>
      <c r="R53" s="5">
        <f t="shared" si="9"/>
        <v>1907161</v>
      </c>
      <c r="T53" s="5">
        <f t="shared" si="10"/>
        <v>-577</v>
      </c>
      <c r="U53" s="19">
        <f t="shared" si="11"/>
        <v>0.2943877551</v>
      </c>
      <c r="V53" s="5">
        <f t="shared" si="12"/>
        <v>332929</v>
      </c>
    </row>
    <row r="54">
      <c r="A54" s="2">
        <v>40618.0</v>
      </c>
      <c r="B54" s="5">
        <v>11312.0</v>
      </c>
      <c r="C54" s="5">
        <f t="shared" si="2"/>
        <v>2490</v>
      </c>
      <c r="D54" s="5">
        <f t="shared" si="3"/>
        <v>3314</v>
      </c>
      <c r="E54" s="5">
        <f t="shared" si="1"/>
        <v>2075</v>
      </c>
      <c r="L54" s="5">
        <f t="shared" si="4"/>
        <v>8822</v>
      </c>
      <c r="M54" s="19">
        <f t="shared" si="5"/>
        <v>0.7798797737</v>
      </c>
      <c r="N54" s="5">
        <f t="shared" si="6"/>
        <v>77827684</v>
      </c>
      <c r="P54" s="5">
        <f t="shared" si="7"/>
        <v>7998</v>
      </c>
      <c r="Q54" s="19">
        <f t="shared" si="8"/>
        <v>0.7070367751</v>
      </c>
      <c r="R54" s="5">
        <f t="shared" si="9"/>
        <v>63968004</v>
      </c>
      <c r="T54" s="5">
        <f t="shared" si="10"/>
        <v>9237</v>
      </c>
      <c r="U54" s="19">
        <f t="shared" si="11"/>
        <v>0.8165664781</v>
      </c>
      <c r="V54" s="5">
        <f t="shared" si="12"/>
        <v>85322169</v>
      </c>
    </row>
    <row r="55">
      <c r="A55" s="2">
        <v>40619.0</v>
      </c>
      <c r="B55" s="5">
        <v>814.0</v>
      </c>
      <c r="C55" s="5">
        <f t="shared" si="2"/>
        <v>3580</v>
      </c>
      <c r="D55" s="5">
        <f t="shared" si="3"/>
        <v>3468</v>
      </c>
      <c r="E55" s="5">
        <f t="shared" si="1"/>
        <v>9465</v>
      </c>
      <c r="L55" s="5">
        <f t="shared" si="4"/>
        <v>-2766</v>
      </c>
      <c r="M55" s="19">
        <f t="shared" si="5"/>
        <v>3.398034398</v>
      </c>
      <c r="N55" s="5">
        <f t="shared" si="6"/>
        <v>7650756</v>
      </c>
      <c r="P55" s="5">
        <f t="shared" si="7"/>
        <v>-2654</v>
      </c>
      <c r="Q55" s="19">
        <f t="shared" si="8"/>
        <v>3.26044226</v>
      </c>
      <c r="R55" s="5">
        <f t="shared" si="9"/>
        <v>7043716</v>
      </c>
      <c r="T55" s="5">
        <f t="shared" si="10"/>
        <v>-8651</v>
      </c>
      <c r="U55" s="19">
        <f t="shared" si="11"/>
        <v>10.62776413</v>
      </c>
      <c r="V55" s="5">
        <f t="shared" si="12"/>
        <v>74839801</v>
      </c>
    </row>
    <row r="56">
      <c r="A56" s="2">
        <v>40620.0</v>
      </c>
      <c r="B56" s="5">
        <v>1072.0</v>
      </c>
      <c r="C56" s="5">
        <f t="shared" si="2"/>
        <v>3469</v>
      </c>
      <c r="D56" s="5">
        <f t="shared" si="3"/>
        <v>3418</v>
      </c>
      <c r="E56" s="5">
        <f t="shared" si="1"/>
        <v>2544</v>
      </c>
      <c r="L56" s="5">
        <f t="shared" si="4"/>
        <v>-2397</v>
      </c>
      <c r="M56" s="19">
        <f t="shared" si="5"/>
        <v>2.236007463</v>
      </c>
      <c r="N56" s="5">
        <f t="shared" si="6"/>
        <v>5745609</v>
      </c>
      <c r="P56" s="5">
        <f t="shared" si="7"/>
        <v>-2346</v>
      </c>
      <c r="Q56" s="19">
        <f t="shared" si="8"/>
        <v>2.188432836</v>
      </c>
      <c r="R56" s="5">
        <f t="shared" si="9"/>
        <v>5503716</v>
      </c>
      <c r="T56" s="5">
        <f t="shared" si="10"/>
        <v>-1472</v>
      </c>
      <c r="U56" s="19">
        <f t="shared" si="11"/>
        <v>1.373134328</v>
      </c>
      <c r="V56" s="5">
        <f t="shared" si="12"/>
        <v>2166784</v>
      </c>
    </row>
    <row r="57">
      <c r="A57" s="2">
        <v>40623.0</v>
      </c>
      <c r="B57" s="5">
        <v>1982.0</v>
      </c>
      <c r="C57" s="5">
        <f t="shared" si="2"/>
        <v>3633</v>
      </c>
      <c r="D57" s="5">
        <f t="shared" si="3"/>
        <v>3374</v>
      </c>
      <c r="E57" s="5">
        <f t="shared" si="1"/>
        <v>1366</v>
      </c>
      <c r="L57" s="5">
        <f t="shared" si="4"/>
        <v>-1651</v>
      </c>
      <c r="M57" s="19">
        <f t="shared" si="5"/>
        <v>0.8329969728</v>
      </c>
      <c r="N57" s="5">
        <f t="shared" si="6"/>
        <v>2725801</v>
      </c>
      <c r="P57" s="5">
        <f t="shared" si="7"/>
        <v>-1392</v>
      </c>
      <c r="Q57" s="19">
        <f t="shared" si="8"/>
        <v>0.702320888</v>
      </c>
      <c r="R57" s="5">
        <f t="shared" si="9"/>
        <v>1937664</v>
      </c>
      <c r="T57" s="5">
        <f t="shared" si="10"/>
        <v>616</v>
      </c>
      <c r="U57" s="19">
        <f t="shared" si="11"/>
        <v>0.3107971746</v>
      </c>
      <c r="V57" s="5">
        <f t="shared" si="12"/>
        <v>379456</v>
      </c>
    </row>
    <row r="58">
      <c r="A58" s="2">
        <v>40624.0</v>
      </c>
      <c r="B58" s="5">
        <v>10992.0</v>
      </c>
      <c r="C58" s="5">
        <f t="shared" si="2"/>
        <v>3428</v>
      </c>
      <c r="D58" s="5">
        <f t="shared" si="3"/>
        <v>3349</v>
      </c>
      <c r="E58" s="5">
        <f t="shared" si="1"/>
        <v>1859</v>
      </c>
      <c r="L58" s="5">
        <f t="shared" si="4"/>
        <v>7564</v>
      </c>
      <c r="M58" s="19">
        <f t="shared" si="5"/>
        <v>0.6881368268</v>
      </c>
      <c r="N58" s="5">
        <f t="shared" si="6"/>
        <v>57214096</v>
      </c>
      <c r="P58" s="5">
        <f t="shared" si="7"/>
        <v>7643</v>
      </c>
      <c r="Q58" s="19">
        <f t="shared" si="8"/>
        <v>0.6953238719</v>
      </c>
      <c r="R58" s="5">
        <f t="shared" si="9"/>
        <v>58415449</v>
      </c>
      <c r="T58" s="5">
        <f t="shared" si="10"/>
        <v>9133</v>
      </c>
      <c r="U58" s="19">
        <f t="shared" si="11"/>
        <v>0.8308770015</v>
      </c>
      <c r="V58" s="5">
        <f t="shared" si="12"/>
        <v>83411689</v>
      </c>
    </row>
    <row r="59">
      <c r="A59" s="2">
        <v>40625.0</v>
      </c>
      <c r="B59" s="5">
        <v>3865.0</v>
      </c>
      <c r="C59" s="5">
        <f t="shared" si="2"/>
        <v>5234</v>
      </c>
      <c r="D59" s="5">
        <f t="shared" si="3"/>
        <v>3486</v>
      </c>
      <c r="E59" s="5">
        <f t="shared" si="1"/>
        <v>9165</v>
      </c>
      <c r="L59" s="5">
        <f t="shared" si="4"/>
        <v>-1369</v>
      </c>
      <c r="M59" s="19">
        <f t="shared" si="5"/>
        <v>0.3542043984</v>
      </c>
      <c r="N59" s="5">
        <f t="shared" si="6"/>
        <v>1874161</v>
      </c>
      <c r="P59" s="5">
        <f t="shared" si="7"/>
        <v>379</v>
      </c>
      <c r="Q59" s="19">
        <f t="shared" si="8"/>
        <v>0.09805950841</v>
      </c>
      <c r="R59" s="5">
        <f t="shared" si="9"/>
        <v>143641</v>
      </c>
      <c r="T59" s="5">
        <f t="shared" si="10"/>
        <v>-5300</v>
      </c>
      <c r="U59" s="19">
        <f t="shared" si="11"/>
        <v>1.371280724</v>
      </c>
      <c r="V59" s="5">
        <f t="shared" si="12"/>
        <v>28090000</v>
      </c>
    </row>
    <row r="60">
      <c r="A60" s="2">
        <v>40626.0</v>
      </c>
      <c r="B60" s="5">
        <v>1402.0</v>
      </c>
      <c r="C60" s="5">
        <f t="shared" si="2"/>
        <v>3745</v>
      </c>
      <c r="D60" s="5">
        <f t="shared" si="3"/>
        <v>3492</v>
      </c>
      <c r="E60" s="5">
        <f t="shared" si="1"/>
        <v>4925</v>
      </c>
      <c r="L60" s="5">
        <f t="shared" si="4"/>
        <v>-2343</v>
      </c>
      <c r="M60" s="19">
        <f t="shared" si="5"/>
        <v>1.671184023</v>
      </c>
      <c r="N60" s="5">
        <f t="shared" si="6"/>
        <v>5489649</v>
      </c>
      <c r="P60" s="5">
        <f t="shared" si="7"/>
        <v>-2090</v>
      </c>
      <c r="Q60" s="19">
        <f t="shared" si="8"/>
        <v>1.490727532</v>
      </c>
      <c r="R60" s="5">
        <f t="shared" si="9"/>
        <v>4368100</v>
      </c>
      <c r="T60" s="5">
        <f t="shared" si="10"/>
        <v>-3523</v>
      </c>
      <c r="U60" s="19">
        <f t="shared" si="11"/>
        <v>2.512838802</v>
      </c>
      <c r="V60" s="5">
        <f t="shared" si="12"/>
        <v>12411529</v>
      </c>
    </row>
    <row r="61">
      <c r="A61" s="2">
        <v>40627.0</v>
      </c>
      <c r="B61" s="5">
        <v>150.0</v>
      </c>
      <c r="C61" s="5">
        <f t="shared" si="2"/>
        <v>3863</v>
      </c>
      <c r="D61" s="5">
        <f t="shared" si="3"/>
        <v>3456</v>
      </c>
      <c r="E61" s="5">
        <f t="shared" si="1"/>
        <v>2107</v>
      </c>
      <c r="L61" s="5">
        <f t="shared" si="4"/>
        <v>-3713</v>
      </c>
      <c r="M61" s="19">
        <f t="shared" si="5"/>
        <v>24.75333333</v>
      </c>
      <c r="N61" s="5">
        <f t="shared" si="6"/>
        <v>13786369</v>
      </c>
      <c r="P61" s="5">
        <f t="shared" si="7"/>
        <v>-3306</v>
      </c>
      <c r="Q61" s="19">
        <f t="shared" si="8"/>
        <v>22.04</v>
      </c>
      <c r="R61" s="5">
        <f t="shared" si="9"/>
        <v>10929636</v>
      </c>
      <c r="T61" s="5">
        <f t="shared" si="10"/>
        <v>-1957</v>
      </c>
      <c r="U61" s="19">
        <f t="shared" si="11"/>
        <v>13.04666667</v>
      </c>
      <c r="V61" s="5">
        <f t="shared" si="12"/>
        <v>3829849</v>
      </c>
    </row>
    <row r="62">
      <c r="A62" s="2">
        <v>40630.0</v>
      </c>
      <c r="B62" s="5">
        <v>2143.0</v>
      </c>
      <c r="C62" s="5">
        <f t="shared" si="2"/>
        <v>3678</v>
      </c>
      <c r="D62" s="5">
        <f t="shared" si="3"/>
        <v>3400</v>
      </c>
      <c r="E62" s="5">
        <f t="shared" si="1"/>
        <v>541</v>
      </c>
      <c r="L62" s="5">
        <f t="shared" si="4"/>
        <v>-1535</v>
      </c>
      <c r="M62" s="19">
        <f t="shared" si="5"/>
        <v>0.716285581</v>
      </c>
      <c r="N62" s="5">
        <f t="shared" si="6"/>
        <v>2356225</v>
      </c>
      <c r="P62" s="5">
        <f t="shared" si="7"/>
        <v>-1257</v>
      </c>
      <c r="Q62" s="19">
        <f t="shared" si="8"/>
        <v>0.5865608959</v>
      </c>
      <c r="R62" s="5">
        <f t="shared" si="9"/>
        <v>1580049</v>
      </c>
      <c r="T62" s="5">
        <f t="shared" si="10"/>
        <v>1602</v>
      </c>
      <c r="U62" s="19">
        <f t="shared" si="11"/>
        <v>0.7475501633</v>
      </c>
      <c r="V62" s="5">
        <f t="shared" si="12"/>
        <v>2566404</v>
      </c>
    </row>
    <row r="63">
      <c r="A63" s="2">
        <v>40631.0</v>
      </c>
      <c r="B63" s="5">
        <v>11240.0</v>
      </c>
      <c r="C63" s="5">
        <f t="shared" si="2"/>
        <v>3710</v>
      </c>
      <c r="D63" s="5">
        <f t="shared" si="3"/>
        <v>3379</v>
      </c>
      <c r="E63" s="5">
        <f t="shared" si="1"/>
        <v>1823</v>
      </c>
      <c r="L63" s="5">
        <f t="shared" si="4"/>
        <v>7530</v>
      </c>
      <c r="M63" s="19">
        <f t="shared" si="5"/>
        <v>0.6699288256</v>
      </c>
      <c r="N63" s="5">
        <f t="shared" si="6"/>
        <v>56700900</v>
      </c>
      <c r="P63" s="5">
        <f t="shared" si="7"/>
        <v>7861</v>
      </c>
      <c r="Q63" s="19">
        <f t="shared" si="8"/>
        <v>0.6993772242</v>
      </c>
      <c r="R63" s="5">
        <f t="shared" si="9"/>
        <v>61795321</v>
      </c>
      <c r="T63" s="5">
        <f t="shared" si="10"/>
        <v>9417</v>
      </c>
      <c r="U63" s="19">
        <f t="shared" si="11"/>
        <v>0.8378113879</v>
      </c>
      <c r="V63" s="5">
        <f t="shared" si="12"/>
        <v>88679889</v>
      </c>
    </row>
    <row r="64">
      <c r="A64" s="2">
        <v>40632.0</v>
      </c>
      <c r="B64" s="5">
        <v>4000.0</v>
      </c>
      <c r="C64" s="5">
        <f t="shared" si="2"/>
        <v>3760</v>
      </c>
      <c r="D64" s="5">
        <f t="shared" si="3"/>
        <v>3508</v>
      </c>
      <c r="E64" s="5">
        <f t="shared" si="1"/>
        <v>9357</v>
      </c>
      <c r="L64" s="5">
        <f t="shared" si="4"/>
        <v>240</v>
      </c>
      <c r="M64" s="19">
        <f t="shared" si="5"/>
        <v>0.06</v>
      </c>
      <c r="N64" s="5">
        <f t="shared" si="6"/>
        <v>57600</v>
      </c>
      <c r="P64" s="5">
        <f t="shared" si="7"/>
        <v>492</v>
      </c>
      <c r="Q64" s="19">
        <f t="shared" si="8"/>
        <v>0.123</v>
      </c>
      <c r="R64" s="5">
        <f t="shared" si="9"/>
        <v>242064</v>
      </c>
      <c r="T64" s="5">
        <f t="shared" si="10"/>
        <v>-5357</v>
      </c>
      <c r="U64" s="19">
        <f t="shared" si="11"/>
        <v>1.33925</v>
      </c>
      <c r="V64" s="5">
        <f t="shared" si="12"/>
        <v>28697449</v>
      </c>
    </row>
    <row r="65">
      <c r="A65" s="2">
        <v>40633.0</v>
      </c>
      <c r="B65" s="5">
        <v>1475.0</v>
      </c>
      <c r="C65" s="5">
        <f t="shared" si="2"/>
        <v>3787</v>
      </c>
      <c r="D65" s="5">
        <f t="shared" si="3"/>
        <v>3516</v>
      </c>
      <c r="E65" s="5">
        <f t="shared" si="1"/>
        <v>5071</v>
      </c>
      <c r="L65" s="5">
        <f t="shared" si="4"/>
        <v>-2312</v>
      </c>
      <c r="M65" s="19">
        <f t="shared" si="5"/>
        <v>1.567457627</v>
      </c>
      <c r="N65" s="5">
        <f t="shared" si="6"/>
        <v>5345344</v>
      </c>
      <c r="P65" s="5">
        <f t="shared" si="7"/>
        <v>-2041</v>
      </c>
      <c r="Q65" s="19">
        <f t="shared" si="8"/>
        <v>1.383728814</v>
      </c>
      <c r="R65" s="5">
        <f t="shared" si="9"/>
        <v>4165681</v>
      </c>
      <c r="T65" s="5">
        <f t="shared" si="10"/>
        <v>-3596</v>
      </c>
      <c r="U65" s="19">
        <f t="shared" si="11"/>
        <v>2.437966102</v>
      </c>
      <c r="V65" s="5">
        <f t="shared" si="12"/>
        <v>12931216</v>
      </c>
    </row>
    <row r="66">
      <c r="A66" s="2">
        <v>40634.0</v>
      </c>
      <c r="B66" s="5">
        <v>253.0</v>
      </c>
      <c r="C66" s="5">
        <f t="shared" si="2"/>
        <v>3802</v>
      </c>
      <c r="D66" s="5">
        <f t="shared" si="3"/>
        <v>3484</v>
      </c>
      <c r="E66" s="5">
        <f t="shared" si="1"/>
        <v>2194</v>
      </c>
      <c r="L66" s="5">
        <f t="shared" si="4"/>
        <v>-3549</v>
      </c>
      <c r="M66" s="19">
        <f t="shared" si="5"/>
        <v>14.02766798</v>
      </c>
      <c r="N66" s="5">
        <f t="shared" si="6"/>
        <v>12595401</v>
      </c>
      <c r="P66" s="5">
        <f t="shared" si="7"/>
        <v>-3231</v>
      </c>
      <c r="Q66" s="19">
        <f t="shared" si="8"/>
        <v>12.77075099</v>
      </c>
      <c r="R66" s="5">
        <f t="shared" si="9"/>
        <v>10439361</v>
      </c>
      <c r="T66" s="5">
        <f t="shared" si="10"/>
        <v>-1941</v>
      </c>
      <c r="U66" s="19">
        <f t="shared" si="11"/>
        <v>7.671936759</v>
      </c>
      <c r="V66" s="5">
        <f t="shared" si="12"/>
        <v>3767481</v>
      </c>
    </row>
    <row r="67">
      <c r="A67" s="2">
        <v>40637.0</v>
      </c>
      <c r="B67" s="5">
        <v>3090.0</v>
      </c>
      <c r="C67" s="5">
        <f t="shared" si="2"/>
        <v>3822</v>
      </c>
      <c r="D67" s="5">
        <f t="shared" si="3"/>
        <v>3433</v>
      </c>
      <c r="E67" s="5">
        <f t="shared" si="1"/>
        <v>641</v>
      </c>
      <c r="L67" s="5">
        <f t="shared" si="4"/>
        <v>-732</v>
      </c>
      <c r="M67" s="19">
        <f t="shared" si="5"/>
        <v>0.2368932039</v>
      </c>
      <c r="N67" s="5">
        <f t="shared" si="6"/>
        <v>535824</v>
      </c>
      <c r="P67" s="5">
        <f t="shared" si="7"/>
        <v>-343</v>
      </c>
      <c r="Q67" s="19">
        <f t="shared" si="8"/>
        <v>0.1110032362</v>
      </c>
      <c r="R67" s="5">
        <f t="shared" si="9"/>
        <v>117649</v>
      </c>
      <c r="T67" s="5">
        <f t="shared" si="10"/>
        <v>2449</v>
      </c>
      <c r="U67" s="19">
        <f t="shared" si="11"/>
        <v>0.7925566343</v>
      </c>
      <c r="V67" s="5">
        <f t="shared" si="12"/>
        <v>5997601</v>
      </c>
    </row>
    <row r="68">
      <c r="A68" s="2">
        <v>40638.0</v>
      </c>
      <c r="B68" s="5">
        <v>6772.0</v>
      </c>
      <c r="C68" s="5">
        <f t="shared" si="2"/>
        <v>4012</v>
      </c>
      <c r="D68" s="5">
        <f t="shared" si="3"/>
        <v>3428</v>
      </c>
      <c r="E68" s="5">
        <f t="shared" si="1"/>
        <v>2600</v>
      </c>
      <c r="L68" s="5">
        <f t="shared" si="4"/>
        <v>2760</v>
      </c>
      <c r="M68" s="19">
        <f t="shared" si="5"/>
        <v>0.4075605434</v>
      </c>
      <c r="N68" s="5">
        <f t="shared" si="6"/>
        <v>7617600</v>
      </c>
      <c r="P68" s="5">
        <f t="shared" si="7"/>
        <v>3344</v>
      </c>
      <c r="Q68" s="19">
        <f t="shared" si="8"/>
        <v>0.4937979917</v>
      </c>
      <c r="R68" s="5">
        <f t="shared" si="9"/>
        <v>11182336</v>
      </c>
      <c r="T68" s="5">
        <f t="shared" si="10"/>
        <v>4172</v>
      </c>
      <c r="U68" s="19">
        <f t="shared" si="11"/>
        <v>0.6160661548</v>
      </c>
      <c r="V68" s="5">
        <f t="shared" si="12"/>
        <v>17405584</v>
      </c>
    </row>
    <row r="69">
      <c r="A69" s="2">
        <v>40639.0</v>
      </c>
      <c r="B69" s="5">
        <v>5869.0</v>
      </c>
      <c r="C69" s="5">
        <f t="shared" si="2"/>
        <v>3118</v>
      </c>
      <c r="D69" s="5">
        <f t="shared" si="3"/>
        <v>3479</v>
      </c>
      <c r="E69" s="5">
        <f t="shared" si="1"/>
        <v>5938</v>
      </c>
      <c r="L69" s="5">
        <f t="shared" si="4"/>
        <v>2751</v>
      </c>
      <c r="M69" s="19">
        <f t="shared" si="5"/>
        <v>0.4687340262</v>
      </c>
      <c r="N69" s="5">
        <f t="shared" si="6"/>
        <v>7568001</v>
      </c>
      <c r="P69" s="5">
        <f t="shared" si="7"/>
        <v>2390</v>
      </c>
      <c r="Q69" s="19">
        <f t="shared" si="8"/>
        <v>0.4072243994</v>
      </c>
      <c r="R69" s="5">
        <f t="shared" si="9"/>
        <v>5712100</v>
      </c>
      <c r="T69" s="5">
        <f t="shared" si="10"/>
        <v>-69</v>
      </c>
      <c r="U69" s="19">
        <f t="shared" si="11"/>
        <v>0.01175668768</v>
      </c>
      <c r="V69" s="5">
        <f t="shared" si="12"/>
        <v>4761</v>
      </c>
    </row>
    <row r="70">
      <c r="A70" s="2">
        <v>40640.0</v>
      </c>
      <c r="B70" s="5">
        <v>1412.0</v>
      </c>
      <c r="C70" s="5">
        <f t="shared" si="2"/>
        <v>3492</v>
      </c>
      <c r="D70" s="5">
        <f t="shared" si="3"/>
        <v>3514</v>
      </c>
      <c r="E70" s="5">
        <f t="shared" si="1"/>
        <v>5883</v>
      </c>
      <c r="L70" s="5">
        <f t="shared" si="4"/>
        <v>-2080</v>
      </c>
      <c r="M70" s="19">
        <f t="shared" si="5"/>
        <v>1.473087819</v>
      </c>
      <c r="N70" s="5">
        <f t="shared" si="6"/>
        <v>4326400</v>
      </c>
      <c r="P70" s="5">
        <f t="shared" si="7"/>
        <v>-2102</v>
      </c>
      <c r="Q70" s="19">
        <f t="shared" si="8"/>
        <v>1.488668555</v>
      </c>
      <c r="R70" s="5">
        <f t="shared" si="9"/>
        <v>4418404</v>
      </c>
      <c r="T70" s="5">
        <f t="shared" si="10"/>
        <v>-4471</v>
      </c>
      <c r="U70" s="19">
        <f t="shared" si="11"/>
        <v>3.166430595</v>
      </c>
      <c r="V70" s="5">
        <f t="shared" si="12"/>
        <v>19989841</v>
      </c>
    </row>
    <row r="71">
      <c r="A71" s="2">
        <v>40641.0</v>
      </c>
      <c r="B71" s="5">
        <v>162.0</v>
      </c>
      <c r="C71" s="5">
        <f t="shared" si="2"/>
        <v>3479</v>
      </c>
      <c r="D71" s="5">
        <f t="shared" si="3"/>
        <v>3483</v>
      </c>
      <c r="E71" s="5">
        <f t="shared" si="1"/>
        <v>2306</v>
      </c>
      <c r="L71" s="5">
        <f t="shared" si="4"/>
        <v>-3317</v>
      </c>
      <c r="M71" s="19">
        <f t="shared" si="5"/>
        <v>20.47530864</v>
      </c>
      <c r="N71" s="5">
        <f t="shared" si="6"/>
        <v>11002489</v>
      </c>
      <c r="P71" s="5">
        <f t="shared" si="7"/>
        <v>-3321</v>
      </c>
      <c r="Q71" s="19">
        <f t="shared" si="8"/>
        <v>20.5</v>
      </c>
      <c r="R71" s="5">
        <f t="shared" si="9"/>
        <v>11029041</v>
      </c>
      <c r="T71" s="5">
        <f t="shared" si="10"/>
        <v>-2144</v>
      </c>
      <c r="U71" s="19">
        <f t="shared" si="11"/>
        <v>13.2345679</v>
      </c>
      <c r="V71" s="5">
        <f t="shared" si="12"/>
        <v>4596736</v>
      </c>
    </row>
    <row r="72">
      <c r="A72" s="2">
        <v>40644.0</v>
      </c>
      <c r="B72" s="5">
        <v>2088.0</v>
      </c>
      <c r="C72" s="5">
        <f t="shared" si="2"/>
        <v>3461</v>
      </c>
      <c r="D72" s="5">
        <f t="shared" si="3"/>
        <v>3435</v>
      </c>
      <c r="E72" s="5">
        <f t="shared" si="1"/>
        <v>591</v>
      </c>
      <c r="L72" s="5">
        <f t="shared" si="4"/>
        <v>-1373</v>
      </c>
      <c r="M72" s="19">
        <f t="shared" si="5"/>
        <v>0.6575670498</v>
      </c>
      <c r="N72" s="5">
        <f t="shared" si="6"/>
        <v>1885129</v>
      </c>
      <c r="P72" s="5">
        <f t="shared" si="7"/>
        <v>-1347</v>
      </c>
      <c r="Q72" s="19">
        <f t="shared" si="8"/>
        <v>0.6451149425</v>
      </c>
      <c r="R72" s="5">
        <f t="shared" si="9"/>
        <v>1814409</v>
      </c>
      <c r="T72" s="5">
        <f t="shared" si="10"/>
        <v>1497</v>
      </c>
      <c r="U72" s="19">
        <f t="shared" si="11"/>
        <v>0.716954023</v>
      </c>
      <c r="V72" s="5">
        <f t="shared" si="12"/>
        <v>2241009</v>
      </c>
    </row>
    <row r="73">
      <c r="A73" s="2">
        <v>40645.0</v>
      </c>
      <c r="B73" s="5">
        <v>5864.0</v>
      </c>
      <c r="C73" s="5">
        <f t="shared" si="2"/>
        <v>3261</v>
      </c>
      <c r="D73" s="5">
        <f t="shared" si="3"/>
        <v>3416</v>
      </c>
      <c r="E73" s="5">
        <f t="shared" si="1"/>
        <v>1789</v>
      </c>
      <c r="L73" s="5">
        <f t="shared" si="4"/>
        <v>2603</v>
      </c>
      <c r="M73" s="19">
        <f t="shared" si="5"/>
        <v>0.4438949523</v>
      </c>
      <c r="N73" s="5">
        <f t="shared" si="6"/>
        <v>6775609</v>
      </c>
      <c r="P73" s="5">
        <f t="shared" si="7"/>
        <v>2448</v>
      </c>
      <c r="Q73" s="19">
        <f t="shared" si="8"/>
        <v>0.4174624829</v>
      </c>
      <c r="R73" s="5">
        <f t="shared" si="9"/>
        <v>5992704</v>
      </c>
      <c r="T73" s="5">
        <f t="shared" si="10"/>
        <v>4075</v>
      </c>
      <c r="U73" s="19">
        <f t="shared" si="11"/>
        <v>0.6949181446</v>
      </c>
      <c r="V73" s="5">
        <f t="shared" si="12"/>
        <v>16605625</v>
      </c>
    </row>
    <row r="74">
      <c r="A74" s="2">
        <v>40646.0</v>
      </c>
      <c r="B74" s="5">
        <v>6467.0</v>
      </c>
      <c r="C74" s="5">
        <f t="shared" si="2"/>
        <v>3079</v>
      </c>
      <c r="D74" s="5">
        <f t="shared" si="3"/>
        <v>3450</v>
      </c>
      <c r="E74" s="5">
        <f t="shared" si="1"/>
        <v>5049</v>
      </c>
      <c r="L74" s="5">
        <f t="shared" si="4"/>
        <v>3388</v>
      </c>
      <c r="M74" s="19">
        <f t="shared" si="5"/>
        <v>0.5238905211</v>
      </c>
      <c r="N74" s="5">
        <f t="shared" si="6"/>
        <v>11478544</v>
      </c>
      <c r="P74" s="5">
        <f t="shared" si="7"/>
        <v>3017</v>
      </c>
      <c r="Q74" s="19">
        <f t="shared" si="8"/>
        <v>0.4665223442</v>
      </c>
      <c r="R74" s="5">
        <f t="shared" si="9"/>
        <v>9102289</v>
      </c>
      <c r="T74" s="5">
        <f t="shared" si="10"/>
        <v>1418</v>
      </c>
      <c r="U74" s="19">
        <f t="shared" si="11"/>
        <v>0.2192670481</v>
      </c>
      <c r="V74" s="5">
        <f t="shared" si="12"/>
        <v>2010724</v>
      </c>
    </row>
    <row r="75">
      <c r="A75" s="2">
        <v>40647.0</v>
      </c>
      <c r="B75" s="5">
        <v>1307.0</v>
      </c>
      <c r="C75" s="5">
        <f t="shared" si="2"/>
        <v>3199</v>
      </c>
      <c r="D75" s="5">
        <f t="shared" si="3"/>
        <v>3492</v>
      </c>
      <c r="E75" s="5">
        <f t="shared" si="1"/>
        <v>6183</v>
      </c>
      <c r="L75" s="5">
        <f t="shared" si="4"/>
        <v>-1892</v>
      </c>
      <c r="M75" s="19">
        <f t="shared" si="5"/>
        <v>1.447589901</v>
      </c>
      <c r="N75" s="5">
        <f t="shared" si="6"/>
        <v>3579664</v>
      </c>
      <c r="P75" s="5">
        <f t="shared" si="7"/>
        <v>-2185</v>
      </c>
      <c r="Q75" s="19">
        <f t="shared" si="8"/>
        <v>1.671767406</v>
      </c>
      <c r="R75" s="5">
        <f t="shared" si="9"/>
        <v>4774225</v>
      </c>
      <c r="T75" s="5">
        <f t="shared" si="10"/>
        <v>-4876</v>
      </c>
      <c r="U75" s="19">
        <f t="shared" si="11"/>
        <v>3.730680949</v>
      </c>
      <c r="V75" s="5">
        <f t="shared" si="12"/>
        <v>23775376</v>
      </c>
    </row>
    <row r="76">
      <c r="A76" s="2">
        <v>40648.0</v>
      </c>
      <c r="B76" s="5">
        <v>240.0</v>
      </c>
      <c r="C76" s="5">
        <f t="shared" si="2"/>
        <v>3178</v>
      </c>
      <c r="D76" s="5">
        <f t="shared" si="3"/>
        <v>3462</v>
      </c>
      <c r="E76" s="5">
        <f t="shared" si="1"/>
        <v>2282</v>
      </c>
      <c r="L76" s="5">
        <f t="shared" si="4"/>
        <v>-2938</v>
      </c>
      <c r="M76" s="19">
        <f t="shared" si="5"/>
        <v>12.24166667</v>
      </c>
      <c r="N76" s="5">
        <f t="shared" si="6"/>
        <v>8631844</v>
      </c>
      <c r="P76" s="5">
        <f t="shared" si="7"/>
        <v>-3222</v>
      </c>
      <c r="Q76" s="19">
        <f t="shared" si="8"/>
        <v>13.425</v>
      </c>
      <c r="R76" s="5">
        <f t="shared" si="9"/>
        <v>10381284</v>
      </c>
      <c r="T76" s="5">
        <f t="shared" si="10"/>
        <v>-2042</v>
      </c>
      <c r="U76" s="19">
        <f t="shared" si="11"/>
        <v>8.508333333</v>
      </c>
      <c r="V76" s="5">
        <f t="shared" si="12"/>
        <v>4169764</v>
      </c>
    </row>
    <row r="77">
      <c r="A77" s="2">
        <v>40651.0</v>
      </c>
      <c r="B77" s="5">
        <v>2148.0</v>
      </c>
      <c r="C77" s="5">
        <f t="shared" si="2"/>
        <v>3193</v>
      </c>
      <c r="D77" s="5">
        <f t="shared" si="3"/>
        <v>3419</v>
      </c>
      <c r="E77" s="5">
        <f t="shared" si="1"/>
        <v>648</v>
      </c>
      <c r="L77" s="5">
        <f t="shared" si="4"/>
        <v>-1045</v>
      </c>
      <c r="M77" s="19">
        <f t="shared" si="5"/>
        <v>0.4864990689</v>
      </c>
      <c r="N77" s="5">
        <f t="shared" si="6"/>
        <v>1092025</v>
      </c>
      <c r="P77" s="5">
        <f t="shared" si="7"/>
        <v>-1271</v>
      </c>
      <c r="Q77" s="19">
        <f t="shared" si="8"/>
        <v>0.5917132216</v>
      </c>
      <c r="R77" s="5">
        <f t="shared" si="9"/>
        <v>1615441</v>
      </c>
      <c r="T77" s="5">
        <f t="shared" si="10"/>
        <v>1500</v>
      </c>
      <c r="U77" s="19">
        <f t="shared" si="11"/>
        <v>0.6983240223</v>
      </c>
      <c r="V77" s="5">
        <f t="shared" si="12"/>
        <v>2250000</v>
      </c>
    </row>
    <row r="78">
      <c r="A78" s="2">
        <v>40652.0</v>
      </c>
      <c r="B78" s="5">
        <v>5424.0</v>
      </c>
      <c r="C78" s="5">
        <f t="shared" si="2"/>
        <v>3205</v>
      </c>
      <c r="D78" s="5">
        <f t="shared" si="3"/>
        <v>3402</v>
      </c>
      <c r="E78" s="5">
        <f t="shared" si="1"/>
        <v>1848</v>
      </c>
      <c r="L78" s="5">
        <f t="shared" si="4"/>
        <v>2219</v>
      </c>
      <c r="M78" s="19">
        <f t="shared" si="5"/>
        <v>0.4091076696</v>
      </c>
      <c r="N78" s="5">
        <f t="shared" si="6"/>
        <v>4923961</v>
      </c>
      <c r="P78" s="5">
        <f t="shared" si="7"/>
        <v>2022</v>
      </c>
      <c r="Q78" s="19">
        <f t="shared" si="8"/>
        <v>0.3727876106</v>
      </c>
      <c r="R78" s="5">
        <f t="shared" si="9"/>
        <v>4088484</v>
      </c>
      <c r="T78" s="5">
        <f t="shared" si="10"/>
        <v>3576</v>
      </c>
      <c r="U78" s="19">
        <f t="shared" si="11"/>
        <v>0.6592920354</v>
      </c>
      <c r="V78" s="5">
        <f t="shared" si="12"/>
        <v>12787776</v>
      </c>
    </row>
    <row r="79">
      <c r="A79" s="2">
        <v>40653.0</v>
      </c>
      <c r="B79" s="5">
        <v>5664.0</v>
      </c>
      <c r="C79" s="5">
        <f t="shared" si="2"/>
        <v>3117</v>
      </c>
      <c r="D79" s="5">
        <f t="shared" si="3"/>
        <v>3428</v>
      </c>
      <c r="E79" s="5">
        <f t="shared" si="1"/>
        <v>4709</v>
      </c>
      <c r="L79" s="5">
        <f t="shared" si="4"/>
        <v>2547</v>
      </c>
      <c r="M79" s="19">
        <f t="shared" si="5"/>
        <v>0.4496822034</v>
      </c>
      <c r="N79" s="5">
        <f t="shared" si="6"/>
        <v>6487209</v>
      </c>
      <c r="P79" s="5">
        <f t="shared" si="7"/>
        <v>2236</v>
      </c>
      <c r="Q79" s="19">
        <f t="shared" si="8"/>
        <v>0.3947740113</v>
      </c>
      <c r="R79" s="5">
        <f t="shared" si="9"/>
        <v>4999696</v>
      </c>
      <c r="T79" s="5">
        <f t="shared" si="10"/>
        <v>955</v>
      </c>
      <c r="U79" s="19">
        <f t="shared" si="11"/>
        <v>0.1686087571</v>
      </c>
      <c r="V79" s="5">
        <f t="shared" si="12"/>
        <v>912025</v>
      </c>
    </row>
    <row r="80">
      <c r="A80" s="2">
        <v>40654.0</v>
      </c>
      <c r="B80" s="5">
        <v>1096.0</v>
      </c>
      <c r="C80" s="5">
        <f t="shared" si="2"/>
        <v>2957</v>
      </c>
      <c r="D80" s="5">
        <f t="shared" si="3"/>
        <v>3457</v>
      </c>
      <c r="E80" s="5">
        <f t="shared" si="1"/>
        <v>5473</v>
      </c>
      <c r="L80" s="5">
        <f t="shared" si="4"/>
        <v>-1861</v>
      </c>
      <c r="M80" s="19">
        <f t="shared" si="5"/>
        <v>1.697992701</v>
      </c>
      <c r="N80" s="5">
        <f t="shared" si="6"/>
        <v>3463321</v>
      </c>
      <c r="P80" s="5">
        <f t="shared" si="7"/>
        <v>-2361</v>
      </c>
      <c r="Q80" s="19">
        <f t="shared" si="8"/>
        <v>2.15419708</v>
      </c>
      <c r="R80" s="5">
        <f t="shared" si="9"/>
        <v>5574321</v>
      </c>
      <c r="T80" s="5">
        <f t="shared" si="10"/>
        <v>-4377</v>
      </c>
      <c r="U80" s="19">
        <f t="shared" si="11"/>
        <v>3.993613139</v>
      </c>
      <c r="V80" s="5">
        <f t="shared" si="12"/>
        <v>19158129</v>
      </c>
    </row>
    <row r="81">
      <c r="A81" s="2">
        <v>40655.0</v>
      </c>
      <c r="B81" s="5">
        <v>276.0</v>
      </c>
      <c r="C81" s="5">
        <f t="shared" si="2"/>
        <v>2914</v>
      </c>
      <c r="D81" s="5">
        <f t="shared" si="3"/>
        <v>3427</v>
      </c>
      <c r="E81" s="5">
        <f t="shared" si="1"/>
        <v>1971</v>
      </c>
      <c r="L81" s="5">
        <f t="shared" si="4"/>
        <v>-2638</v>
      </c>
      <c r="M81" s="19">
        <f t="shared" si="5"/>
        <v>9.557971014</v>
      </c>
      <c r="N81" s="5">
        <f t="shared" si="6"/>
        <v>6959044</v>
      </c>
      <c r="P81" s="5">
        <f t="shared" si="7"/>
        <v>-3151</v>
      </c>
      <c r="Q81" s="19">
        <f t="shared" si="8"/>
        <v>11.41666667</v>
      </c>
      <c r="R81" s="5">
        <f t="shared" si="9"/>
        <v>9928801</v>
      </c>
      <c r="T81" s="5">
        <f t="shared" si="10"/>
        <v>-1695</v>
      </c>
      <c r="U81" s="19">
        <f t="shared" si="11"/>
        <v>6.141304348</v>
      </c>
      <c r="V81" s="5">
        <f t="shared" si="12"/>
        <v>2873025</v>
      </c>
    </row>
    <row r="82">
      <c r="A82" s="2">
        <v>40658.0</v>
      </c>
      <c r="B82" s="5">
        <v>1824.0</v>
      </c>
      <c r="C82" s="5">
        <f t="shared" si="2"/>
        <v>2922</v>
      </c>
      <c r="D82" s="5">
        <f t="shared" si="3"/>
        <v>3387</v>
      </c>
      <c r="E82" s="5">
        <f t="shared" si="1"/>
        <v>615</v>
      </c>
      <c r="L82" s="5">
        <f t="shared" si="4"/>
        <v>-1098</v>
      </c>
      <c r="M82" s="19">
        <f t="shared" si="5"/>
        <v>0.6019736842</v>
      </c>
      <c r="N82" s="5">
        <f t="shared" si="6"/>
        <v>1205604</v>
      </c>
      <c r="P82" s="5">
        <f t="shared" si="7"/>
        <v>-1563</v>
      </c>
      <c r="Q82" s="19">
        <f t="shared" si="8"/>
        <v>0.8569078947</v>
      </c>
      <c r="R82" s="5">
        <f t="shared" si="9"/>
        <v>2442969</v>
      </c>
      <c r="T82" s="5">
        <f t="shared" si="10"/>
        <v>1209</v>
      </c>
      <c r="U82" s="19">
        <f t="shared" si="11"/>
        <v>0.6628289474</v>
      </c>
      <c r="V82" s="5">
        <f t="shared" si="12"/>
        <v>1461681</v>
      </c>
    </row>
    <row r="83">
      <c r="A83" s="2">
        <v>40659.0</v>
      </c>
      <c r="B83" s="5">
        <v>4150.0</v>
      </c>
      <c r="C83" s="5">
        <f t="shared" si="2"/>
        <v>2857</v>
      </c>
      <c r="D83" s="5">
        <f t="shared" si="3"/>
        <v>3368</v>
      </c>
      <c r="E83" s="5">
        <f t="shared" si="1"/>
        <v>1582</v>
      </c>
      <c r="L83" s="5">
        <f t="shared" si="4"/>
        <v>1293</v>
      </c>
      <c r="M83" s="19">
        <f t="shared" si="5"/>
        <v>0.3115662651</v>
      </c>
      <c r="N83" s="5">
        <f t="shared" si="6"/>
        <v>1671849</v>
      </c>
      <c r="P83" s="5">
        <f t="shared" si="7"/>
        <v>782</v>
      </c>
      <c r="Q83" s="19">
        <f t="shared" si="8"/>
        <v>0.1884337349</v>
      </c>
      <c r="R83" s="5">
        <f t="shared" si="9"/>
        <v>611524</v>
      </c>
      <c r="T83" s="5">
        <f t="shared" si="10"/>
        <v>2568</v>
      </c>
      <c r="U83" s="19">
        <f t="shared" si="11"/>
        <v>0.6187951807</v>
      </c>
      <c r="V83" s="5">
        <f t="shared" si="12"/>
        <v>6594624</v>
      </c>
    </row>
    <row r="84">
      <c r="A84" s="2">
        <v>40660.0</v>
      </c>
      <c r="B84" s="5">
        <v>5379.0</v>
      </c>
      <c r="C84" s="5">
        <f t="shared" si="2"/>
        <v>2602</v>
      </c>
      <c r="D84" s="5">
        <f t="shared" si="3"/>
        <v>3377</v>
      </c>
      <c r="E84" s="5">
        <f t="shared" si="1"/>
        <v>3636</v>
      </c>
      <c r="L84" s="5">
        <f t="shared" si="4"/>
        <v>2777</v>
      </c>
      <c r="M84" s="19">
        <f t="shared" si="5"/>
        <v>0.5162669641</v>
      </c>
      <c r="N84" s="5">
        <f t="shared" si="6"/>
        <v>7711729</v>
      </c>
      <c r="P84" s="5">
        <f t="shared" si="7"/>
        <v>2002</v>
      </c>
      <c r="Q84" s="19">
        <f t="shared" si="8"/>
        <v>0.3721881391</v>
      </c>
      <c r="R84" s="5">
        <f t="shared" si="9"/>
        <v>4008004</v>
      </c>
      <c r="T84" s="5">
        <f t="shared" si="10"/>
        <v>1743</v>
      </c>
      <c r="U84" s="19">
        <f t="shared" si="11"/>
        <v>0.3240379253</v>
      </c>
      <c r="V84" s="5">
        <f t="shared" si="12"/>
        <v>3038049</v>
      </c>
    </row>
    <row r="85">
      <c r="A85" s="2">
        <v>40661.0</v>
      </c>
      <c r="B85" s="5">
        <v>1579.0</v>
      </c>
      <c r="C85" s="5">
        <f t="shared" si="2"/>
        <v>2545</v>
      </c>
      <c r="D85" s="5">
        <f t="shared" si="3"/>
        <v>3402</v>
      </c>
      <c r="E85" s="5">
        <f t="shared" si="1"/>
        <v>5030</v>
      </c>
      <c r="L85" s="5">
        <f t="shared" si="4"/>
        <v>-966</v>
      </c>
      <c r="M85" s="19">
        <f t="shared" si="5"/>
        <v>0.6117796073</v>
      </c>
      <c r="N85" s="5">
        <f t="shared" si="6"/>
        <v>933156</v>
      </c>
      <c r="P85" s="5">
        <f t="shared" si="7"/>
        <v>-1823</v>
      </c>
      <c r="Q85" s="19">
        <f t="shared" si="8"/>
        <v>1.154528182</v>
      </c>
      <c r="R85" s="5">
        <f t="shared" si="9"/>
        <v>3323329</v>
      </c>
      <c r="T85" s="5">
        <f t="shared" si="10"/>
        <v>-3451</v>
      </c>
      <c r="U85" s="19">
        <f t="shared" si="11"/>
        <v>2.185560481</v>
      </c>
      <c r="V85" s="5">
        <f t="shared" si="12"/>
        <v>11909401</v>
      </c>
    </row>
    <row r="86">
      <c r="A86" s="2">
        <v>40662.0</v>
      </c>
      <c r="B86" s="5">
        <v>275.0</v>
      </c>
      <c r="C86" s="5">
        <f t="shared" si="2"/>
        <v>2642</v>
      </c>
      <c r="D86" s="5">
        <f t="shared" si="3"/>
        <v>3380</v>
      </c>
      <c r="E86" s="5">
        <f t="shared" si="1"/>
        <v>2269</v>
      </c>
      <c r="L86" s="5">
        <f t="shared" si="4"/>
        <v>-2367</v>
      </c>
      <c r="M86" s="19">
        <f t="shared" si="5"/>
        <v>8.607272727</v>
      </c>
      <c r="N86" s="5">
        <f t="shared" si="6"/>
        <v>5602689</v>
      </c>
      <c r="P86" s="5">
        <f t="shared" si="7"/>
        <v>-3105</v>
      </c>
      <c r="Q86" s="19">
        <f t="shared" si="8"/>
        <v>11.29090909</v>
      </c>
      <c r="R86" s="5">
        <f t="shared" si="9"/>
        <v>9641025</v>
      </c>
      <c r="T86" s="5">
        <f t="shared" si="10"/>
        <v>-1994</v>
      </c>
      <c r="U86" s="19">
        <f t="shared" si="11"/>
        <v>7.250909091</v>
      </c>
      <c r="V86" s="5">
        <f t="shared" si="12"/>
        <v>3976036</v>
      </c>
    </row>
    <row r="87">
      <c r="A87" s="4">
        <v>40665.0</v>
      </c>
      <c r="B87" s="5">
        <v>1258.0</v>
      </c>
      <c r="C87" s="5">
        <f t="shared" si="2"/>
        <v>2641</v>
      </c>
      <c r="D87" s="5">
        <f t="shared" si="3"/>
        <v>3343</v>
      </c>
      <c r="E87" s="5">
        <f t="shared" si="1"/>
        <v>674</v>
      </c>
      <c r="L87" s="5">
        <f t="shared" si="4"/>
        <v>-1383</v>
      </c>
      <c r="M87" s="19">
        <f t="shared" si="5"/>
        <v>1.09936407</v>
      </c>
      <c r="N87" s="5">
        <f t="shared" si="6"/>
        <v>1912689</v>
      </c>
      <c r="P87" s="5">
        <f t="shared" si="7"/>
        <v>-2085</v>
      </c>
      <c r="Q87" s="19">
        <f t="shared" si="8"/>
        <v>1.657392687</v>
      </c>
      <c r="R87" s="5">
        <f t="shared" si="9"/>
        <v>4347225</v>
      </c>
      <c r="T87" s="5">
        <f t="shared" si="10"/>
        <v>584</v>
      </c>
      <c r="U87" s="19">
        <f t="shared" si="11"/>
        <v>0.4642289348</v>
      </c>
      <c r="V87" s="5">
        <f t="shared" si="12"/>
        <v>341056</v>
      </c>
    </row>
    <row r="88">
      <c r="A88" s="4">
        <v>40666.0</v>
      </c>
      <c r="B88" s="5">
        <v>8602.0</v>
      </c>
      <c r="C88" s="5">
        <f t="shared" si="2"/>
        <v>2528</v>
      </c>
      <c r="D88" s="5">
        <f t="shared" si="3"/>
        <v>3318</v>
      </c>
      <c r="E88" s="5">
        <f t="shared" si="1"/>
        <v>1141</v>
      </c>
      <c r="L88" s="5">
        <f t="shared" si="4"/>
        <v>6074</v>
      </c>
      <c r="M88" s="19">
        <f t="shared" si="5"/>
        <v>0.706114857</v>
      </c>
      <c r="N88" s="5">
        <f t="shared" si="6"/>
        <v>36893476</v>
      </c>
      <c r="P88" s="5">
        <f t="shared" si="7"/>
        <v>5284</v>
      </c>
      <c r="Q88" s="19">
        <f t="shared" si="8"/>
        <v>0.6142757498</v>
      </c>
      <c r="R88" s="5">
        <f t="shared" si="9"/>
        <v>27920656</v>
      </c>
      <c r="T88" s="5">
        <f t="shared" si="10"/>
        <v>7461</v>
      </c>
      <c r="U88" s="19">
        <f t="shared" si="11"/>
        <v>0.8673564287</v>
      </c>
      <c r="V88" s="5">
        <f t="shared" si="12"/>
        <v>55666521</v>
      </c>
    </row>
    <row r="89">
      <c r="A89" s="4">
        <v>40667.0</v>
      </c>
      <c r="B89" s="5">
        <v>3760.0</v>
      </c>
      <c r="C89" s="5">
        <f t="shared" si="2"/>
        <v>3419</v>
      </c>
      <c r="D89" s="5">
        <f t="shared" si="3"/>
        <v>3380</v>
      </c>
      <c r="E89" s="5">
        <f t="shared" si="1"/>
        <v>7110</v>
      </c>
      <c r="L89" s="5">
        <f t="shared" si="4"/>
        <v>341</v>
      </c>
      <c r="M89" s="19">
        <f t="shared" si="5"/>
        <v>0.09069148936</v>
      </c>
      <c r="N89" s="5">
        <f t="shared" si="6"/>
        <v>116281</v>
      </c>
      <c r="P89" s="5">
        <f t="shared" si="7"/>
        <v>380</v>
      </c>
      <c r="Q89" s="19">
        <f t="shared" si="8"/>
        <v>0.1010638298</v>
      </c>
      <c r="R89" s="5">
        <f t="shared" si="9"/>
        <v>144400</v>
      </c>
      <c r="T89" s="5">
        <f t="shared" si="10"/>
        <v>-3350</v>
      </c>
      <c r="U89" s="19">
        <f t="shared" si="11"/>
        <v>0.8909574468</v>
      </c>
      <c r="V89" s="5">
        <f t="shared" si="12"/>
        <v>11222500</v>
      </c>
    </row>
    <row r="90">
      <c r="A90" s="4">
        <v>40668.0</v>
      </c>
      <c r="B90" s="5">
        <v>1266.0</v>
      </c>
      <c r="C90" s="5">
        <f t="shared" si="2"/>
        <v>3095</v>
      </c>
      <c r="D90" s="5">
        <f t="shared" si="3"/>
        <v>3384</v>
      </c>
      <c r="E90" s="5">
        <f t="shared" si="1"/>
        <v>4430</v>
      </c>
      <c r="L90" s="5">
        <f t="shared" si="4"/>
        <v>-1829</v>
      </c>
      <c r="M90" s="19">
        <f t="shared" si="5"/>
        <v>1.444707741</v>
      </c>
      <c r="N90" s="5">
        <f t="shared" si="6"/>
        <v>3345241</v>
      </c>
      <c r="P90" s="5">
        <f t="shared" si="7"/>
        <v>-2118</v>
      </c>
      <c r="Q90" s="19">
        <f t="shared" si="8"/>
        <v>1.672985782</v>
      </c>
      <c r="R90" s="5">
        <f t="shared" si="9"/>
        <v>4485924</v>
      </c>
      <c r="T90" s="5">
        <f t="shared" si="10"/>
        <v>-3164</v>
      </c>
      <c r="U90" s="19">
        <f t="shared" si="11"/>
        <v>2.499210111</v>
      </c>
      <c r="V90" s="5">
        <f t="shared" si="12"/>
        <v>10010896</v>
      </c>
    </row>
    <row r="91">
      <c r="A91" s="4">
        <v>40669.0</v>
      </c>
      <c r="B91" s="5">
        <v>370.0</v>
      </c>
      <c r="C91" s="5">
        <f t="shared" si="2"/>
        <v>3032</v>
      </c>
      <c r="D91" s="5">
        <f t="shared" si="3"/>
        <v>3360</v>
      </c>
      <c r="E91" s="5">
        <f t="shared" si="1"/>
        <v>1899</v>
      </c>
      <c r="L91" s="5">
        <f t="shared" si="4"/>
        <v>-2662</v>
      </c>
      <c r="M91" s="19">
        <f t="shared" si="5"/>
        <v>7.194594595</v>
      </c>
      <c r="N91" s="5">
        <f t="shared" si="6"/>
        <v>7086244</v>
      </c>
      <c r="P91" s="5">
        <f t="shared" si="7"/>
        <v>-2990</v>
      </c>
      <c r="Q91" s="19">
        <f t="shared" si="8"/>
        <v>8.081081081</v>
      </c>
      <c r="R91" s="5">
        <f t="shared" si="9"/>
        <v>8940100</v>
      </c>
      <c r="T91" s="5">
        <f t="shared" si="10"/>
        <v>-1529</v>
      </c>
      <c r="U91" s="19">
        <f t="shared" si="11"/>
        <v>4.132432432</v>
      </c>
      <c r="V91" s="5">
        <f t="shared" si="12"/>
        <v>2337841</v>
      </c>
    </row>
    <row r="92">
      <c r="A92" s="4">
        <v>40672.0</v>
      </c>
      <c r="B92" s="5">
        <v>2346.0</v>
      </c>
      <c r="C92" s="5">
        <f t="shared" si="2"/>
        <v>3051</v>
      </c>
      <c r="D92" s="5">
        <f t="shared" si="3"/>
        <v>3327</v>
      </c>
      <c r="E92" s="5">
        <f t="shared" si="1"/>
        <v>676</v>
      </c>
      <c r="L92" s="5">
        <f t="shared" si="4"/>
        <v>-705</v>
      </c>
      <c r="M92" s="19">
        <f t="shared" si="5"/>
        <v>0.300511509</v>
      </c>
      <c r="N92" s="5">
        <f t="shared" si="6"/>
        <v>497025</v>
      </c>
      <c r="P92" s="5">
        <f t="shared" si="7"/>
        <v>-981</v>
      </c>
      <c r="Q92" s="19">
        <f t="shared" si="8"/>
        <v>0.4181585678</v>
      </c>
      <c r="R92" s="5">
        <f t="shared" si="9"/>
        <v>962361</v>
      </c>
      <c r="T92" s="5">
        <f t="shared" si="10"/>
        <v>1670</v>
      </c>
      <c r="U92" s="19">
        <f t="shared" si="11"/>
        <v>0.7118499574</v>
      </c>
      <c r="V92" s="5">
        <f t="shared" si="12"/>
        <v>2788900</v>
      </c>
    </row>
    <row r="93">
      <c r="A93" s="4">
        <v>40673.0</v>
      </c>
      <c r="B93" s="5">
        <v>5819.0</v>
      </c>
      <c r="C93" s="5">
        <f t="shared" si="2"/>
        <v>3269</v>
      </c>
      <c r="D93" s="5">
        <f t="shared" si="3"/>
        <v>3316</v>
      </c>
      <c r="E93" s="5">
        <f t="shared" si="1"/>
        <v>2012</v>
      </c>
      <c r="L93" s="5">
        <f t="shared" si="4"/>
        <v>2550</v>
      </c>
      <c r="M93" s="19">
        <f t="shared" si="5"/>
        <v>0.4382196254</v>
      </c>
      <c r="N93" s="5">
        <f t="shared" si="6"/>
        <v>6502500</v>
      </c>
      <c r="P93" s="5">
        <f t="shared" si="7"/>
        <v>2503</v>
      </c>
      <c r="Q93" s="19">
        <f t="shared" si="8"/>
        <v>0.4301426362</v>
      </c>
      <c r="R93" s="5">
        <f t="shared" si="9"/>
        <v>6265009</v>
      </c>
      <c r="T93" s="5">
        <f t="shared" si="10"/>
        <v>3807</v>
      </c>
      <c r="U93" s="19">
        <f t="shared" si="11"/>
        <v>0.654236123</v>
      </c>
      <c r="V93" s="5">
        <f t="shared" si="12"/>
        <v>14493249</v>
      </c>
    </row>
    <row r="94">
      <c r="A94" s="4">
        <v>40674.0</v>
      </c>
      <c r="B94" s="5">
        <v>6369.0</v>
      </c>
      <c r="C94" s="5">
        <f t="shared" si="2"/>
        <v>2712</v>
      </c>
      <c r="D94" s="5">
        <f t="shared" si="3"/>
        <v>3343</v>
      </c>
      <c r="E94" s="5">
        <f t="shared" si="1"/>
        <v>5058</v>
      </c>
      <c r="L94" s="5">
        <f t="shared" si="4"/>
        <v>3657</v>
      </c>
      <c r="M94" s="19">
        <f t="shared" si="5"/>
        <v>0.5741874706</v>
      </c>
      <c r="N94" s="5">
        <f t="shared" si="6"/>
        <v>13373649</v>
      </c>
      <c r="P94" s="5">
        <f t="shared" si="7"/>
        <v>3026</v>
      </c>
      <c r="Q94" s="19">
        <f t="shared" si="8"/>
        <v>0.4751138326</v>
      </c>
      <c r="R94" s="5">
        <f t="shared" si="9"/>
        <v>9156676</v>
      </c>
      <c r="T94" s="5">
        <f t="shared" si="10"/>
        <v>1311</v>
      </c>
      <c r="U94" s="19">
        <f t="shared" si="11"/>
        <v>0.2058407913</v>
      </c>
      <c r="V94" s="5">
        <f t="shared" si="12"/>
        <v>1718721</v>
      </c>
    </row>
    <row r="95">
      <c r="A95" s="4">
        <v>40675.0</v>
      </c>
      <c r="B95" s="5">
        <v>1066.0</v>
      </c>
      <c r="C95" s="5">
        <f t="shared" si="2"/>
        <v>3234</v>
      </c>
      <c r="D95" s="5">
        <f t="shared" si="3"/>
        <v>3376</v>
      </c>
      <c r="E95" s="5">
        <f t="shared" si="1"/>
        <v>6107</v>
      </c>
      <c r="L95" s="5">
        <f t="shared" si="4"/>
        <v>-2168</v>
      </c>
      <c r="M95" s="19">
        <f t="shared" si="5"/>
        <v>2.033771107</v>
      </c>
      <c r="N95" s="5">
        <f t="shared" si="6"/>
        <v>4700224</v>
      </c>
      <c r="P95" s="5">
        <f t="shared" si="7"/>
        <v>-2310</v>
      </c>
      <c r="Q95" s="19">
        <f t="shared" si="8"/>
        <v>2.166979362</v>
      </c>
      <c r="R95" s="5">
        <f t="shared" si="9"/>
        <v>5336100</v>
      </c>
      <c r="T95" s="5">
        <f t="shared" si="10"/>
        <v>-5041</v>
      </c>
      <c r="U95" s="19">
        <f t="shared" si="11"/>
        <v>4.728893058</v>
      </c>
      <c r="V95" s="5">
        <f t="shared" si="12"/>
        <v>25411681</v>
      </c>
    </row>
    <row r="96">
      <c r="A96" s="4">
        <v>40676.0</v>
      </c>
      <c r="B96" s="5">
        <v>250.0</v>
      </c>
      <c r="C96" s="5">
        <f t="shared" si="2"/>
        <v>3194</v>
      </c>
      <c r="D96" s="5">
        <f t="shared" si="3"/>
        <v>3351</v>
      </c>
      <c r="E96" s="5">
        <f t="shared" si="1"/>
        <v>2074</v>
      </c>
      <c r="L96" s="5">
        <f t="shared" si="4"/>
        <v>-2944</v>
      </c>
      <c r="M96" s="19">
        <f t="shared" si="5"/>
        <v>11.776</v>
      </c>
      <c r="N96" s="5">
        <f t="shared" si="6"/>
        <v>8667136</v>
      </c>
      <c r="P96" s="5">
        <f t="shared" si="7"/>
        <v>-3101</v>
      </c>
      <c r="Q96" s="19">
        <f t="shared" si="8"/>
        <v>12.404</v>
      </c>
      <c r="R96" s="5">
        <f t="shared" si="9"/>
        <v>9616201</v>
      </c>
      <c r="T96" s="5">
        <f t="shared" si="10"/>
        <v>-1824</v>
      </c>
      <c r="U96" s="19">
        <f t="shared" si="11"/>
        <v>7.296</v>
      </c>
      <c r="V96" s="5">
        <f t="shared" si="12"/>
        <v>3326976</v>
      </c>
    </row>
    <row r="97">
      <c r="A97" s="4">
        <v>40679.0</v>
      </c>
      <c r="B97" s="5">
        <v>2188.0</v>
      </c>
      <c r="C97" s="5">
        <f t="shared" si="2"/>
        <v>3170</v>
      </c>
      <c r="D97" s="5">
        <f t="shared" si="3"/>
        <v>3318</v>
      </c>
      <c r="E97" s="5">
        <f t="shared" si="1"/>
        <v>615</v>
      </c>
      <c r="L97" s="5">
        <f t="shared" si="4"/>
        <v>-982</v>
      </c>
      <c r="M97" s="19">
        <f t="shared" si="5"/>
        <v>0.4488117002</v>
      </c>
      <c r="N97" s="5">
        <f t="shared" si="6"/>
        <v>964324</v>
      </c>
      <c r="P97" s="5">
        <f t="shared" si="7"/>
        <v>-1130</v>
      </c>
      <c r="Q97" s="19">
        <f t="shared" si="8"/>
        <v>0.5164533821</v>
      </c>
      <c r="R97" s="5">
        <f t="shared" si="9"/>
        <v>1276900</v>
      </c>
      <c r="T97" s="5">
        <f t="shared" si="10"/>
        <v>1573</v>
      </c>
      <c r="U97" s="19">
        <f t="shared" si="11"/>
        <v>0.7189213894</v>
      </c>
      <c r="V97" s="5">
        <f t="shared" si="12"/>
        <v>2474329</v>
      </c>
    </row>
    <row r="98">
      <c r="A98" s="4">
        <v>40680.0</v>
      </c>
      <c r="B98" s="5">
        <v>7649.0</v>
      </c>
      <c r="C98" s="5">
        <f t="shared" si="2"/>
        <v>3138</v>
      </c>
      <c r="D98" s="5">
        <f t="shared" si="3"/>
        <v>3306</v>
      </c>
      <c r="E98" s="5">
        <f t="shared" si="1"/>
        <v>1873</v>
      </c>
      <c r="L98" s="5">
        <f t="shared" si="4"/>
        <v>4511</v>
      </c>
      <c r="M98" s="19">
        <f t="shared" si="5"/>
        <v>0.5897502942</v>
      </c>
      <c r="N98" s="5">
        <f t="shared" si="6"/>
        <v>20349121</v>
      </c>
      <c r="P98" s="5">
        <f t="shared" si="7"/>
        <v>4343</v>
      </c>
      <c r="Q98" s="19">
        <f t="shared" si="8"/>
        <v>0.5677866388</v>
      </c>
      <c r="R98" s="5">
        <f t="shared" si="9"/>
        <v>18861649</v>
      </c>
      <c r="T98" s="5">
        <f t="shared" si="10"/>
        <v>5776</v>
      </c>
      <c r="U98" s="19">
        <f t="shared" si="11"/>
        <v>0.7551313897</v>
      </c>
      <c r="V98" s="5">
        <f t="shared" si="12"/>
        <v>33362176</v>
      </c>
    </row>
    <row r="99">
      <c r="A99" s="4">
        <v>40681.0</v>
      </c>
      <c r="B99" s="5">
        <v>4255.0</v>
      </c>
      <c r="C99" s="5">
        <f t="shared" si="2"/>
        <v>3504</v>
      </c>
      <c r="D99" s="5">
        <f t="shared" si="3"/>
        <v>3352</v>
      </c>
      <c r="E99" s="5">
        <f t="shared" si="1"/>
        <v>6494</v>
      </c>
      <c r="L99" s="5">
        <f t="shared" si="4"/>
        <v>751</v>
      </c>
      <c r="M99" s="19">
        <f t="shared" si="5"/>
        <v>0.1764982374</v>
      </c>
      <c r="N99" s="5">
        <f t="shared" si="6"/>
        <v>564001</v>
      </c>
      <c r="P99" s="5">
        <f t="shared" si="7"/>
        <v>903</v>
      </c>
      <c r="Q99" s="19">
        <f t="shared" si="8"/>
        <v>0.2122209166</v>
      </c>
      <c r="R99" s="5">
        <f t="shared" si="9"/>
        <v>815409</v>
      </c>
      <c r="T99" s="5">
        <f t="shared" si="10"/>
        <v>-2239</v>
      </c>
      <c r="U99" s="19">
        <f t="shared" si="11"/>
        <v>0.5262044653</v>
      </c>
      <c r="V99" s="5">
        <f t="shared" si="12"/>
        <v>5013121</v>
      </c>
    </row>
    <row r="100">
      <c r="A100" s="4">
        <v>40682.0</v>
      </c>
      <c r="B100" s="5">
        <v>1276.0</v>
      </c>
      <c r="C100" s="5">
        <f t="shared" si="2"/>
        <v>3082</v>
      </c>
      <c r="D100" s="5">
        <f t="shared" si="3"/>
        <v>3361</v>
      </c>
      <c r="E100" s="5">
        <f t="shared" si="1"/>
        <v>4703</v>
      </c>
      <c r="L100" s="5">
        <f t="shared" si="4"/>
        <v>-1806</v>
      </c>
      <c r="M100" s="19">
        <f t="shared" si="5"/>
        <v>1.415360502</v>
      </c>
      <c r="N100" s="5">
        <f t="shared" si="6"/>
        <v>3261636</v>
      </c>
      <c r="P100" s="5">
        <f t="shared" si="7"/>
        <v>-2085</v>
      </c>
      <c r="Q100" s="19">
        <f t="shared" si="8"/>
        <v>1.634012539</v>
      </c>
      <c r="R100" s="5">
        <f t="shared" si="9"/>
        <v>4347225</v>
      </c>
      <c r="T100" s="5">
        <f t="shared" si="10"/>
        <v>-3427</v>
      </c>
      <c r="U100" s="19">
        <f t="shared" si="11"/>
        <v>2.685736677</v>
      </c>
      <c r="V100" s="5">
        <f t="shared" si="12"/>
        <v>11744329</v>
      </c>
    </row>
    <row r="101">
      <c r="A101" s="4">
        <v>40683.0</v>
      </c>
      <c r="B101" s="5">
        <v>186.0</v>
      </c>
      <c r="C101" s="5">
        <f t="shared" si="2"/>
        <v>3124</v>
      </c>
      <c r="D101" s="5">
        <f t="shared" si="3"/>
        <v>3340</v>
      </c>
      <c r="E101" s="5">
        <f t="shared" si="1"/>
        <v>1961</v>
      </c>
      <c r="L101" s="5">
        <f t="shared" si="4"/>
        <v>-2938</v>
      </c>
      <c r="M101" s="19">
        <f t="shared" si="5"/>
        <v>15.79569892</v>
      </c>
      <c r="N101" s="5">
        <f t="shared" si="6"/>
        <v>8631844</v>
      </c>
      <c r="P101" s="5">
        <f t="shared" si="7"/>
        <v>-3154</v>
      </c>
      <c r="Q101" s="19">
        <f t="shared" si="8"/>
        <v>16.95698925</v>
      </c>
      <c r="R101" s="5">
        <f t="shared" si="9"/>
        <v>9947716</v>
      </c>
      <c r="T101" s="5">
        <f t="shared" si="10"/>
        <v>-1775</v>
      </c>
      <c r="U101" s="19">
        <f t="shared" si="11"/>
        <v>9.543010753</v>
      </c>
      <c r="V101" s="5">
        <f t="shared" si="12"/>
        <v>3150625</v>
      </c>
    </row>
    <row r="102">
      <c r="A102" s="4">
        <v>40686.0</v>
      </c>
      <c r="B102" s="5">
        <v>2272.0</v>
      </c>
      <c r="C102" s="5">
        <f t="shared" si="2"/>
        <v>3111</v>
      </c>
      <c r="D102" s="5">
        <f t="shared" si="3"/>
        <v>3308</v>
      </c>
      <c r="E102" s="5">
        <f t="shared" si="1"/>
        <v>541</v>
      </c>
      <c r="L102" s="5">
        <f t="shared" si="4"/>
        <v>-839</v>
      </c>
      <c r="M102" s="19">
        <f t="shared" si="5"/>
        <v>0.369278169</v>
      </c>
      <c r="N102" s="5">
        <f t="shared" si="6"/>
        <v>703921</v>
      </c>
      <c r="P102" s="5">
        <f t="shared" si="7"/>
        <v>-1036</v>
      </c>
      <c r="Q102" s="19">
        <f t="shared" si="8"/>
        <v>0.4559859155</v>
      </c>
      <c r="R102" s="5">
        <f t="shared" si="9"/>
        <v>1073296</v>
      </c>
      <c r="T102" s="5">
        <f t="shared" si="10"/>
        <v>1731</v>
      </c>
      <c r="U102" s="19">
        <f t="shared" si="11"/>
        <v>0.7618838028</v>
      </c>
      <c r="V102" s="5">
        <f t="shared" si="12"/>
        <v>2996361</v>
      </c>
    </row>
    <row r="103">
      <c r="A103" s="4">
        <v>40687.0</v>
      </c>
      <c r="B103" s="5">
        <v>9426.0</v>
      </c>
      <c r="C103" s="5">
        <f t="shared" si="2"/>
        <v>3128</v>
      </c>
      <c r="D103" s="5">
        <f t="shared" si="3"/>
        <v>3297</v>
      </c>
      <c r="E103" s="5">
        <f t="shared" si="1"/>
        <v>1926</v>
      </c>
      <c r="L103" s="5">
        <f t="shared" si="4"/>
        <v>6298</v>
      </c>
      <c r="M103" s="19">
        <f t="shared" si="5"/>
        <v>0.6681519202</v>
      </c>
      <c r="N103" s="5">
        <f t="shared" si="6"/>
        <v>39664804</v>
      </c>
      <c r="P103" s="5">
        <f t="shared" si="7"/>
        <v>6129</v>
      </c>
      <c r="Q103" s="19">
        <f t="shared" si="8"/>
        <v>0.650222788</v>
      </c>
      <c r="R103" s="5">
        <f t="shared" si="9"/>
        <v>37564641</v>
      </c>
      <c r="T103" s="5">
        <f t="shared" si="10"/>
        <v>7500</v>
      </c>
      <c r="U103" s="19">
        <f t="shared" si="11"/>
        <v>0.7956715468</v>
      </c>
      <c r="V103" s="5">
        <f t="shared" si="12"/>
        <v>56250000</v>
      </c>
    </row>
    <row r="104">
      <c r="A104" s="4">
        <v>40688.0</v>
      </c>
      <c r="B104" s="5">
        <v>3963.0</v>
      </c>
      <c r="C104" s="5">
        <f t="shared" si="2"/>
        <v>3483</v>
      </c>
      <c r="D104" s="5">
        <f t="shared" si="3"/>
        <v>3358</v>
      </c>
      <c r="E104" s="5">
        <f t="shared" si="1"/>
        <v>7926</v>
      </c>
      <c r="L104" s="5">
        <f t="shared" si="4"/>
        <v>480</v>
      </c>
      <c r="M104" s="19">
        <f t="shared" si="5"/>
        <v>0.1211203634</v>
      </c>
      <c r="N104" s="5">
        <f t="shared" si="6"/>
        <v>230400</v>
      </c>
      <c r="P104" s="5">
        <f t="shared" si="7"/>
        <v>605</v>
      </c>
      <c r="Q104" s="19">
        <f t="shared" si="8"/>
        <v>0.1526621247</v>
      </c>
      <c r="R104" s="5">
        <f t="shared" si="9"/>
        <v>366025</v>
      </c>
      <c r="T104" s="5">
        <f t="shared" si="10"/>
        <v>-3963</v>
      </c>
      <c r="U104" s="19">
        <f t="shared" si="11"/>
        <v>1</v>
      </c>
      <c r="V104" s="5">
        <f t="shared" si="12"/>
        <v>15705369</v>
      </c>
    </row>
    <row r="105">
      <c r="A105" s="4">
        <v>40689.0</v>
      </c>
      <c r="B105" s="5">
        <v>2404.0</v>
      </c>
      <c r="C105" s="5">
        <f t="shared" si="2"/>
        <v>3425</v>
      </c>
      <c r="D105" s="5">
        <f t="shared" si="3"/>
        <v>3364</v>
      </c>
      <c r="E105" s="5">
        <f t="shared" si="1"/>
        <v>4756</v>
      </c>
      <c r="L105" s="5">
        <f t="shared" si="4"/>
        <v>-1021</v>
      </c>
      <c r="M105" s="19">
        <f t="shared" si="5"/>
        <v>0.4247088186</v>
      </c>
      <c r="N105" s="5">
        <f t="shared" si="6"/>
        <v>1042441</v>
      </c>
      <c r="P105" s="5">
        <f t="shared" si="7"/>
        <v>-960</v>
      </c>
      <c r="Q105" s="19">
        <f t="shared" si="8"/>
        <v>0.3993344426</v>
      </c>
      <c r="R105" s="5">
        <f t="shared" si="9"/>
        <v>921600</v>
      </c>
      <c r="T105" s="5">
        <f t="shared" si="10"/>
        <v>-2352</v>
      </c>
      <c r="U105" s="19">
        <f t="shared" si="11"/>
        <v>0.9783693844</v>
      </c>
      <c r="V105" s="5">
        <f t="shared" si="12"/>
        <v>5531904</v>
      </c>
    </row>
    <row r="106">
      <c r="A106" s="4">
        <v>40690.0</v>
      </c>
      <c r="B106" s="5">
        <v>1365.0</v>
      </c>
      <c r="C106" s="5">
        <f t="shared" si="2"/>
        <v>3650</v>
      </c>
      <c r="D106" s="5">
        <f t="shared" si="3"/>
        <v>3355</v>
      </c>
      <c r="E106" s="5">
        <f t="shared" si="1"/>
        <v>2874</v>
      </c>
      <c r="L106" s="5">
        <f t="shared" si="4"/>
        <v>-2285</v>
      </c>
      <c r="M106" s="19">
        <f t="shared" si="5"/>
        <v>1.673992674</v>
      </c>
      <c r="N106" s="5">
        <f t="shared" si="6"/>
        <v>5221225</v>
      </c>
      <c r="P106" s="5">
        <f t="shared" si="7"/>
        <v>-1990</v>
      </c>
      <c r="Q106" s="19">
        <f t="shared" si="8"/>
        <v>1.457875458</v>
      </c>
      <c r="R106" s="5">
        <f t="shared" si="9"/>
        <v>3960100</v>
      </c>
      <c r="T106" s="5">
        <f t="shared" si="10"/>
        <v>-1509</v>
      </c>
      <c r="U106" s="19">
        <f t="shared" si="11"/>
        <v>1.105494505</v>
      </c>
      <c r="V106" s="5">
        <f t="shared" si="12"/>
        <v>2277081</v>
      </c>
    </row>
    <row r="107">
      <c r="A107" s="4">
        <v>40694.0</v>
      </c>
      <c r="B107" s="5">
        <v>4000.0</v>
      </c>
      <c r="C107" s="5">
        <f t="shared" si="2"/>
        <v>3886</v>
      </c>
      <c r="D107" s="5">
        <f t="shared" si="3"/>
        <v>3336</v>
      </c>
      <c r="E107" s="5">
        <f t="shared" si="1"/>
        <v>1667</v>
      </c>
      <c r="L107" s="5">
        <f t="shared" si="4"/>
        <v>114</v>
      </c>
      <c r="M107" s="19">
        <f t="shared" si="5"/>
        <v>0.0285</v>
      </c>
      <c r="N107" s="5">
        <f t="shared" si="6"/>
        <v>12996</v>
      </c>
      <c r="P107" s="5">
        <f t="shared" si="7"/>
        <v>664</v>
      </c>
      <c r="Q107" s="19">
        <f t="shared" si="8"/>
        <v>0.166</v>
      </c>
      <c r="R107" s="5">
        <f t="shared" si="9"/>
        <v>440896</v>
      </c>
      <c r="T107" s="5">
        <f t="shared" si="10"/>
        <v>2333</v>
      </c>
      <c r="U107" s="19">
        <f t="shared" si="11"/>
        <v>0.58325</v>
      </c>
      <c r="V107" s="5">
        <f t="shared" si="12"/>
        <v>5442889</v>
      </c>
    </row>
    <row r="108">
      <c r="A108" s="2">
        <v>40695.0</v>
      </c>
      <c r="B108" s="5">
        <v>5886.0</v>
      </c>
      <c r="C108" s="5">
        <f t="shared" si="2"/>
        <v>4232</v>
      </c>
      <c r="D108" s="5">
        <f t="shared" si="3"/>
        <v>3342</v>
      </c>
      <c r="E108" s="5">
        <f t="shared" si="1"/>
        <v>3533</v>
      </c>
      <c r="L108" s="5">
        <f t="shared" si="4"/>
        <v>1654</v>
      </c>
      <c r="M108" s="19">
        <f t="shared" si="5"/>
        <v>0.2810057764</v>
      </c>
      <c r="N108" s="5">
        <f t="shared" si="6"/>
        <v>2735716</v>
      </c>
      <c r="P108" s="5">
        <f t="shared" si="7"/>
        <v>2544</v>
      </c>
      <c r="Q108" s="19">
        <f t="shared" si="8"/>
        <v>0.4322120285</v>
      </c>
      <c r="R108" s="5">
        <f t="shared" si="9"/>
        <v>6471936</v>
      </c>
      <c r="T108" s="5">
        <f t="shared" si="10"/>
        <v>2353</v>
      </c>
      <c r="U108" s="19">
        <f t="shared" si="11"/>
        <v>0.3997621475</v>
      </c>
      <c r="V108" s="5">
        <f t="shared" si="12"/>
        <v>5536609</v>
      </c>
    </row>
    <row r="109">
      <c r="A109" s="2">
        <v>40696.0</v>
      </c>
      <c r="B109" s="5">
        <v>596.0</v>
      </c>
      <c r="C109" s="5">
        <f t="shared" si="2"/>
        <v>3524</v>
      </c>
      <c r="D109" s="5">
        <f t="shared" si="3"/>
        <v>3366</v>
      </c>
      <c r="E109" s="5">
        <f t="shared" si="1"/>
        <v>5415</v>
      </c>
      <c r="L109" s="5">
        <f t="shared" si="4"/>
        <v>-2928</v>
      </c>
      <c r="M109" s="19">
        <f t="shared" si="5"/>
        <v>4.912751678</v>
      </c>
      <c r="N109" s="5">
        <f t="shared" si="6"/>
        <v>8573184</v>
      </c>
      <c r="P109" s="5">
        <f t="shared" si="7"/>
        <v>-2770</v>
      </c>
      <c r="Q109" s="19">
        <f t="shared" si="8"/>
        <v>4.647651007</v>
      </c>
      <c r="R109" s="5">
        <f t="shared" si="9"/>
        <v>7672900</v>
      </c>
      <c r="T109" s="5">
        <f t="shared" si="10"/>
        <v>-4819</v>
      </c>
      <c r="U109" s="19">
        <f t="shared" si="11"/>
        <v>8.08557047</v>
      </c>
      <c r="V109" s="5">
        <f t="shared" si="12"/>
        <v>23222761</v>
      </c>
    </row>
    <row r="110">
      <c r="A110" s="2">
        <v>40697.0</v>
      </c>
      <c r="B110" s="5">
        <v>306.0</v>
      </c>
      <c r="C110" s="5">
        <f t="shared" si="2"/>
        <v>2850</v>
      </c>
      <c r="D110" s="5">
        <f t="shared" si="3"/>
        <v>3340</v>
      </c>
      <c r="E110" s="5">
        <f t="shared" si="1"/>
        <v>1560</v>
      </c>
      <c r="L110" s="5">
        <f t="shared" si="4"/>
        <v>-2544</v>
      </c>
      <c r="M110" s="19">
        <f t="shared" si="5"/>
        <v>8.31372549</v>
      </c>
      <c r="N110" s="5">
        <f t="shared" si="6"/>
        <v>6471936</v>
      </c>
      <c r="P110" s="5">
        <f t="shared" si="7"/>
        <v>-3034</v>
      </c>
      <c r="Q110" s="19">
        <f t="shared" si="8"/>
        <v>9.91503268</v>
      </c>
      <c r="R110" s="5">
        <f t="shared" si="9"/>
        <v>9205156</v>
      </c>
      <c r="T110" s="5">
        <f t="shared" si="10"/>
        <v>-1254</v>
      </c>
      <c r="U110" s="19">
        <f t="shared" si="11"/>
        <v>4.098039216</v>
      </c>
      <c r="V110" s="5">
        <f t="shared" si="12"/>
        <v>1572516</v>
      </c>
    </row>
    <row r="111">
      <c r="A111" s="2">
        <v>40700.0</v>
      </c>
      <c r="B111" s="5">
        <v>622.0</v>
      </c>
      <c r="C111" s="5">
        <f t="shared" si="2"/>
        <v>2431</v>
      </c>
      <c r="D111" s="5">
        <f t="shared" si="3"/>
        <v>3312</v>
      </c>
      <c r="E111" s="5">
        <f t="shared" si="1"/>
        <v>557</v>
      </c>
      <c r="L111" s="5">
        <f t="shared" si="4"/>
        <v>-1809</v>
      </c>
      <c r="M111" s="19">
        <f t="shared" si="5"/>
        <v>2.908360129</v>
      </c>
      <c r="N111" s="5">
        <f t="shared" si="6"/>
        <v>3272481</v>
      </c>
      <c r="P111" s="5">
        <f t="shared" si="7"/>
        <v>-2690</v>
      </c>
      <c r="Q111" s="19">
        <f t="shared" si="8"/>
        <v>4.324758842</v>
      </c>
      <c r="R111" s="5">
        <f t="shared" si="9"/>
        <v>7236100</v>
      </c>
      <c r="T111" s="5">
        <f t="shared" si="10"/>
        <v>65</v>
      </c>
      <c r="U111" s="19">
        <f t="shared" si="11"/>
        <v>0.1045016077</v>
      </c>
      <c r="V111" s="5">
        <f t="shared" si="12"/>
        <v>4225</v>
      </c>
    </row>
    <row r="112">
      <c r="A112" s="2">
        <v>40701.0</v>
      </c>
      <c r="B112" s="5">
        <v>8484.0</v>
      </c>
      <c r="C112" s="5">
        <f t="shared" si="2"/>
        <v>2282</v>
      </c>
      <c r="D112" s="5">
        <f t="shared" si="3"/>
        <v>3287</v>
      </c>
      <c r="E112" s="5">
        <f t="shared" si="1"/>
        <v>609</v>
      </c>
      <c r="L112" s="5">
        <f t="shared" si="4"/>
        <v>6202</v>
      </c>
      <c r="M112" s="19">
        <f t="shared" si="5"/>
        <v>0.7310231023</v>
      </c>
      <c r="N112" s="5">
        <f t="shared" si="6"/>
        <v>38464804</v>
      </c>
      <c r="P112" s="5">
        <f t="shared" si="7"/>
        <v>5197</v>
      </c>
      <c r="Q112" s="19">
        <f t="shared" si="8"/>
        <v>0.6125648279</v>
      </c>
      <c r="R112" s="5">
        <f t="shared" si="9"/>
        <v>27008809</v>
      </c>
      <c r="T112" s="5">
        <f t="shared" si="10"/>
        <v>7875</v>
      </c>
      <c r="U112" s="19">
        <f t="shared" si="11"/>
        <v>0.9282178218</v>
      </c>
      <c r="V112" s="5">
        <f t="shared" si="12"/>
        <v>62015625</v>
      </c>
    </row>
    <row r="113">
      <c r="A113" s="2">
        <v>40702.0</v>
      </c>
      <c r="B113" s="5">
        <v>5320.0</v>
      </c>
      <c r="C113" s="5">
        <f t="shared" si="2"/>
        <v>3179</v>
      </c>
      <c r="D113" s="5">
        <f t="shared" si="3"/>
        <v>3334</v>
      </c>
      <c r="E113" s="5">
        <f t="shared" si="1"/>
        <v>6909</v>
      </c>
      <c r="L113" s="5">
        <f t="shared" si="4"/>
        <v>2141</v>
      </c>
      <c r="M113" s="19">
        <f t="shared" si="5"/>
        <v>0.402443609</v>
      </c>
      <c r="N113" s="5">
        <f t="shared" si="6"/>
        <v>4583881</v>
      </c>
      <c r="P113" s="5">
        <f t="shared" si="7"/>
        <v>1986</v>
      </c>
      <c r="Q113" s="19">
        <f t="shared" si="8"/>
        <v>0.3733082707</v>
      </c>
      <c r="R113" s="5">
        <f t="shared" si="9"/>
        <v>3944196</v>
      </c>
      <c r="T113" s="5">
        <f t="shared" si="10"/>
        <v>-1589</v>
      </c>
      <c r="U113" s="19">
        <f t="shared" si="11"/>
        <v>0.2986842105</v>
      </c>
      <c r="V113" s="5">
        <f t="shared" si="12"/>
        <v>2524921</v>
      </c>
    </row>
    <row r="114">
      <c r="A114" s="2">
        <v>40703.0</v>
      </c>
      <c r="B114" s="5">
        <v>1480.0</v>
      </c>
      <c r="C114" s="5">
        <f t="shared" si="2"/>
        <v>3066</v>
      </c>
      <c r="D114" s="5">
        <f t="shared" si="3"/>
        <v>3352</v>
      </c>
      <c r="E114" s="5">
        <f t="shared" si="1"/>
        <v>5638</v>
      </c>
      <c r="L114" s="5">
        <f t="shared" si="4"/>
        <v>-1586</v>
      </c>
      <c r="M114" s="19">
        <f t="shared" si="5"/>
        <v>1.071621622</v>
      </c>
      <c r="N114" s="5">
        <f t="shared" si="6"/>
        <v>2515396</v>
      </c>
      <c r="P114" s="5">
        <f t="shared" si="7"/>
        <v>-1872</v>
      </c>
      <c r="Q114" s="19">
        <f t="shared" si="8"/>
        <v>1.264864865</v>
      </c>
      <c r="R114" s="5">
        <f t="shared" si="9"/>
        <v>3504384</v>
      </c>
      <c r="T114" s="5">
        <f t="shared" si="10"/>
        <v>-4158</v>
      </c>
      <c r="U114" s="19">
        <f t="shared" si="11"/>
        <v>2.809459459</v>
      </c>
      <c r="V114" s="5">
        <f t="shared" si="12"/>
        <v>17288964</v>
      </c>
    </row>
    <row r="115">
      <c r="A115" s="2">
        <v>40704.0</v>
      </c>
      <c r="B115" s="5">
        <v>261.0</v>
      </c>
      <c r="C115" s="5">
        <f t="shared" si="2"/>
        <v>3242</v>
      </c>
      <c r="D115" s="5">
        <f t="shared" si="3"/>
        <v>3336</v>
      </c>
      <c r="E115" s="5">
        <f t="shared" si="1"/>
        <v>2312</v>
      </c>
      <c r="L115" s="5">
        <f t="shared" si="4"/>
        <v>-2981</v>
      </c>
      <c r="M115" s="19">
        <f t="shared" si="5"/>
        <v>11.42145594</v>
      </c>
      <c r="N115" s="5">
        <f t="shared" si="6"/>
        <v>8886361</v>
      </c>
      <c r="P115" s="5">
        <f t="shared" si="7"/>
        <v>-3075</v>
      </c>
      <c r="Q115" s="19">
        <f t="shared" si="8"/>
        <v>11.7816092</v>
      </c>
      <c r="R115" s="5">
        <f t="shared" si="9"/>
        <v>9455625</v>
      </c>
      <c r="T115" s="5">
        <f t="shared" si="10"/>
        <v>-2051</v>
      </c>
      <c r="U115" s="19">
        <f t="shared" si="11"/>
        <v>7.858237548</v>
      </c>
      <c r="V115" s="5">
        <f t="shared" si="12"/>
        <v>4206601</v>
      </c>
    </row>
    <row r="116">
      <c r="A116" s="2">
        <v>40707.0</v>
      </c>
      <c r="B116" s="5">
        <v>2018.0</v>
      </c>
      <c r="C116" s="5">
        <f t="shared" si="2"/>
        <v>3233</v>
      </c>
      <c r="D116" s="5">
        <f t="shared" si="3"/>
        <v>3308</v>
      </c>
      <c r="E116" s="5">
        <f t="shared" si="1"/>
        <v>671</v>
      </c>
      <c r="L116" s="5">
        <f t="shared" si="4"/>
        <v>-1215</v>
      </c>
      <c r="M116" s="19">
        <f t="shared" si="5"/>
        <v>0.6020812686</v>
      </c>
      <c r="N116" s="5">
        <f t="shared" si="6"/>
        <v>1476225</v>
      </c>
      <c r="P116" s="5">
        <f t="shared" si="7"/>
        <v>-1290</v>
      </c>
      <c r="Q116" s="19">
        <f t="shared" si="8"/>
        <v>0.639246779</v>
      </c>
      <c r="R116" s="5">
        <f t="shared" si="9"/>
        <v>1664100</v>
      </c>
      <c r="T116" s="5">
        <f t="shared" si="10"/>
        <v>1347</v>
      </c>
      <c r="U116" s="19">
        <f t="shared" si="11"/>
        <v>0.6674925669</v>
      </c>
      <c r="V116" s="5">
        <f t="shared" si="12"/>
        <v>1814409</v>
      </c>
    </row>
    <row r="117">
      <c r="A117" s="2">
        <v>40708.0</v>
      </c>
      <c r="B117" s="5">
        <v>5795.0</v>
      </c>
      <c r="C117" s="5">
        <f t="shared" si="2"/>
        <v>3513</v>
      </c>
      <c r="D117" s="5">
        <f t="shared" si="3"/>
        <v>3297</v>
      </c>
      <c r="E117" s="5">
        <f t="shared" si="1"/>
        <v>1749</v>
      </c>
      <c r="L117" s="5">
        <f t="shared" si="4"/>
        <v>2282</v>
      </c>
      <c r="M117" s="19">
        <f t="shared" si="5"/>
        <v>0.3937877481</v>
      </c>
      <c r="N117" s="5">
        <f t="shared" si="6"/>
        <v>5207524</v>
      </c>
      <c r="P117" s="5">
        <f t="shared" si="7"/>
        <v>2498</v>
      </c>
      <c r="Q117" s="19">
        <f t="shared" si="8"/>
        <v>0.4310612597</v>
      </c>
      <c r="R117" s="5">
        <f t="shared" si="9"/>
        <v>6240004</v>
      </c>
      <c r="T117" s="5">
        <f t="shared" si="10"/>
        <v>4046</v>
      </c>
      <c r="U117" s="19">
        <f t="shared" si="11"/>
        <v>0.6981880932</v>
      </c>
      <c r="V117" s="5">
        <f t="shared" si="12"/>
        <v>16370116</v>
      </c>
    </row>
    <row r="118">
      <c r="A118" s="2">
        <v>40709.0</v>
      </c>
      <c r="B118" s="5">
        <v>6358.0</v>
      </c>
      <c r="C118" s="5">
        <f t="shared" si="2"/>
        <v>2975</v>
      </c>
      <c r="D118" s="5">
        <f t="shared" si="3"/>
        <v>3319</v>
      </c>
      <c r="E118" s="5">
        <f t="shared" si="1"/>
        <v>4986</v>
      </c>
      <c r="L118" s="5">
        <f t="shared" si="4"/>
        <v>3383</v>
      </c>
      <c r="M118" s="19">
        <f t="shared" si="5"/>
        <v>0.5320855615</v>
      </c>
      <c r="N118" s="5">
        <f t="shared" si="6"/>
        <v>11444689</v>
      </c>
      <c r="P118" s="5">
        <f t="shared" si="7"/>
        <v>3039</v>
      </c>
      <c r="Q118" s="19">
        <f t="shared" si="8"/>
        <v>0.477980497</v>
      </c>
      <c r="R118" s="5">
        <f t="shared" si="9"/>
        <v>9235521</v>
      </c>
      <c r="T118" s="5">
        <f t="shared" si="10"/>
        <v>1372</v>
      </c>
      <c r="U118" s="19">
        <f t="shared" si="11"/>
        <v>0.2157911293</v>
      </c>
      <c r="V118" s="5">
        <f t="shared" si="12"/>
        <v>1882384</v>
      </c>
    </row>
    <row r="119">
      <c r="A119" s="2">
        <v>40710.0</v>
      </c>
      <c r="B119" s="5">
        <v>1394.0</v>
      </c>
      <c r="C119" s="5">
        <f t="shared" si="2"/>
        <v>3182</v>
      </c>
      <c r="D119" s="5">
        <f t="shared" si="3"/>
        <v>3345</v>
      </c>
      <c r="E119" s="5">
        <f t="shared" si="1"/>
        <v>6084</v>
      </c>
      <c r="L119" s="5">
        <f t="shared" si="4"/>
        <v>-1788</v>
      </c>
      <c r="M119" s="19">
        <f t="shared" si="5"/>
        <v>1.282639885</v>
      </c>
      <c r="N119" s="5">
        <f t="shared" si="6"/>
        <v>3196944</v>
      </c>
      <c r="P119" s="5">
        <f t="shared" si="7"/>
        <v>-1951</v>
      </c>
      <c r="Q119" s="19">
        <f t="shared" si="8"/>
        <v>1.399569584</v>
      </c>
      <c r="R119" s="5">
        <f t="shared" si="9"/>
        <v>3806401</v>
      </c>
      <c r="T119" s="5">
        <f t="shared" si="10"/>
        <v>-4690</v>
      </c>
      <c r="U119" s="19">
        <f t="shared" si="11"/>
        <v>3.364418938</v>
      </c>
      <c r="V119" s="5">
        <f t="shared" si="12"/>
        <v>21996100</v>
      </c>
    </row>
    <row r="120">
      <c r="A120" s="2">
        <v>40711.0</v>
      </c>
      <c r="B120" s="5">
        <v>355.0</v>
      </c>
      <c r="C120" s="5">
        <f t="shared" si="2"/>
        <v>3165</v>
      </c>
      <c r="D120" s="5">
        <f t="shared" si="3"/>
        <v>3328</v>
      </c>
      <c r="E120" s="5">
        <f t="shared" si="1"/>
        <v>2332</v>
      </c>
      <c r="L120" s="5">
        <f t="shared" si="4"/>
        <v>-2810</v>
      </c>
      <c r="M120" s="19">
        <f t="shared" si="5"/>
        <v>7.915492958</v>
      </c>
      <c r="N120" s="5">
        <f t="shared" si="6"/>
        <v>7896100</v>
      </c>
      <c r="P120" s="5">
        <f t="shared" si="7"/>
        <v>-2973</v>
      </c>
      <c r="Q120" s="19">
        <f t="shared" si="8"/>
        <v>8.374647887</v>
      </c>
      <c r="R120" s="5">
        <f t="shared" si="9"/>
        <v>8838729</v>
      </c>
      <c r="T120" s="5">
        <f t="shared" si="10"/>
        <v>-1977</v>
      </c>
      <c r="U120" s="19">
        <f t="shared" si="11"/>
        <v>5.569014085</v>
      </c>
      <c r="V120" s="5">
        <f t="shared" si="12"/>
        <v>3908529</v>
      </c>
    </row>
    <row r="121">
      <c r="A121" s="2">
        <v>40714.0</v>
      </c>
      <c r="B121" s="5">
        <v>324.0</v>
      </c>
      <c r="C121" s="5">
        <f t="shared" si="2"/>
        <v>3184</v>
      </c>
      <c r="D121" s="5">
        <f t="shared" si="3"/>
        <v>3303</v>
      </c>
      <c r="E121" s="5">
        <f t="shared" si="1"/>
        <v>750</v>
      </c>
      <c r="L121" s="5">
        <f t="shared" si="4"/>
        <v>-2860</v>
      </c>
      <c r="M121" s="19">
        <f t="shared" si="5"/>
        <v>8.827160494</v>
      </c>
      <c r="N121" s="5">
        <f t="shared" si="6"/>
        <v>8179600</v>
      </c>
      <c r="P121" s="5">
        <f t="shared" si="7"/>
        <v>-2979</v>
      </c>
      <c r="Q121" s="19">
        <f t="shared" si="8"/>
        <v>9.194444444</v>
      </c>
      <c r="R121" s="5">
        <f t="shared" si="9"/>
        <v>8874441</v>
      </c>
      <c r="T121" s="5">
        <f t="shared" si="10"/>
        <v>-426</v>
      </c>
      <c r="U121" s="19">
        <f t="shared" si="11"/>
        <v>1.314814815</v>
      </c>
      <c r="V121" s="5">
        <f t="shared" si="12"/>
        <v>181476</v>
      </c>
    </row>
    <row r="122">
      <c r="A122" s="2">
        <v>40715.0</v>
      </c>
      <c r="B122" s="5">
        <v>9660.0</v>
      </c>
      <c r="C122" s="5">
        <f t="shared" si="2"/>
        <v>2845</v>
      </c>
      <c r="D122" s="5">
        <f t="shared" si="3"/>
        <v>3278</v>
      </c>
      <c r="E122" s="5">
        <f t="shared" si="1"/>
        <v>409</v>
      </c>
      <c r="L122" s="5">
        <f t="shared" si="4"/>
        <v>6815</v>
      </c>
      <c r="M122" s="19">
        <f t="shared" si="5"/>
        <v>0.7054865424</v>
      </c>
      <c r="N122" s="5">
        <f t="shared" si="6"/>
        <v>46444225</v>
      </c>
      <c r="P122" s="5">
        <f t="shared" si="7"/>
        <v>6382</v>
      </c>
      <c r="Q122" s="19">
        <f t="shared" si="8"/>
        <v>0.6606625259</v>
      </c>
      <c r="R122" s="5">
        <f t="shared" si="9"/>
        <v>40729924</v>
      </c>
      <c r="T122" s="5">
        <f t="shared" si="10"/>
        <v>9251</v>
      </c>
      <c r="U122" s="19">
        <f t="shared" si="11"/>
        <v>0.9576604555</v>
      </c>
      <c r="V122" s="5">
        <f t="shared" si="12"/>
        <v>85581001</v>
      </c>
    </row>
    <row r="123">
      <c r="A123" s="2">
        <v>40716.0</v>
      </c>
      <c r="B123" s="5">
        <v>3690.0</v>
      </c>
      <c r="C123" s="5">
        <f t="shared" si="2"/>
        <v>3618</v>
      </c>
      <c r="D123" s="5">
        <f t="shared" si="3"/>
        <v>3331</v>
      </c>
      <c r="E123" s="5">
        <f t="shared" si="1"/>
        <v>7810</v>
      </c>
      <c r="L123" s="5">
        <f t="shared" si="4"/>
        <v>72</v>
      </c>
      <c r="M123" s="19">
        <f t="shared" si="5"/>
        <v>0.01951219512</v>
      </c>
      <c r="N123" s="5">
        <f t="shared" si="6"/>
        <v>5184</v>
      </c>
      <c r="P123" s="5">
        <f t="shared" si="7"/>
        <v>359</v>
      </c>
      <c r="Q123" s="19">
        <f t="shared" si="8"/>
        <v>0.0972899729</v>
      </c>
      <c r="R123" s="5">
        <f t="shared" si="9"/>
        <v>128881</v>
      </c>
      <c r="T123" s="5">
        <f t="shared" si="10"/>
        <v>-4120</v>
      </c>
      <c r="U123" s="19">
        <f t="shared" si="11"/>
        <v>1.116531165</v>
      </c>
      <c r="V123" s="5">
        <f t="shared" si="12"/>
        <v>16974400</v>
      </c>
    </row>
    <row r="124">
      <c r="A124" s="2">
        <v>40717.0</v>
      </c>
      <c r="B124" s="5">
        <v>1140.0</v>
      </c>
      <c r="C124" s="5">
        <f t="shared" si="2"/>
        <v>3085</v>
      </c>
      <c r="D124" s="5">
        <f t="shared" si="3"/>
        <v>3334</v>
      </c>
      <c r="E124" s="5">
        <f t="shared" si="1"/>
        <v>4514</v>
      </c>
      <c r="L124" s="5">
        <f t="shared" si="4"/>
        <v>-1945</v>
      </c>
      <c r="M124" s="19">
        <f t="shared" si="5"/>
        <v>1.706140351</v>
      </c>
      <c r="N124" s="5">
        <f t="shared" si="6"/>
        <v>3783025</v>
      </c>
      <c r="P124" s="5">
        <f t="shared" si="7"/>
        <v>-2194</v>
      </c>
      <c r="Q124" s="19">
        <f t="shared" si="8"/>
        <v>1.924561404</v>
      </c>
      <c r="R124" s="5">
        <f t="shared" si="9"/>
        <v>4813636</v>
      </c>
      <c r="T124" s="5">
        <f t="shared" si="10"/>
        <v>-3374</v>
      </c>
      <c r="U124" s="19">
        <f t="shared" si="11"/>
        <v>2.959649123</v>
      </c>
      <c r="V124" s="5">
        <f t="shared" si="12"/>
        <v>11383876</v>
      </c>
    </row>
    <row r="125">
      <c r="A125" s="2">
        <v>40718.0</v>
      </c>
      <c r="B125" s="5">
        <v>450.0</v>
      </c>
      <c r="C125" s="5">
        <f t="shared" si="2"/>
        <v>3034</v>
      </c>
      <c r="D125" s="5">
        <f t="shared" si="3"/>
        <v>3316</v>
      </c>
      <c r="E125" s="5">
        <f t="shared" si="1"/>
        <v>1815</v>
      </c>
      <c r="L125" s="5">
        <f t="shared" si="4"/>
        <v>-2584</v>
      </c>
      <c r="M125" s="19">
        <f t="shared" si="5"/>
        <v>5.742222222</v>
      </c>
      <c r="N125" s="5">
        <f t="shared" si="6"/>
        <v>6677056</v>
      </c>
      <c r="P125" s="5">
        <f t="shared" si="7"/>
        <v>-2866</v>
      </c>
      <c r="Q125" s="19">
        <f t="shared" si="8"/>
        <v>6.368888889</v>
      </c>
      <c r="R125" s="5">
        <f t="shared" si="9"/>
        <v>8213956</v>
      </c>
      <c r="T125" s="5">
        <f t="shared" si="10"/>
        <v>-1365</v>
      </c>
      <c r="U125" s="19">
        <f t="shared" si="11"/>
        <v>3.033333333</v>
      </c>
      <c r="V125" s="5">
        <f t="shared" si="12"/>
        <v>1863225</v>
      </c>
    </row>
    <row r="126">
      <c r="A126" s="2">
        <v>40721.0</v>
      </c>
      <c r="B126" s="5">
        <v>716.0</v>
      </c>
      <c r="C126" s="5">
        <f t="shared" si="2"/>
        <v>3053</v>
      </c>
      <c r="D126" s="5">
        <f t="shared" si="3"/>
        <v>3293</v>
      </c>
      <c r="E126" s="5">
        <f t="shared" si="1"/>
        <v>723</v>
      </c>
      <c r="L126" s="5">
        <f t="shared" si="4"/>
        <v>-2337</v>
      </c>
      <c r="M126" s="19">
        <f t="shared" si="5"/>
        <v>3.26396648</v>
      </c>
      <c r="N126" s="5">
        <f t="shared" si="6"/>
        <v>5461569</v>
      </c>
      <c r="P126" s="5">
        <f t="shared" si="7"/>
        <v>-2577</v>
      </c>
      <c r="Q126" s="19">
        <f t="shared" si="8"/>
        <v>3.599162011</v>
      </c>
      <c r="R126" s="5">
        <f t="shared" si="9"/>
        <v>6640929</v>
      </c>
      <c r="T126" s="5">
        <f t="shared" si="10"/>
        <v>-7</v>
      </c>
      <c r="U126" s="19">
        <f t="shared" si="11"/>
        <v>0.009776536313</v>
      </c>
      <c r="V126" s="5">
        <f t="shared" si="12"/>
        <v>49</v>
      </c>
    </row>
    <row r="127">
      <c r="A127" s="2">
        <v>40722.0</v>
      </c>
      <c r="B127" s="5">
        <v>8094.0</v>
      </c>
      <c r="C127" s="5">
        <f t="shared" si="2"/>
        <v>3131</v>
      </c>
      <c r="D127" s="5">
        <f t="shared" si="3"/>
        <v>3272</v>
      </c>
      <c r="E127" s="5">
        <f t="shared" si="1"/>
        <v>717</v>
      </c>
      <c r="L127" s="5">
        <f t="shared" si="4"/>
        <v>4963</v>
      </c>
      <c r="M127" s="19">
        <f t="shared" si="5"/>
        <v>0.6131702496</v>
      </c>
      <c r="N127" s="5">
        <f t="shared" si="6"/>
        <v>24631369</v>
      </c>
      <c r="P127" s="5">
        <f t="shared" si="7"/>
        <v>4822</v>
      </c>
      <c r="Q127" s="19">
        <f t="shared" si="8"/>
        <v>0.5957499382</v>
      </c>
      <c r="R127" s="5">
        <f t="shared" si="9"/>
        <v>23251684</v>
      </c>
      <c r="T127" s="5">
        <f t="shared" si="10"/>
        <v>7377</v>
      </c>
      <c r="U127" s="19">
        <f t="shared" si="11"/>
        <v>0.9114158636</v>
      </c>
      <c r="V127" s="5">
        <f t="shared" si="12"/>
        <v>54420129</v>
      </c>
    </row>
    <row r="128">
      <c r="A128" s="2">
        <v>40723.0</v>
      </c>
      <c r="B128" s="5">
        <v>5305.0</v>
      </c>
      <c r="C128" s="5">
        <f t="shared" si="2"/>
        <v>2818</v>
      </c>
      <c r="D128" s="5">
        <f t="shared" si="3"/>
        <v>3311</v>
      </c>
      <c r="E128" s="5">
        <f t="shared" si="1"/>
        <v>6619</v>
      </c>
      <c r="L128" s="5">
        <f t="shared" si="4"/>
        <v>2487</v>
      </c>
      <c r="M128" s="19">
        <f t="shared" si="5"/>
        <v>0.468803016</v>
      </c>
      <c r="N128" s="5">
        <f t="shared" si="6"/>
        <v>6185169</v>
      </c>
      <c r="P128" s="5">
        <f t="shared" si="7"/>
        <v>1994</v>
      </c>
      <c r="Q128" s="19">
        <f t="shared" si="8"/>
        <v>0.375871819</v>
      </c>
      <c r="R128" s="5">
        <f t="shared" si="9"/>
        <v>3976036</v>
      </c>
      <c r="T128" s="5">
        <f t="shared" si="10"/>
        <v>-1314</v>
      </c>
      <c r="U128" s="19">
        <f t="shared" si="11"/>
        <v>0.2476908577</v>
      </c>
      <c r="V128" s="5">
        <f t="shared" si="12"/>
        <v>1726596</v>
      </c>
    </row>
    <row r="129">
      <c r="A129" s="2">
        <v>40724.0</v>
      </c>
      <c r="B129" s="5">
        <v>1199.0</v>
      </c>
      <c r="C129" s="5">
        <f t="shared" si="2"/>
        <v>3141</v>
      </c>
      <c r="D129" s="5">
        <f t="shared" si="3"/>
        <v>3327</v>
      </c>
      <c r="E129" s="5">
        <f t="shared" si="1"/>
        <v>5568</v>
      </c>
      <c r="L129" s="5">
        <f t="shared" si="4"/>
        <v>-1942</v>
      </c>
      <c r="M129" s="19">
        <f t="shared" si="5"/>
        <v>1.619683069</v>
      </c>
      <c r="N129" s="5">
        <f t="shared" si="6"/>
        <v>3771364</v>
      </c>
      <c r="P129" s="5">
        <f t="shared" si="7"/>
        <v>-2128</v>
      </c>
      <c r="Q129" s="19">
        <f t="shared" si="8"/>
        <v>1.774812344</v>
      </c>
      <c r="R129" s="5">
        <f t="shared" si="9"/>
        <v>4528384</v>
      </c>
      <c r="T129" s="5">
        <f t="shared" si="10"/>
        <v>-4369</v>
      </c>
      <c r="U129" s="19">
        <f t="shared" si="11"/>
        <v>3.643869892</v>
      </c>
      <c r="V129" s="5">
        <f t="shared" si="12"/>
        <v>19088161</v>
      </c>
    </row>
    <row r="130">
      <c r="A130" s="2">
        <v>40725.0</v>
      </c>
      <c r="B130" s="5">
        <v>120.0</v>
      </c>
      <c r="C130" s="5">
        <f t="shared" si="2"/>
        <v>3153</v>
      </c>
      <c r="D130" s="5">
        <f t="shared" si="3"/>
        <v>3310</v>
      </c>
      <c r="E130" s="5">
        <f t="shared" si="1"/>
        <v>2073</v>
      </c>
      <c r="L130" s="5">
        <f t="shared" si="4"/>
        <v>-3033</v>
      </c>
      <c r="M130" s="19">
        <f t="shared" si="5"/>
        <v>25.275</v>
      </c>
      <c r="N130" s="5">
        <f t="shared" si="6"/>
        <v>9199089</v>
      </c>
      <c r="P130" s="5">
        <f t="shared" si="7"/>
        <v>-3190</v>
      </c>
      <c r="Q130" s="19">
        <f t="shared" si="8"/>
        <v>26.58333333</v>
      </c>
      <c r="R130" s="5">
        <f t="shared" si="9"/>
        <v>10176100</v>
      </c>
      <c r="T130" s="5">
        <f t="shared" si="10"/>
        <v>-1953</v>
      </c>
      <c r="U130" s="19">
        <f t="shared" si="11"/>
        <v>16.275</v>
      </c>
      <c r="V130" s="5">
        <f t="shared" si="12"/>
        <v>3814209</v>
      </c>
    </row>
    <row r="131">
      <c r="A131" s="2">
        <v>40729.0</v>
      </c>
      <c r="B131" s="5">
        <v>12099.0</v>
      </c>
      <c r="C131" s="5">
        <f t="shared" si="2"/>
        <v>3087</v>
      </c>
      <c r="D131" s="5">
        <f t="shared" si="3"/>
        <v>3285</v>
      </c>
      <c r="E131" s="5">
        <f t="shared" si="1"/>
        <v>511</v>
      </c>
      <c r="L131" s="5">
        <f t="shared" si="4"/>
        <v>9012</v>
      </c>
      <c r="M131" s="19">
        <f t="shared" si="5"/>
        <v>0.7448549467</v>
      </c>
      <c r="N131" s="5">
        <f t="shared" si="6"/>
        <v>81216144</v>
      </c>
      <c r="P131" s="5">
        <f t="shared" si="7"/>
        <v>8814</v>
      </c>
      <c r="Q131" s="19">
        <f t="shared" si="8"/>
        <v>0.7284899578</v>
      </c>
      <c r="R131" s="5">
        <f t="shared" si="9"/>
        <v>77686596</v>
      </c>
      <c r="T131" s="5">
        <f t="shared" si="10"/>
        <v>11588</v>
      </c>
      <c r="U131" s="19">
        <f t="shared" si="11"/>
        <v>0.9577651046</v>
      </c>
      <c r="V131" s="5">
        <f t="shared" si="12"/>
        <v>134281744</v>
      </c>
    </row>
    <row r="132">
      <c r="A132" s="2">
        <v>40730.0</v>
      </c>
      <c r="B132" s="5">
        <v>4782.0</v>
      </c>
      <c r="C132" s="5">
        <f t="shared" si="2"/>
        <v>5363</v>
      </c>
      <c r="D132" s="5">
        <f t="shared" si="3"/>
        <v>3353</v>
      </c>
      <c r="E132" s="5">
        <f t="shared" si="1"/>
        <v>9781</v>
      </c>
      <c r="L132" s="5">
        <f t="shared" si="4"/>
        <v>-581</v>
      </c>
      <c r="M132" s="19">
        <f t="shared" si="5"/>
        <v>0.1214972815</v>
      </c>
      <c r="N132" s="5">
        <f t="shared" si="6"/>
        <v>337561</v>
      </c>
      <c r="P132" s="5">
        <f t="shared" si="7"/>
        <v>1429</v>
      </c>
      <c r="Q132" s="19">
        <f t="shared" si="8"/>
        <v>0.2988289419</v>
      </c>
      <c r="R132" s="5">
        <f t="shared" si="9"/>
        <v>2042041</v>
      </c>
      <c r="T132" s="5">
        <f t="shared" si="10"/>
        <v>-4999</v>
      </c>
      <c r="U132" s="19">
        <f t="shared" si="11"/>
        <v>1.045378503</v>
      </c>
      <c r="V132" s="5">
        <f t="shared" si="12"/>
        <v>24990001</v>
      </c>
    </row>
    <row r="133">
      <c r="A133" s="2">
        <v>40731.0</v>
      </c>
      <c r="B133" s="5">
        <v>251.0</v>
      </c>
      <c r="C133" s="5">
        <f t="shared" si="2"/>
        <v>4701</v>
      </c>
      <c r="D133" s="5">
        <f t="shared" si="3"/>
        <v>3364</v>
      </c>
      <c r="E133" s="5">
        <f t="shared" si="1"/>
        <v>5782</v>
      </c>
      <c r="L133" s="5">
        <f t="shared" si="4"/>
        <v>-4450</v>
      </c>
      <c r="M133" s="19">
        <f t="shared" si="5"/>
        <v>17.72908367</v>
      </c>
      <c r="N133" s="5">
        <f t="shared" si="6"/>
        <v>19802500</v>
      </c>
      <c r="P133" s="5">
        <f t="shared" si="7"/>
        <v>-3113</v>
      </c>
      <c r="Q133" s="19">
        <f t="shared" si="8"/>
        <v>12.40239044</v>
      </c>
      <c r="R133" s="5">
        <f t="shared" si="9"/>
        <v>9690769</v>
      </c>
      <c r="T133" s="5">
        <f t="shared" si="10"/>
        <v>-5531</v>
      </c>
      <c r="U133" s="19">
        <f t="shared" si="11"/>
        <v>22.03585657</v>
      </c>
      <c r="V133" s="5">
        <f t="shared" si="12"/>
        <v>30591961</v>
      </c>
    </row>
    <row r="134">
      <c r="A134" s="2">
        <v>40732.0</v>
      </c>
      <c r="B134" s="5">
        <v>200.0</v>
      </c>
      <c r="C134" s="5">
        <f t="shared" si="2"/>
        <v>3690</v>
      </c>
      <c r="D134" s="5">
        <f t="shared" si="3"/>
        <v>3340</v>
      </c>
      <c r="E134" s="5">
        <f t="shared" si="1"/>
        <v>1357</v>
      </c>
      <c r="L134" s="5">
        <f t="shared" si="4"/>
        <v>-3490</v>
      </c>
      <c r="M134" s="19">
        <f t="shared" si="5"/>
        <v>17.45</v>
      </c>
      <c r="N134" s="5">
        <f t="shared" si="6"/>
        <v>12180100</v>
      </c>
      <c r="P134" s="5">
        <f t="shared" si="7"/>
        <v>-3140</v>
      </c>
      <c r="Q134" s="19">
        <f t="shared" si="8"/>
        <v>15.7</v>
      </c>
      <c r="R134" s="5">
        <f t="shared" si="9"/>
        <v>9859600</v>
      </c>
      <c r="T134" s="5">
        <f t="shared" si="10"/>
        <v>-1157</v>
      </c>
      <c r="U134" s="19">
        <f t="shared" si="11"/>
        <v>5.785</v>
      </c>
      <c r="V134" s="5">
        <f t="shared" si="12"/>
        <v>1338649</v>
      </c>
    </row>
    <row r="135">
      <c r="A135" s="2">
        <v>40735.0</v>
      </c>
      <c r="B135" s="5">
        <v>3617.0</v>
      </c>
      <c r="C135" s="5">
        <f t="shared" si="2"/>
        <v>3490</v>
      </c>
      <c r="D135" s="5">
        <f t="shared" si="3"/>
        <v>3317</v>
      </c>
      <c r="E135" s="5">
        <f t="shared" si="1"/>
        <v>431</v>
      </c>
      <c r="L135" s="5">
        <f t="shared" si="4"/>
        <v>127</v>
      </c>
      <c r="M135" s="19">
        <f t="shared" si="5"/>
        <v>0.03511197125</v>
      </c>
      <c r="N135" s="5">
        <f t="shared" si="6"/>
        <v>16129</v>
      </c>
      <c r="P135" s="5">
        <f t="shared" si="7"/>
        <v>300</v>
      </c>
      <c r="Q135" s="19">
        <f t="shared" si="8"/>
        <v>0.08294166436</v>
      </c>
      <c r="R135" s="5">
        <f t="shared" si="9"/>
        <v>90000</v>
      </c>
      <c r="T135" s="5">
        <f t="shared" si="10"/>
        <v>3186</v>
      </c>
      <c r="U135" s="19">
        <f t="shared" si="11"/>
        <v>0.8808404755</v>
      </c>
      <c r="V135" s="5">
        <f t="shared" si="12"/>
        <v>10150596</v>
      </c>
    </row>
    <row r="136">
      <c r="A136" s="2">
        <v>40736.0</v>
      </c>
      <c r="B136" s="5">
        <v>6661.0</v>
      </c>
      <c r="C136" s="5">
        <f t="shared" si="2"/>
        <v>4190</v>
      </c>
      <c r="D136" s="5">
        <f t="shared" si="3"/>
        <v>3319</v>
      </c>
      <c r="E136" s="5">
        <f t="shared" si="1"/>
        <v>2980</v>
      </c>
      <c r="L136" s="5">
        <f t="shared" si="4"/>
        <v>2471</v>
      </c>
      <c r="M136" s="19">
        <f t="shared" si="5"/>
        <v>0.3709653205</v>
      </c>
      <c r="N136" s="5">
        <f t="shared" si="6"/>
        <v>6105841</v>
      </c>
      <c r="P136" s="5">
        <f t="shared" si="7"/>
        <v>3342</v>
      </c>
      <c r="Q136" s="19">
        <f t="shared" si="8"/>
        <v>0.5017264675</v>
      </c>
      <c r="R136" s="5">
        <f t="shared" si="9"/>
        <v>11168964</v>
      </c>
      <c r="T136" s="5">
        <f t="shared" si="10"/>
        <v>3681</v>
      </c>
      <c r="U136" s="19">
        <f t="shared" si="11"/>
        <v>0.5526197268</v>
      </c>
      <c r="V136" s="5">
        <f t="shared" si="12"/>
        <v>13549761</v>
      </c>
    </row>
    <row r="137">
      <c r="A137" s="2">
        <v>40737.0</v>
      </c>
      <c r="B137" s="5">
        <v>5620.0</v>
      </c>
      <c r="C137" s="5">
        <f t="shared" si="2"/>
        <v>3102</v>
      </c>
      <c r="D137" s="5">
        <f t="shared" si="3"/>
        <v>3344</v>
      </c>
      <c r="E137" s="5">
        <f t="shared" si="1"/>
        <v>5925</v>
      </c>
      <c r="L137" s="5">
        <f t="shared" si="4"/>
        <v>2518</v>
      </c>
      <c r="M137" s="19">
        <f t="shared" si="5"/>
        <v>0.4480427046</v>
      </c>
      <c r="N137" s="5">
        <f t="shared" si="6"/>
        <v>6340324</v>
      </c>
      <c r="P137" s="5">
        <f t="shared" si="7"/>
        <v>2276</v>
      </c>
      <c r="Q137" s="19">
        <f t="shared" si="8"/>
        <v>0.4049822064</v>
      </c>
      <c r="R137" s="5">
        <f t="shared" si="9"/>
        <v>5180176</v>
      </c>
      <c r="T137" s="5">
        <f t="shared" si="10"/>
        <v>-305</v>
      </c>
      <c r="U137" s="19">
        <f t="shared" si="11"/>
        <v>0.05427046263</v>
      </c>
      <c r="V137" s="5">
        <f t="shared" si="12"/>
        <v>93025</v>
      </c>
    </row>
    <row r="138">
      <c r="A138" s="2">
        <v>40738.0</v>
      </c>
      <c r="B138" s="5">
        <v>1382.0</v>
      </c>
      <c r="C138" s="5">
        <f t="shared" si="2"/>
        <v>3270</v>
      </c>
      <c r="D138" s="5">
        <f t="shared" si="3"/>
        <v>3361</v>
      </c>
      <c r="E138" s="5">
        <f t="shared" si="1"/>
        <v>5681</v>
      </c>
      <c r="L138" s="5">
        <f t="shared" si="4"/>
        <v>-1888</v>
      </c>
      <c r="M138" s="19">
        <f t="shared" si="5"/>
        <v>1.366136035</v>
      </c>
      <c r="N138" s="5">
        <f t="shared" si="6"/>
        <v>3564544</v>
      </c>
      <c r="P138" s="5">
        <f t="shared" si="7"/>
        <v>-1979</v>
      </c>
      <c r="Q138" s="19">
        <f t="shared" si="8"/>
        <v>1.431982634</v>
      </c>
      <c r="R138" s="5">
        <f t="shared" si="9"/>
        <v>3916441</v>
      </c>
      <c r="T138" s="5">
        <f t="shared" si="10"/>
        <v>-4299</v>
      </c>
      <c r="U138" s="19">
        <f t="shared" si="11"/>
        <v>3.110709117</v>
      </c>
      <c r="V138" s="5">
        <f t="shared" si="12"/>
        <v>18481401</v>
      </c>
    </row>
    <row r="139">
      <c r="A139" s="2">
        <v>40739.0</v>
      </c>
      <c r="B139" s="5">
        <v>250.0</v>
      </c>
      <c r="C139" s="5">
        <f t="shared" si="2"/>
        <v>3496</v>
      </c>
      <c r="D139" s="5">
        <f t="shared" si="3"/>
        <v>3346</v>
      </c>
      <c r="E139" s="5">
        <f t="shared" si="1"/>
        <v>2242</v>
      </c>
      <c r="L139" s="5">
        <f t="shared" si="4"/>
        <v>-3246</v>
      </c>
      <c r="M139" s="19">
        <f t="shared" si="5"/>
        <v>12.984</v>
      </c>
      <c r="N139" s="5">
        <f t="shared" si="6"/>
        <v>10536516</v>
      </c>
      <c r="P139" s="5">
        <f t="shared" si="7"/>
        <v>-3096</v>
      </c>
      <c r="Q139" s="19">
        <f t="shared" si="8"/>
        <v>12.384</v>
      </c>
      <c r="R139" s="5">
        <f t="shared" si="9"/>
        <v>9585216</v>
      </c>
      <c r="T139" s="5">
        <f t="shared" si="10"/>
        <v>-1992</v>
      </c>
      <c r="U139" s="19">
        <f t="shared" si="11"/>
        <v>7.968</v>
      </c>
      <c r="V139" s="5">
        <f t="shared" si="12"/>
        <v>3968064</v>
      </c>
    </row>
    <row r="140">
      <c r="A140" s="2">
        <v>40742.0</v>
      </c>
      <c r="B140" s="5">
        <v>1983.0</v>
      </c>
      <c r="C140" s="5">
        <f t="shared" si="2"/>
        <v>3506</v>
      </c>
      <c r="D140" s="5">
        <f t="shared" si="3"/>
        <v>3324</v>
      </c>
      <c r="E140" s="5">
        <f t="shared" si="1"/>
        <v>648</v>
      </c>
      <c r="L140" s="5">
        <f t="shared" si="4"/>
        <v>-1523</v>
      </c>
      <c r="M140" s="19">
        <f t="shared" si="5"/>
        <v>0.76802824</v>
      </c>
      <c r="N140" s="5">
        <f t="shared" si="6"/>
        <v>2319529</v>
      </c>
      <c r="P140" s="5">
        <f t="shared" si="7"/>
        <v>-1341</v>
      </c>
      <c r="Q140" s="19">
        <f t="shared" si="8"/>
        <v>0.6762481089</v>
      </c>
      <c r="R140" s="5">
        <f t="shared" si="9"/>
        <v>1798281</v>
      </c>
      <c r="T140" s="5">
        <f t="shared" si="10"/>
        <v>1335</v>
      </c>
      <c r="U140" s="19">
        <f t="shared" si="11"/>
        <v>0.6732223903</v>
      </c>
      <c r="V140" s="5">
        <f t="shared" si="12"/>
        <v>1782225</v>
      </c>
    </row>
    <row r="141">
      <c r="A141" s="2">
        <v>40743.0</v>
      </c>
      <c r="B141" s="5">
        <v>3748.0</v>
      </c>
      <c r="C141" s="5">
        <f t="shared" si="2"/>
        <v>3179</v>
      </c>
      <c r="D141" s="5">
        <f t="shared" si="3"/>
        <v>3314</v>
      </c>
      <c r="E141" s="5">
        <f t="shared" si="1"/>
        <v>1716</v>
      </c>
      <c r="L141" s="5">
        <f t="shared" si="4"/>
        <v>569</v>
      </c>
      <c r="M141" s="19">
        <f t="shared" si="5"/>
        <v>0.151814301</v>
      </c>
      <c r="N141" s="5">
        <f t="shared" si="6"/>
        <v>323761</v>
      </c>
      <c r="P141" s="5">
        <f t="shared" si="7"/>
        <v>434</v>
      </c>
      <c r="Q141" s="19">
        <f t="shared" si="8"/>
        <v>0.1157950907</v>
      </c>
      <c r="R141" s="5">
        <f t="shared" si="9"/>
        <v>188356</v>
      </c>
      <c r="T141" s="5">
        <f t="shared" si="10"/>
        <v>2032</v>
      </c>
      <c r="U141" s="19">
        <f t="shared" si="11"/>
        <v>0.5421558164</v>
      </c>
      <c r="V141" s="5">
        <f t="shared" si="12"/>
        <v>4129024</v>
      </c>
    </row>
    <row r="142">
      <c r="A142" s="2">
        <v>40744.0</v>
      </c>
      <c r="B142" s="5">
        <v>6542.0</v>
      </c>
      <c r="C142" s="5">
        <f t="shared" si="2"/>
        <v>2597</v>
      </c>
      <c r="D142" s="5">
        <f t="shared" si="3"/>
        <v>3317</v>
      </c>
      <c r="E142" s="5">
        <f t="shared" si="1"/>
        <v>3342</v>
      </c>
      <c r="L142" s="5">
        <f t="shared" si="4"/>
        <v>3945</v>
      </c>
      <c r="M142" s="19">
        <f t="shared" si="5"/>
        <v>0.6030265974</v>
      </c>
      <c r="N142" s="5">
        <f t="shared" si="6"/>
        <v>15563025</v>
      </c>
      <c r="P142" s="5">
        <f t="shared" si="7"/>
        <v>3225</v>
      </c>
      <c r="Q142" s="19">
        <f t="shared" si="8"/>
        <v>0.4929685112</v>
      </c>
      <c r="R142" s="5">
        <f t="shared" si="9"/>
        <v>10400625</v>
      </c>
      <c r="T142" s="5">
        <f t="shared" si="10"/>
        <v>3200</v>
      </c>
      <c r="U142" s="19">
        <f t="shared" si="11"/>
        <v>0.4891470498</v>
      </c>
      <c r="V142" s="5">
        <f t="shared" si="12"/>
        <v>10240000</v>
      </c>
    </row>
    <row r="143">
      <c r="A143" s="2">
        <v>40745.0</v>
      </c>
      <c r="B143" s="5">
        <v>1262.0</v>
      </c>
      <c r="C143" s="5">
        <f t="shared" si="2"/>
        <v>2781</v>
      </c>
      <c r="D143" s="5">
        <f t="shared" si="3"/>
        <v>3340</v>
      </c>
      <c r="E143" s="5">
        <f t="shared" si="1"/>
        <v>5902</v>
      </c>
      <c r="L143" s="5">
        <f t="shared" si="4"/>
        <v>-1519</v>
      </c>
      <c r="M143" s="19">
        <f t="shared" si="5"/>
        <v>1.203645008</v>
      </c>
      <c r="N143" s="5">
        <f t="shared" si="6"/>
        <v>2307361</v>
      </c>
      <c r="P143" s="5">
        <f t="shared" si="7"/>
        <v>-2078</v>
      </c>
      <c r="Q143" s="19">
        <f t="shared" si="8"/>
        <v>1.64659271</v>
      </c>
      <c r="R143" s="5">
        <f t="shared" si="9"/>
        <v>4318084</v>
      </c>
      <c r="T143" s="5">
        <f t="shared" si="10"/>
        <v>-4640</v>
      </c>
      <c r="U143" s="19">
        <f t="shared" si="11"/>
        <v>3.676703645</v>
      </c>
      <c r="V143" s="5">
        <f t="shared" si="12"/>
        <v>21529600</v>
      </c>
    </row>
    <row r="144">
      <c r="A144" s="2">
        <v>40746.0</v>
      </c>
      <c r="B144" s="5">
        <v>100.0</v>
      </c>
      <c r="C144" s="5">
        <f t="shared" si="2"/>
        <v>2757</v>
      </c>
      <c r="D144" s="5">
        <f t="shared" si="3"/>
        <v>3325</v>
      </c>
      <c r="E144" s="5">
        <f t="shared" si="1"/>
        <v>2190</v>
      </c>
      <c r="L144" s="5">
        <f t="shared" si="4"/>
        <v>-2657</v>
      </c>
      <c r="M144" s="19">
        <f t="shared" si="5"/>
        <v>26.57</v>
      </c>
      <c r="N144" s="5">
        <f t="shared" si="6"/>
        <v>7059649</v>
      </c>
      <c r="P144" s="5">
        <f t="shared" si="7"/>
        <v>-3225</v>
      </c>
      <c r="Q144" s="19">
        <f t="shared" si="8"/>
        <v>32.25</v>
      </c>
      <c r="R144" s="5">
        <f t="shared" si="9"/>
        <v>10400625</v>
      </c>
      <c r="T144" s="5">
        <f t="shared" si="10"/>
        <v>-2090</v>
      </c>
      <c r="U144" s="19">
        <f t="shared" si="11"/>
        <v>20.9</v>
      </c>
      <c r="V144" s="5">
        <f t="shared" si="12"/>
        <v>4368100</v>
      </c>
    </row>
    <row r="145">
      <c r="A145" s="2">
        <v>40749.0</v>
      </c>
      <c r="B145" s="5">
        <v>2053.0</v>
      </c>
      <c r="C145" s="5">
        <f t="shared" si="2"/>
        <v>2727</v>
      </c>
      <c r="D145" s="5">
        <f t="shared" si="3"/>
        <v>3303</v>
      </c>
      <c r="E145" s="5">
        <f t="shared" si="1"/>
        <v>518</v>
      </c>
      <c r="L145" s="5">
        <f t="shared" si="4"/>
        <v>-674</v>
      </c>
      <c r="M145" s="19">
        <f t="shared" si="5"/>
        <v>0.3283000487</v>
      </c>
      <c r="N145" s="5">
        <f t="shared" si="6"/>
        <v>454276</v>
      </c>
      <c r="P145" s="5">
        <f t="shared" si="7"/>
        <v>-1250</v>
      </c>
      <c r="Q145" s="19">
        <f t="shared" si="8"/>
        <v>0.6088650755</v>
      </c>
      <c r="R145" s="5">
        <f t="shared" si="9"/>
        <v>1562500</v>
      </c>
      <c r="T145" s="5">
        <f t="shared" si="10"/>
        <v>1535</v>
      </c>
      <c r="U145" s="19">
        <f t="shared" si="11"/>
        <v>0.7476863127</v>
      </c>
      <c r="V145" s="5">
        <f t="shared" si="12"/>
        <v>2356225</v>
      </c>
    </row>
    <row r="146">
      <c r="A146" s="2">
        <v>40750.0</v>
      </c>
      <c r="B146" s="5">
        <v>7234.0</v>
      </c>
      <c r="C146" s="5">
        <f t="shared" si="2"/>
        <v>2741</v>
      </c>
      <c r="D146" s="5">
        <f t="shared" si="3"/>
        <v>3294</v>
      </c>
      <c r="E146" s="5">
        <f t="shared" si="1"/>
        <v>1746</v>
      </c>
      <c r="L146" s="5">
        <f t="shared" si="4"/>
        <v>4493</v>
      </c>
      <c r="M146" s="19">
        <f t="shared" si="5"/>
        <v>0.62109483</v>
      </c>
      <c r="N146" s="5">
        <f t="shared" si="6"/>
        <v>20187049</v>
      </c>
      <c r="P146" s="5">
        <f t="shared" si="7"/>
        <v>3940</v>
      </c>
      <c r="Q146" s="19">
        <f t="shared" si="8"/>
        <v>0.5446502626</v>
      </c>
      <c r="R146" s="5">
        <f t="shared" si="9"/>
        <v>15523600</v>
      </c>
      <c r="T146" s="5">
        <f t="shared" si="10"/>
        <v>5488</v>
      </c>
      <c r="U146" s="19">
        <f t="shared" si="11"/>
        <v>0.7586397567</v>
      </c>
      <c r="V146" s="5">
        <f t="shared" si="12"/>
        <v>30118144</v>
      </c>
    </row>
    <row r="147">
      <c r="A147" s="2">
        <v>40751.0</v>
      </c>
      <c r="B147" s="5">
        <v>3250.0</v>
      </c>
      <c r="C147" s="5">
        <f t="shared" si="2"/>
        <v>3438</v>
      </c>
      <c r="D147" s="5">
        <f t="shared" si="3"/>
        <v>3321</v>
      </c>
      <c r="E147" s="5">
        <f t="shared" si="1"/>
        <v>6136</v>
      </c>
      <c r="L147" s="5">
        <f t="shared" si="4"/>
        <v>-188</v>
      </c>
      <c r="M147" s="19">
        <f t="shared" si="5"/>
        <v>0.05784615385</v>
      </c>
      <c r="N147" s="5">
        <f t="shared" si="6"/>
        <v>35344</v>
      </c>
      <c r="P147" s="5">
        <f t="shared" si="7"/>
        <v>-71</v>
      </c>
      <c r="Q147" s="19">
        <f t="shared" si="8"/>
        <v>0.02184615385</v>
      </c>
      <c r="R147" s="5">
        <f t="shared" si="9"/>
        <v>5041</v>
      </c>
      <c r="T147" s="5">
        <f t="shared" si="10"/>
        <v>-2886</v>
      </c>
      <c r="U147" s="19">
        <f t="shared" si="11"/>
        <v>0.888</v>
      </c>
      <c r="V147" s="5">
        <f t="shared" si="12"/>
        <v>8328996</v>
      </c>
    </row>
    <row r="148">
      <c r="A148" s="2">
        <v>40752.0</v>
      </c>
      <c r="B148" s="5">
        <v>1297.0</v>
      </c>
      <c r="C148" s="5">
        <f t="shared" si="2"/>
        <v>2780</v>
      </c>
      <c r="D148" s="5">
        <f t="shared" si="3"/>
        <v>3321</v>
      </c>
      <c r="E148" s="5">
        <f t="shared" si="1"/>
        <v>3827</v>
      </c>
      <c r="L148" s="5">
        <f t="shared" si="4"/>
        <v>-1483</v>
      </c>
      <c r="M148" s="19">
        <f t="shared" si="5"/>
        <v>1.143407864</v>
      </c>
      <c r="N148" s="5">
        <f t="shared" si="6"/>
        <v>2199289</v>
      </c>
      <c r="P148" s="5">
        <f t="shared" si="7"/>
        <v>-2024</v>
      </c>
      <c r="Q148" s="19">
        <f t="shared" si="8"/>
        <v>1.560524287</v>
      </c>
      <c r="R148" s="5">
        <f t="shared" si="9"/>
        <v>4096576</v>
      </c>
      <c r="T148" s="5">
        <f t="shared" si="10"/>
        <v>-2530</v>
      </c>
      <c r="U148" s="19">
        <f t="shared" si="11"/>
        <v>1.950655359</v>
      </c>
      <c r="V148" s="5">
        <f t="shared" si="12"/>
        <v>6400900</v>
      </c>
    </row>
    <row r="149">
      <c r="A149" s="2">
        <v>40753.0</v>
      </c>
      <c r="B149" s="5">
        <v>611.0</v>
      </c>
      <c r="C149" s="5">
        <f t="shared" si="2"/>
        <v>2787</v>
      </c>
      <c r="D149" s="5">
        <f t="shared" si="3"/>
        <v>3307</v>
      </c>
      <c r="E149" s="5">
        <f t="shared" si="1"/>
        <v>1803</v>
      </c>
      <c r="L149" s="5">
        <f t="shared" si="4"/>
        <v>-2176</v>
      </c>
      <c r="M149" s="19">
        <f t="shared" si="5"/>
        <v>3.561374795</v>
      </c>
      <c r="N149" s="5">
        <f t="shared" si="6"/>
        <v>4734976</v>
      </c>
      <c r="P149" s="5">
        <f t="shared" si="7"/>
        <v>-2696</v>
      </c>
      <c r="Q149" s="19">
        <f t="shared" si="8"/>
        <v>4.412438625</v>
      </c>
      <c r="R149" s="5">
        <f t="shared" si="9"/>
        <v>7268416</v>
      </c>
      <c r="T149" s="5">
        <f t="shared" si="10"/>
        <v>-1192</v>
      </c>
      <c r="U149" s="19">
        <f t="shared" si="11"/>
        <v>1.950900164</v>
      </c>
      <c r="V149" s="5">
        <f t="shared" si="12"/>
        <v>1420864</v>
      </c>
    </row>
    <row r="150">
      <c r="A150" s="2">
        <v>40756.0</v>
      </c>
      <c r="B150" s="5">
        <v>2215.0</v>
      </c>
      <c r="C150" s="5">
        <f t="shared" si="2"/>
        <v>2889</v>
      </c>
      <c r="D150" s="5">
        <f t="shared" si="3"/>
        <v>3289</v>
      </c>
      <c r="E150" s="5">
        <f t="shared" si="1"/>
        <v>849</v>
      </c>
      <c r="L150" s="5">
        <f t="shared" si="4"/>
        <v>-674</v>
      </c>
      <c r="M150" s="19">
        <f t="shared" si="5"/>
        <v>0.3042889391</v>
      </c>
      <c r="N150" s="5">
        <f t="shared" si="6"/>
        <v>454276</v>
      </c>
      <c r="P150" s="5">
        <f t="shared" si="7"/>
        <v>-1074</v>
      </c>
      <c r="Q150" s="19">
        <f t="shared" si="8"/>
        <v>0.4848758465</v>
      </c>
      <c r="R150" s="5">
        <f t="shared" si="9"/>
        <v>1153476</v>
      </c>
      <c r="T150" s="5">
        <f t="shared" si="10"/>
        <v>1366</v>
      </c>
      <c r="U150" s="19">
        <f t="shared" si="11"/>
        <v>0.6167042889</v>
      </c>
      <c r="V150" s="5">
        <f t="shared" si="12"/>
        <v>1865956</v>
      </c>
    </row>
    <row r="151">
      <c r="A151" s="2">
        <v>40757.0</v>
      </c>
      <c r="B151" s="5">
        <v>3910.0</v>
      </c>
      <c r="C151" s="5">
        <f t="shared" si="2"/>
        <v>2921</v>
      </c>
      <c r="D151" s="5">
        <f t="shared" si="3"/>
        <v>3281</v>
      </c>
      <c r="E151" s="5">
        <f t="shared" si="1"/>
        <v>1942</v>
      </c>
      <c r="L151" s="5">
        <f t="shared" si="4"/>
        <v>989</v>
      </c>
      <c r="M151" s="19">
        <f t="shared" si="5"/>
        <v>0.2529411765</v>
      </c>
      <c r="N151" s="5">
        <f t="shared" si="6"/>
        <v>978121</v>
      </c>
      <c r="P151" s="5">
        <f t="shared" si="7"/>
        <v>629</v>
      </c>
      <c r="Q151" s="19">
        <f t="shared" si="8"/>
        <v>0.1608695652</v>
      </c>
      <c r="R151" s="5">
        <f t="shared" si="9"/>
        <v>395641</v>
      </c>
      <c r="T151" s="5">
        <f t="shared" si="10"/>
        <v>1968</v>
      </c>
      <c r="U151" s="19">
        <f t="shared" si="11"/>
        <v>0.5033248082</v>
      </c>
      <c r="V151" s="5">
        <f t="shared" si="12"/>
        <v>3873024</v>
      </c>
    </row>
    <row r="152">
      <c r="A152" s="2">
        <v>40758.0</v>
      </c>
      <c r="B152" s="5">
        <v>5062.0</v>
      </c>
      <c r="C152" s="5">
        <f t="shared" si="2"/>
        <v>2257</v>
      </c>
      <c r="D152" s="5">
        <f t="shared" si="3"/>
        <v>3285</v>
      </c>
      <c r="E152" s="5">
        <f t="shared" si="1"/>
        <v>3516</v>
      </c>
      <c r="L152" s="5">
        <f t="shared" si="4"/>
        <v>2805</v>
      </c>
      <c r="M152" s="19">
        <f t="shared" si="5"/>
        <v>0.5541288028</v>
      </c>
      <c r="N152" s="5">
        <f t="shared" si="6"/>
        <v>7868025</v>
      </c>
      <c r="P152" s="5">
        <f t="shared" si="7"/>
        <v>1777</v>
      </c>
      <c r="Q152" s="19">
        <f t="shared" si="8"/>
        <v>0.351047017</v>
      </c>
      <c r="R152" s="5">
        <f t="shared" si="9"/>
        <v>3157729</v>
      </c>
      <c r="T152" s="5">
        <f t="shared" si="10"/>
        <v>1546</v>
      </c>
      <c r="U152" s="19">
        <f t="shared" si="11"/>
        <v>0.3054128803</v>
      </c>
      <c r="V152" s="5">
        <f t="shared" si="12"/>
        <v>2390116</v>
      </c>
    </row>
    <row r="153">
      <c r="A153" s="2">
        <v>40759.0</v>
      </c>
      <c r="B153" s="5">
        <v>790.0</v>
      </c>
      <c r="C153" s="5">
        <f t="shared" si="2"/>
        <v>2619</v>
      </c>
      <c r="D153" s="5">
        <f t="shared" si="3"/>
        <v>3297</v>
      </c>
      <c r="E153" s="5">
        <f t="shared" si="1"/>
        <v>4753</v>
      </c>
      <c r="L153" s="5">
        <f t="shared" si="4"/>
        <v>-1829</v>
      </c>
      <c r="M153" s="19">
        <f t="shared" si="5"/>
        <v>2.315189873</v>
      </c>
      <c r="N153" s="5">
        <f t="shared" si="6"/>
        <v>3345241</v>
      </c>
      <c r="P153" s="5">
        <f t="shared" si="7"/>
        <v>-2507</v>
      </c>
      <c r="Q153" s="19">
        <f t="shared" si="8"/>
        <v>3.173417722</v>
      </c>
      <c r="R153" s="5">
        <f t="shared" si="9"/>
        <v>6285049</v>
      </c>
      <c r="T153" s="5">
        <f t="shared" si="10"/>
        <v>-3963</v>
      </c>
      <c r="U153" s="19">
        <f t="shared" si="11"/>
        <v>5.016455696</v>
      </c>
      <c r="V153" s="5">
        <f t="shared" si="12"/>
        <v>15705369</v>
      </c>
    </row>
    <row r="154">
      <c r="A154" s="2">
        <v>40760.0</v>
      </c>
      <c r="B154" s="5">
        <v>200.0</v>
      </c>
      <c r="C154" s="5">
        <f t="shared" si="2"/>
        <v>2518</v>
      </c>
      <c r="D154" s="5">
        <f t="shared" si="3"/>
        <v>3281</v>
      </c>
      <c r="E154" s="5">
        <f t="shared" si="1"/>
        <v>1583</v>
      </c>
      <c r="L154" s="5">
        <f t="shared" si="4"/>
        <v>-2318</v>
      </c>
      <c r="M154" s="19">
        <f t="shared" si="5"/>
        <v>11.59</v>
      </c>
      <c r="N154" s="5">
        <f t="shared" si="6"/>
        <v>5373124</v>
      </c>
      <c r="P154" s="5">
        <f t="shared" si="7"/>
        <v>-3081</v>
      </c>
      <c r="Q154" s="19">
        <f t="shared" si="8"/>
        <v>15.405</v>
      </c>
      <c r="R154" s="5">
        <f t="shared" si="9"/>
        <v>9492561</v>
      </c>
      <c r="T154" s="5">
        <f t="shared" si="10"/>
        <v>-1383</v>
      </c>
      <c r="U154" s="19">
        <f t="shared" si="11"/>
        <v>6.915</v>
      </c>
      <c r="V154" s="5">
        <f t="shared" si="12"/>
        <v>1912689</v>
      </c>
    </row>
    <row r="155">
      <c r="A155" s="2">
        <v>40763.0</v>
      </c>
      <c r="B155" s="5">
        <v>2082.0</v>
      </c>
      <c r="C155" s="5">
        <f t="shared" si="2"/>
        <v>2435</v>
      </c>
      <c r="D155" s="5">
        <f t="shared" si="3"/>
        <v>3260</v>
      </c>
      <c r="E155" s="5">
        <f t="shared" si="1"/>
        <v>477</v>
      </c>
      <c r="L155" s="5">
        <f t="shared" si="4"/>
        <v>-353</v>
      </c>
      <c r="M155" s="19">
        <f t="shared" si="5"/>
        <v>0.169548511</v>
      </c>
      <c r="N155" s="5">
        <f t="shared" si="6"/>
        <v>124609</v>
      </c>
      <c r="P155" s="5">
        <f t="shared" si="7"/>
        <v>-1178</v>
      </c>
      <c r="Q155" s="19">
        <f t="shared" si="8"/>
        <v>0.5658021134</v>
      </c>
      <c r="R155" s="5">
        <f t="shared" si="9"/>
        <v>1387684</v>
      </c>
      <c r="T155" s="5">
        <f t="shared" si="10"/>
        <v>1605</v>
      </c>
      <c r="U155" s="19">
        <f t="shared" si="11"/>
        <v>0.7708933718</v>
      </c>
      <c r="V155" s="5">
        <f t="shared" si="12"/>
        <v>2576025</v>
      </c>
    </row>
    <row r="156">
      <c r="A156" s="2">
        <v>40764.0</v>
      </c>
      <c r="B156" s="5">
        <v>5476.0</v>
      </c>
      <c r="C156" s="5">
        <f t="shared" si="2"/>
        <v>2409</v>
      </c>
      <c r="D156" s="5">
        <f t="shared" si="3"/>
        <v>3253</v>
      </c>
      <c r="E156" s="5">
        <f t="shared" si="1"/>
        <v>1761</v>
      </c>
      <c r="L156" s="5">
        <f t="shared" si="4"/>
        <v>3067</v>
      </c>
      <c r="M156" s="19">
        <f t="shared" si="5"/>
        <v>0.5600803506</v>
      </c>
      <c r="N156" s="5">
        <f t="shared" si="6"/>
        <v>9406489</v>
      </c>
      <c r="P156" s="5">
        <f t="shared" si="7"/>
        <v>2223</v>
      </c>
      <c r="Q156" s="19">
        <f t="shared" si="8"/>
        <v>0.4059532505</v>
      </c>
      <c r="R156" s="5">
        <f t="shared" si="9"/>
        <v>4941729</v>
      </c>
      <c r="T156" s="5">
        <f t="shared" si="10"/>
        <v>3715</v>
      </c>
      <c r="U156" s="19">
        <f t="shared" si="11"/>
        <v>0.6784149014</v>
      </c>
      <c r="V156" s="5">
        <f t="shared" si="12"/>
        <v>13801225</v>
      </c>
    </row>
    <row r="157">
      <c r="A157" s="2">
        <v>40765.0</v>
      </c>
      <c r="B157" s="5">
        <v>6014.0</v>
      </c>
      <c r="C157" s="5">
        <f t="shared" si="2"/>
        <v>2722</v>
      </c>
      <c r="D157" s="5">
        <f t="shared" si="3"/>
        <v>3267</v>
      </c>
      <c r="E157" s="5">
        <f t="shared" si="1"/>
        <v>4733</v>
      </c>
      <c r="L157" s="5">
        <f t="shared" si="4"/>
        <v>3292</v>
      </c>
      <c r="M157" s="19">
        <f t="shared" si="5"/>
        <v>0.5473894247</v>
      </c>
      <c r="N157" s="5">
        <f t="shared" si="6"/>
        <v>10837264</v>
      </c>
      <c r="P157" s="5">
        <f t="shared" si="7"/>
        <v>2747</v>
      </c>
      <c r="Q157" s="19">
        <f t="shared" si="8"/>
        <v>0.4567675424</v>
      </c>
      <c r="R157" s="5">
        <f t="shared" si="9"/>
        <v>7546009</v>
      </c>
      <c r="T157" s="5">
        <f t="shared" si="10"/>
        <v>1281</v>
      </c>
      <c r="U157" s="19">
        <f t="shared" si="11"/>
        <v>0.213002993</v>
      </c>
      <c r="V157" s="5">
        <f t="shared" si="12"/>
        <v>1640961</v>
      </c>
    </row>
    <row r="158">
      <c r="A158" s="2">
        <v>40766.0</v>
      </c>
      <c r="B158" s="5">
        <v>1323.0</v>
      </c>
      <c r="C158" s="5">
        <f t="shared" si="2"/>
        <v>2912</v>
      </c>
      <c r="D158" s="5">
        <f t="shared" si="3"/>
        <v>3285</v>
      </c>
      <c r="E158" s="5">
        <f t="shared" si="1"/>
        <v>5758</v>
      </c>
      <c r="L158" s="5">
        <f t="shared" si="4"/>
        <v>-1589</v>
      </c>
      <c r="M158" s="19">
        <f t="shared" si="5"/>
        <v>1.201058201</v>
      </c>
      <c r="N158" s="5">
        <f t="shared" si="6"/>
        <v>2524921</v>
      </c>
      <c r="P158" s="5">
        <f t="shared" si="7"/>
        <v>-1962</v>
      </c>
      <c r="Q158" s="19">
        <f t="shared" si="8"/>
        <v>1.482993197</v>
      </c>
      <c r="R158" s="5">
        <f t="shared" si="9"/>
        <v>3849444</v>
      </c>
      <c r="T158" s="5">
        <f t="shared" si="10"/>
        <v>-4435</v>
      </c>
      <c r="U158" s="19">
        <f t="shared" si="11"/>
        <v>3.352229781</v>
      </c>
      <c r="V158" s="5">
        <f t="shared" si="12"/>
        <v>19669225</v>
      </c>
    </row>
    <row r="159">
      <c r="A159" s="2">
        <v>40767.0</v>
      </c>
      <c r="B159" s="5">
        <v>200.0</v>
      </c>
      <c r="C159" s="5">
        <f t="shared" si="2"/>
        <v>3019</v>
      </c>
      <c r="D159" s="5">
        <f t="shared" si="3"/>
        <v>3272</v>
      </c>
      <c r="E159" s="5">
        <f t="shared" si="1"/>
        <v>2210</v>
      </c>
      <c r="L159" s="5">
        <f t="shared" si="4"/>
        <v>-2819</v>
      </c>
      <c r="M159" s="19">
        <f t="shared" si="5"/>
        <v>14.095</v>
      </c>
      <c r="N159" s="5">
        <f t="shared" si="6"/>
        <v>7946761</v>
      </c>
      <c r="P159" s="5">
        <f t="shared" si="7"/>
        <v>-3072</v>
      </c>
      <c r="Q159" s="19">
        <f t="shared" si="8"/>
        <v>15.36</v>
      </c>
      <c r="R159" s="5">
        <f t="shared" si="9"/>
        <v>9437184</v>
      </c>
      <c r="T159" s="5">
        <f t="shared" si="10"/>
        <v>-2010</v>
      </c>
      <c r="U159" s="19">
        <f t="shared" si="11"/>
        <v>10.05</v>
      </c>
      <c r="V159" s="5">
        <f t="shared" si="12"/>
        <v>4040100</v>
      </c>
    </row>
    <row r="160">
      <c r="A160" s="2">
        <v>40770.0</v>
      </c>
      <c r="B160" s="5">
        <v>2404.0</v>
      </c>
      <c r="C160" s="5">
        <f t="shared" si="2"/>
        <v>3019</v>
      </c>
      <c r="D160" s="5">
        <f t="shared" si="3"/>
        <v>3253</v>
      </c>
      <c r="E160" s="5">
        <f t="shared" si="1"/>
        <v>602</v>
      </c>
      <c r="L160" s="5">
        <f t="shared" si="4"/>
        <v>-615</v>
      </c>
      <c r="M160" s="19">
        <f t="shared" si="5"/>
        <v>0.2558236273</v>
      </c>
      <c r="N160" s="5">
        <f t="shared" si="6"/>
        <v>378225</v>
      </c>
      <c r="P160" s="5">
        <f t="shared" si="7"/>
        <v>-849</v>
      </c>
      <c r="Q160" s="19">
        <f t="shared" si="8"/>
        <v>0.3531613977</v>
      </c>
      <c r="R160" s="5">
        <f t="shared" si="9"/>
        <v>720801</v>
      </c>
      <c r="T160" s="5">
        <f t="shared" si="10"/>
        <v>1802</v>
      </c>
      <c r="U160" s="19">
        <f t="shared" si="11"/>
        <v>0.7495840266</v>
      </c>
      <c r="V160" s="5">
        <f t="shared" si="12"/>
        <v>3247204</v>
      </c>
    </row>
    <row r="161">
      <c r="A161" s="2">
        <v>40771.0</v>
      </c>
      <c r="B161" s="5">
        <v>6114.0</v>
      </c>
      <c r="C161" s="5">
        <f t="shared" si="2"/>
        <v>3083</v>
      </c>
      <c r="D161" s="5">
        <f t="shared" si="3"/>
        <v>3247</v>
      </c>
      <c r="E161" s="5">
        <f t="shared" si="1"/>
        <v>2044</v>
      </c>
      <c r="L161" s="5">
        <f t="shared" si="4"/>
        <v>3031</v>
      </c>
      <c r="M161" s="19">
        <f t="shared" si="5"/>
        <v>0.4957474648</v>
      </c>
      <c r="N161" s="5">
        <f t="shared" si="6"/>
        <v>9186961</v>
      </c>
      <c r="P161" s="5">
        <f t="shared" si="7"/>
        <v>2867</v>
      </c>
      <c r="Q161" s="19">
        <f t="shared" si="8"/>
        <v>0.4689237815</v>
      </c>
      <c r="R161" s="5">
        <f t="shared" si="9"/>
        <v>8219689</v>
      </c>
      <c r="T161" s="5">
        <f t="shared" si="10"/>
        <v>4070</v>
      </c>
      <c r="U161" s="19">
        <f t="shared" si="11"/>
        <v>0.6656853124</v>
      </c>
      <c r="V161" s="5">
        <f t="shared" si="12"/>
        <v>16564900</v>
      </c>
    </row>
    <row r="162">
      <c r="A162" s="2">
        <v>40772.0</v>
      </c>
      <c r="B162" s="5">
        <v>5613.0</v>
      </c>
      <c r="C162" s="5">
        <f t="shared" si="2"/>
        <v>3211</v>
      </c>
      <c r="D162" s="5">
        <f t="shared" si="3"/>
        <v>3265</v>
      </c>
      <c r="E162" s="5">
        <f t="shared" si="1"/>
        <v>5300</v>
      </c>
      <c r="L162" s="5">
        <f t="shared" si="4"/>
        <v>2402</v>
      </c>
      <c r="M162" s="19">
        <f t="shared" si="5"/>
        <v>0.4279351505</v>
      </c>
      <c r="N162" s="5">
        <f t="shared" si="6"/>
        <v>5769604</v>
      </c>
      <c r="P162" s="5">
        <f t="shared" si="7"/>
        <v>2348</v>
      </c>
      <c r="Q162" s="19">
        <f t="shared" si="8"/>
        <v>0.4183146268</v>
      </c>
      <c r="R162" s="5">
        <f t="shared" si="9"/>
        <v>5513104</v>
      </c>
      <c r="T162" s="5">
        <f t="shared" si="10"/>
        <v>313</v>
      </c>
      <c r="U162" s="19">
        <f t="shared" si="11"/>
        <v>0.05576340638</v>
      </c>
      <c r="V162" s="5">
        <f t="shared" si="12"/>
        <v>97969</v>
      </c>
    </row>
    <row r="163">
      <c r="A163" s="2">
        <v>40773.0</v>
      </c>
      <c r="B163" s="5">
        <v>1061.0</v>
      </c>
      <c r="C163" s="5">
        <f t="shared" si="2"/>
        <v>3131</v>
      </c>
      <c r="D163" s="5">
        <f t="shared" si="3"/>
        <v>3280</v>
      </c>
      <c r="E163" s="5">
        <f t="shared" si="1"/>
        <v>5550</v>
      </c>
      <c r="L163" s="5">
        <f t="shared" si="4"/>
        <v>-2070</v>
      </c>
      <c r="M163" s="19">
        <f t="shared" si="5"/>
        <v>1.950989632</v>
      </c>
      <c r="N163" s="5">
        <f t="shared" si="6"/>
        <v>4284900</v>
      </c>
      <c r="P163" s="5">
        <f t="shared" si="7"/>
        <v>-2219</v>
      </c>
      <c r="Q163" s="19">
        <f t="shared" si="8"/>
        <v>2.091423186</v>
      </c>
      <c r="R163" s="5">
        <f t="shared" si="9"/>
        <v>4923961</v>
      </c>
      <c r="T163" s="5">
        <f t="shared" si="10"/>
        <v>-4489</v>
      </c>
      <c r="U163" s="19">
        <f t="shared" si="11"/>
        <v>4.230914232</v>
      </c>
      <c r="V163" s="5">
        <f t="shared" si="12"/>
        <v>20151121</v>
      </c>
    </row>
    <row r="164">
      <c r="A164" s="2">
        <v>40774.0</v>
      </c>
      <c r="B164" s="5">
        <v>150.0</v>
      </c>
      <c r="C164" s="5">
        <f t="shared" si="2"/>
        <v>3078</v>
      </c>
      <c r="D164" s="5">
        <f t="shared" si="3"/>
        <v>3266</v>
      </c>
      <c r="E164" s="5">
        <f t="shared" si="1"/>
        <v>1959</v>
      </c>
      <c r="L164" s="5">
        <f t="shared" si="4"/>
        <v>-2928</v>
      </c>
      <c r="M164" s="19">
        <f t="shared" si="5"/>
        <v>19.52</v>
      </c>
      <c r="N164" s="5">
        <f t="shared" si="6"/>
        <v>8573184</v>
      </c>
      <c r="P164" s="5">
        <f t="shared" si="7"/>
        <v>-3116</v>
      </c>
      <c r="Q164" s="19">
        <f t="shared" si="8"/>
        <v>20.77333333</v>
      </c>
      <c r="R164" s="5">
        <f t="shared" si="9"/>
        <v>9709456</v>
      </c>
      <c r="T164" s="5">
        <f t="shared" si="10"/>
        <v>-1809</v>
      </c>
      <c r="U164" s="19">
        <f t="shared" si="11"/>
        <v>12.06</v>
      </c>
      <c r="V164" s="5">
        <f t="shared" si="12"/>
        <v>3272481</v>
      </c>
    </row>
    <row r="165">
      <c r="A165" s="2">
        <v>40777.0</v>
      </c>
      <c r="B165" s="5">
        <v>2143.0</v>
      </c>
      <c r="C165" s="5">
        <f t="shared" si="2"/>
        <v>3068</v>
      </c>
      <c r="D165" s="5">
        <f t="shared" si="3"/>
        <v>3247</v>
      </c>
      <c r="E165" s="5">
        <f t="shared" si="1"/>
        <v>512</v>
      </c>
      <c r="L165" s="5">
        <f t="shared" si="4"/>
        <v>-925</v>
      </c>
      <c r="M165" s="19">
        <f t="shared" si="5"/>
        <v>0.4316378908</v>
      </c>
      <c r="N165" s="5">
        <f t="shared" si="6"/>
        <v>855625</v>
      </c>
      <c r="P165" s="5">
        <f t="shared" si="7"/>
        <v>-1104</v>
      </c>
      <c r="Q165" s="19">
        <f t="shared" si="8"/>
        <v>0.5151656556</v>
      </c>
      <c r="R165" s="5">
        <f t="shared" si="9"/>
        <v>1218816</v>
      </c>
      <c r="T165" s="5">
        <f t="shared" si="10"/>
        <v>1631</v>
      </c>
      <c r="U165" s="19">
        <f t="shared" si="11"/>
        <v>0.7610825945</v>
      </c>
      <c r="V165" s="5">
        <f t="shared" si="12"/>
        <v>2660161</v>
      </c>
    </row>
    <row r="166">
      <c r="A166" s="2">
        <v>40778.0</v>
      </c>
      <c r="B166" s="5">
        <v>7288.0</v>
      </c>
      <c r="C166" s="5">
        <f t="shared" si="2"/>
        <v>3016</v>
      </c>
      <c r="D166" s="5">
        <f t="shared" si="3"/>
        <v>3240</v>
      </c>
      <c r="E166" s="5">
        <f t="shared" si="1"/>
        <v>1817</v>
      </c>
      <c r="L166" s="5">
        <f t="shared" si="4"/>
        <v>4272</v>
      </c>
      <c r="M166" s="19">
        <f t="shared" si="5"/>
        <v>0.586169045</v>
      </c>
      <c r="N166" s="5">
        <f t="shared" si="6"/>
        <v>18249984</v>
      </c>
      <c r="P166" s="5">
        <f t="shared" si="7"/>
        <v>4048</v>
      </c>
      <c r="Q166" s="19">
        <f t="shared" si="8"/>
        <v>0.5554335895</v>
      </c>
      <c r="R166" s="5">
        <f t="shared" si="9"/>
        <v>16386304</v>
      </c>
      <c r="T166" s="5">
        <f t="shared" si="10"/>
        <v>5471</v>
      </c>
      <c r="U166" s="19">
        <f t="shared" si="11"/>
        <v>0.7506860593</v>
      </c>
      <c r="V166" s="5">
        <f t="shared" si="12"/>
        <v>29931841</v>
      </c>
    </row>
    <row r="167">
      <c r="A167" s="2">
        <v>40779.0</v>
      </c>
      <c r="B167" s="5">
        <v>3858.0</v>
      </c>
      <c r="C167" s="5">
        <f t="shared" si="2"/>
        <v>3251</v>
      </c>
      <c r="D167" s="5">
        <f t="shared" si="3"/>
        <v>3265</v>
      </c>
      <c r="E167" s="5">
        <f t="shared" si="1"/>
        <v>6194</v>
      </c>
      <c r="L167" s="5">
        <f t="shared" si="4"/>
        <v>607</v>
      </c>
      <c r="M167" s="19">
        <f t="shared" si="5"/>
        <v>0.1573354069</v>
      </c>
      <c r="N167" s="5">
        <f t="shared" si="6"/>
        <v>368449</v>
      </c>
      <c r="P167" s="5">
        <f t="shared" si="7"/>
        <v>593</v>
      </c>
      <c r="Q167" s="19">
        <f t="shared" si="8"/>
        <v>0.1537065837</v>
      </c>
      <c r="R167" s="5">
        <f t="shared" si="9"/>
        <v>351649</v>
      </c>
      <c r="T167" s="5">
        <f t="shared" si="10"/>
        <v>-2336</v>
      </c>
      <c r="U167" s="19">
        <f t="shared" si="11"/>
        <v>0.6054950752</v>
      </c>
      <c r="V167" s="5">
        <f t="shared" si="12"/>
        <v>5456896</v>
      </c>
    </row>
    <row r="168">
      <c r="A168" s="2">
        <v>40780.0</v>
      </c>
      <c r="B168" s="5">
        <v>1365.0</v>
      </c>
      <c r="C168" s="5">
        <f t="shared" si="2"/>
        <v>2900</v>
      </c>
      <c r="D168" s="5">
        <f t="shared" si="3"/>
        <v>3269</v>
      </c>
      <c r="E168" s="5">
        <f t="shared" si="1"/>
        <v>4325</v>
      </c>
      <c r="L168" s="5">
        <f t="shared" si="4"/>
        <v>-1535</v>
      </c>
      <c r="M168" s="19">
        <f t="shared" si="5"/>
        <v>1.124542125</v>
      </c>
      <c r="N168" s="5">
        <f t="shared" si="6"/>
        <v>2356225</v>
      </c>
      <c r="P168" s="5">
        <f t="shared" si="7"/>
        <v>-1904</v>
      </c>
      <c r="Q168" s="19">
        <f t="shared" si="8"/>
        <v>1.394871795</v>
      </c>
      <c r="R168" s="5">
        <f t="shared" si="9"/>
        <v>3625216</v>
      </c>
      <c r="T168" s="5">
        <f t="shared" si="10"/>
        <v>-2960</v>
      </c>
      <c r="U168" s="19">
        <f t="shared" si="11"/>
        <v>2.168498168</v>
      </c>
      <c r="V168" s="5">
        <f t="shared" si="12"/>
        <v>8761600</v>
      </c>
    </row>
    <row r="169">
      <c r="A169" s="2">
        <v>40781.0</v>
      </c>
      <c r="B169" s="5">
        <v>250.0</v>
      </c>
      <c r="C169" s="5">
        <f t="shared" si="2"/>
        <v>2961</v>
      </c>
      <c r="D169" s="5">
        <f t="shared" si="3"/>
        <v>3257</v>
      </c>
      <c r="E169" s="5">
        <f t="shared" si="1"/>
        <v>1957</v>
      </c>
      <c r="L169" s="5">
        <f t="shared" si="4"/>
        <v>-2711</v>
      </c>
      <c r="M169" s="19">
        <f t="shared" si="5"/>
        <v>10.844</v>
      </c>
      <c r="N169" s="5">
        <f t="shared" si="6"/>
        <v>7349521</v>
      </c>
      <c r="P169" s="5">
        <f t="shared" si="7"/>
        <v>-3007</v>
      </c>
      <c r="Q169" s="19">
        <f t="shared" si="8"/>
        <v>12.028</v>
      </c>
      <c r="R169" s="5">
        <f t="shared" si="9"/>
        <v>9042049</v>
      </c>
      <c r="T169" s="5">
        <f t="shared" si="10"/>
        <v>-1707</v>
      </c>
      <c r="U169" s="19">
        <f t="shared" si="11"/>
        <v>6.828</v>
      </c>
      <c r="V169" s="5">
        <f t="shared" si="12"/>
        <v>2913849</v>
      </c>
    </row>
    <row r="170">
      <c r="A170" s="2">
        <v>40784.0</v>
      </c>
      <c r="B170" s="5">
        <v>2595.0</v>
      </c>
      <c r="C170" s="5">
        <f t="shared" si="2"/>
        <v>2981</v>
      </c>
      <c r="D170" s="5">
        <f t="shared" si="3"/>
        <v>3239</v>
      </c>
      <c r="E170" s="5">
        <f t="shared" si="1"/>
        <v>591</v>
      </c>
      <c r="L170" s="5">
        <f t="shared" si="4"/>
        <v>-386</v>
      </c>
      <c r="M170" s="19">
        <f t="shared" si="5"/>
        <v>0.1487475915</v>
      </c>
      <c r="N170" s="5">
        <f t="shared" si="6"/>
        <v>148996</v>
      </c>
      <c r="P170" s="5">
        <f t="shared" si="7"/>
        <v>-644</v>
      </c>
      <c r="Q170" s="19">
        <f t="shared" si="8"/>
        <v>0.2481695568</v>
      </c>
      <c r="R170" s="5">
        <f t="shared" si="9"/>
        <v>414736</v>
      </c>
      <c r="T170" s="5">
        <f t="shared" si="10"/>
        <v>2004</v>
      </c>
      <c r="U170" s="19">
        <f t="shared" si="11"/>
        <v>0.7722543353</v>
      </c>
      <c r="V170" s="5">
        <f t="shared" si="12"/>
        <v>4016016</v>
      </c>
    </row>
    <row r="171">
      <c r="A171" s="2">
        <v>40785.0</v>
      </c>
      <c r="B171" s="5">
        <v>5368.0</v>
      </c>
      <c r="C171" s="5">
        <f t="shared" si="2"/>
        <v>3071</v>
      </c>
      <c r="D171" s="5">
        <f t="shared" si="3"/>
        <v>3235</v>
      </c>
      <c r="E171" s="5">
        <f t="shared" si="1"/>
        <v>2194</v>
      </c>
      <c r="L171" s="5">
        <f t="shared" si="4"/>
        <v>2297</v>
      </c>
      <c r="M171" s="19">
        <f t="shared" si="5"/>
        <v>0.4279061103</v>
      </c>
      <c r="N171" s="5">
        <f t="shared" si="6"/>
        <v>5276209</v>
      </c>
      <c r="P171" s="5">
        <f t="shared" si="7"/>
        <v>2133</v>
      </c>
      <c r="Q171" s="19">
        <f t="shared" si="8"/>
        <v>0.3973546945</v>
      </c>
      <c r="R171" s="5">
        <f t="shared" si="9"/>
        <v>4549689</v>
      </c>
      <c r="T171" s="5">
        <f t="shared" si="10"/>
        <v>3174</v>
      </c>
      <c r="U171" s="19">
        <f t="shared" si="11"/>
        <v>0.5912816692</v>
      </c>
      <c r="V171" s="5">
        <f t="shared" si="12"/>
        <v>10074276</v>
      </c>
    </row>
    <row r="172">
      <c r="A172" s="2">
        <v>40786.0</v>
      </c>
      <c r="B172" s="5">
        <v>7188.0</v>
      </c>
      <c r="C172" s="5">
        <f t="shared" si="2"/>
        <v>2687</v>
      </c>
      <c r="D172" s="5">
        <f t="shared" si="3"/>
        <v>3248</v>
      </c>
      <c r="E172" s="5">
        <f t="shared" si="1"/>
        <v>4733</v>
      </c>
      <c r="L172" s="5">
        <f t="shared" si="4"/>
        <v>4501</v>
      </c>
      <c r="M172" s="19">
        <f t="shared" si="5"/>
        <v>0.6261825264</v>
      </c>
      <c r="N172" s="5">
        <f t="shared" si="6"/>
        <v>20259001</v>
      </c>
      <c r="P172" s="5">
        <f t="shared" si="7"/>
        <v>3940</v>
      </c>
      <c r="Q172" s="19">
        <f t="shared" si="8"/>
        <v>0.5481357819</v>
      </c>
      <c r="R172" s="5">
        <f t="shared" si="9"/>
        <v>15523600</v>
      </c>
      <c r="T172" s="5">
        <f t="shared" si="10"/>
        <v>2455</v>
      </c>
      <c r="U172" s="19">
        <f t="shared" si="11"/>
        <v>0.341541458</v>
      </c>
      <c r="V172" s="5">
        <f t="shared" si="12"/>
        <v>6027025</v>
      </c>
    </row>
    <row r="173">
      <c r="A173" s="2">
        <v>40787.0</v>
      </c>
      <c r="B173" s="5">
        <v>2231.0</v>
      </c>
      <c r="C173" s="5">
        <f t="shared" si="2"/>
        <v>3353</v>
      </c>
      <c r="D173" s="5">
        <f t="shared" si="3"/>
        <v>3271</v>
      </c>
      <c r="E173" s="5">
        <f t="shared" si="1"/>
        <v>6697</v>
      </c>
      <c r="L173" s="5">
        <f t="shared" si="4"/>
        <v>-1122</v>
      </c>
      <c r="M173" s="19">
        <f t="shared" si="5"/>
        <v>0.5029134917</v>
      </c>
      <c r="N173" s="5">
        <f t="shared" si="6"/>
        <v>1258884</v>
      </c>
      <c r="P173" s="5">
        <f t="shared" si="7"/>
        <v>-1040</v>
      </c>
      <c r="Q173" s="19">
        <f t="shared" si="8"/>
        <v>0.4661586732</v>
      </c>
      <c r="R173" s="5">
        <f t="shared" si="9"/>
        <v>1081600</v>
      </c>
      <c r="T173" s="5">
        <f t="shared" si="10"/>
        <v>-4466</v>
      </c>
      <c r="U173" s="19">
        <f t="shared" si="11"/>
        <v>2.001792918</v>
      </c>
      <c r="V173" s="5">
        <f t="shared" si="12"/>
        <v>19945156</v>
      </c>
    </row>
    <row r="174">
      <c r="A174" s="2">
        <v>40788.0</v>
      </c>
      <c r="B174" s="5">
        <v>2948.0</v>
      </c>
      <c r="C174" s="5">
        <f t="shared" si="2"/>
        <v>3526</v>
      </c>
      <c r="D174" s="5">
        <f t="shared" si="3"/>
        <v>3265</v>
      </c>
      <c r="E174" s="5">
        <f t="shared" si="1"/>
        <v>3124</v>
      </c>
      <c r="L174" s="5">
        <f t="shared" si="4"/>
        <v>-578</v>
      </c>
      <c r="M174" s="19">
        <f t="shared" si="5"/>
        <v>0.1960651289</v>
      </c>
      <c r="N174" s="5">
        <f t="shared" si="6"/>
        <v>334084</v>
      </c>
      <c r="P174" s="5">
        <f t="shared" si="7"/>
        <v>-317</v>
      </c>
      <c r="Q174" s="19">
        <f t="shared" si="8"/>
        <v>0.1075305292</v>
      </c>
      <c r="R174" s="5">
        <f t="shared" si="9"/>
        <v>100489</v>
      </c>
      <c r="T174" s="5">
        <f t="shared" si="10"/>
        <v>-176</v>
      </c>
      <c r="U174" s="19">
        <f t="shared" si="11"/>
        <v>0.05970149254</v>
      </c>
      <c r="V174" s="5">
        <f t="shared" si="12"/>
        <v>30976</v>
      </c>
    </row>
    <row r="175">
      <c r="A175" s="2">
        <v>40792.0</v>
      </c>
      <c r="B175" s="5">
        <v>5621.0</v>
      </c>
      <c r="C175" s="5">
        <f t="shared" si="2"/>
        <v>4066</v>
      </c>
      <c r="D175" s="5">
        <f t="shared" si="3"/>
        <v>3263</v>
      </c>
      <c r="E175" s="5">
        <f t="shared" si="1"/>
        <v>2983</v>
      </c>
      <c r="L175" s="5">
        <f t="shared" si="4"/>
        <v>1555</v>
      </c>
      <c r="M175" s="19">
        <f t="shared" si="5"/>
        <v>0.2766411671</v>
      </c>
      <c r="N175" s="5">
        <f t="shared" si="6"/>
        <v>2418025</v>
      </c>
      <c r="P175" s="5">
        <f t="shared" si="7"/>
        <v>2358</v>
      </c>
      <c r="Q175" s="19">
        <f t="shared" si="8"/>
        <v>0.4194983099</v>
      </c>
      <c r="R175" s="5">
        <f t="shared" si="9"/>
        <v>5560164</v>
      </c>
      <c r="T175" s="5">
        <f t="shared" si="10"/>
        <v>2638</v>
      </c>
      <c r="U175" s="19">
        <f t="shared" si="11"/>
        <v>0.4693115104</v>
      </c>
      <c r="V175" s="5">
        <f t="shared" si="12"/>
        <v>6959044</v>
      </c>
    </row>
    <row r="176">
      <c r="A176" s="2">
        <v>40793.0</v>
      </c>
      <c r="B176" s="5">
        <v>5686.0</v>
      </c>
      <c r="C176" s="5">
        <f t="shared" si="2"/>
        <v>4671</v>
      </c>
      <c r="D176" s="5">
        <f t="shared" si="3"/>
        <v>3277</v>
      </c>
      <c r="E176" s="5">
        <f t="shared" si="1"/>
        <v>5093</v>
      </c>
      <c r="L176" s="5">
        <f t="shared" si="4"/>
        <v>1015</v>
      </c>
      <c r="M176" s="19">
        <f t="shared" si="5"/>
        <v>0.1785086177</v>
      </c>
      <c r="N176" s="5">
        <f t="shared" si="6"/>
        <v>1030225</v>
      </c>
      <c r="P176" s="5">
        <f t="shared" si="7"/>
        <v>2409</v>
      </c>
      <c r="Q176" s="19">
        <f t="shared" si="8"/>
        <v>0.4236721773</v>
      </c>
      <c r="R176" s="5">
        <f t="shared" si="9"/>
        <v>5803281</v>
      </c>
      <c r="T176" s="5">
        <f t="shared" si="10"/>
        <v>593</v>
      </c>
      <c r="U176" s="19">
        <f t="shared" si="11"/>
        <v>0.1042912416</v>
      </c>
      <c r="V176" s="5">
        <f t="shared" si="12"/>
        <v>351649</v>
      </c>
    </row>
    <row r="177">
      <c r="A177" s="2">
        <v>40794.0</v>
      </c>
      <c r="B177" s="5">
        <v>702.0</v>
      </c>
      <c r="C177" s="5">
        <f t="shared" si="2"/>
        <v>4735</v>
      </c>
      <c r="D177" s="5">
        <f t="shared" si="3"/>
        <v>3291</v>
      </c>
      <c r="E177" s="5">
        <f t="shared" si="1"/>
        <v>5567</v>
      </c>
      <c r="L177" s="5">
        <f t="shared" si="4"/>
        <v>-4033</v>
      </c>
      <c r="M177" s="19">
        <f t="shared" si="5"/>
        <v>5.745014245</v>
      </c>
      <c r="N177" s="5">
        <f t="shared" si="6"/>
        <v>16265089</v>
      </c>
      <c r="P177" s="5">
        <f t="shared" si="7"/>
        <v>-2589</v>
      </c>
      <c r="Q177" s="19">
        <f t="shared" si="8"/>
        <v>3.688034188</v>
      </c>
      <c r="R177" s="5">
        <f t="shared" si="9"/>
        <v>6702921</v>
      </c>
      <c r="T177" s="5">
        <f t="shared" si="10"/>
        <v>-4865</v>
      </c>
      <c r="U177" s="19">
        <f t="shared" si="11"/>
        <v>6.93019943</v>
      </c>
      <c r="V177" s="5">
        <f t="shared" si="12"/>
        <v>23668225</v>
      </c>
    </row>
    <row r="178">
      <c r="A178" s="2">
        <v>40795.0</v>
      </c>
      <c r="B178" s="5">
        <v>10.0</v>
      </c>
      <c r="C178" s="5">
        <f t="shared" si="2"/>
        <v>3438</v>
      </c>
      <c r="D178" s="5">
        <f t="shared" si="3"/>
        <v>3276</v>
      </c>
      <c r="E178" s="5">
        <f t="shared" si="1"/>
        <v>1675</v>
      </c>
      <c r="L178" s="5">
        <f t="shared" si="4"/>
        <v>-3428</v>
      </c>
      <c r="M178" s="19">
        <f t="shared" si="5"/>
        <v>342.8</v>
      </c>
      <c r="N178" s="5">
        <f t="shared" si="6"/>
        <v>11751184</v>
      </c>
      <c r="P178" s="5">
        <f t="shared" si="7"/>
        <v>-3266</v>
      </c>
      <c r="Q178" s="19">
        <f t="shared" si="8"/>
        <v>326.6</v>
      </c>
      <c r="R178" s="5">
        <f t="shared" si="9"/>
        <v>10666756</v>
      </c>
      <c r="T178" s="5">
        <f t="shared" si="10"/>
        <v>-1665</v>
      </c>
      <c r="U178" s="19">
        <f t="shared" si="11"/>
        <v>166.5</v>
      </c>
      <c r="V178" s="5">
        <f t="shared" si="12"/>
        <v>2772225</v>
      </c>
    </row>
    <row r="179">
      <c r="A179" s="2">
        <v>40798.0</v>
      </c>
      <c r="B179" s="5">
        <v>1960.0</v>
      </c>
      <c r="C179" s="5">
        <f t="shared" si="2"/>
        <v>2993</v>
      </c>
      <c r="D179" s="5">
        <f t="shared" si="3"/>
        <v>3257</v>
      </c>
      <c r="E179" s="5">
        <f t="shared" si="1"/>
        <v>343</v>
      </c>
      <c r="L179" s="5">
        <f t="shared" si="4"/>
        <v>-1033</v>
      </c>
      <c r="M179" s="19">
        <f t="shared" si="5"/>
        <v>0.5270408163</v>
      </c>
      <c r="N179" s="5">
        <f t="shared" si="6"/>
        <v>1067089</v>
      </c>
      <c r="P179" s="5">
        <f t="shared" si="7"/>
        <v>-1297</v>
      </c>
      <c r="Q179" s="19">
        <f t="shared" si="8"/>
        <v>0.6617346939</v>
      </c>
      <c r="R179" s="5">
        <f t="shared" si="9"/>
        <v>1682209</v>
      </c>
      <c r="T179" s="5">
        <f t="shared" si="10"/>
        <v>1617</v>
      </c>
      <c r="U179" s="19">
        <f t="shared" si="11"/>
        <v>0.825</v>
      </c>
      <c r="V179" s="5">
        <f t="shared" si="12"/>
        <v>2614689</v>
      </c>
    </row>
    <row r="180">
      <c r="A180" s="2">
        <v>40799.0</v>
      </c>
      <c r="B180" s="5">
        <v>6410.0</v>
      </c>
      <c r="C180" s="5">
        <f t="shared" si="2"/>
        <v>2796</v>
      </c>
      <c r="D180" s="5">
        <f t="shared" si="3"/>
        <v>3250</v>
      </c>
      <c r="E180" s="5">
        <f t="shared" si="1"/>
        <v>1637</v>
      </c>
      <c r="L180" s="5">
        <f t="shared" si="4"/>
        <v>3614</v>
      </c>
      <c r="M180" s="19">
        <f t="shared" si="5"/>
        <v>0.5638065523</v>
      </c>
      <c r="N180" s="5">
        <f t="shared" si="6"/>
        <v>13060996</v>
      </c>
      <c r="P180" s="5">
        <f t="shared" si="7"/>
        <v>3160</v>
      </c>
      <c r="Q180" s="19">
        <f t="shared" si="8"/>
        <v>0.4929797192</v>
      </c>
      <c r="R180" s="5">
        <f t="shared" si="9"/>
        <v>9985600</v>
      </c>
      <c r="T180" s="5">
        <f t="shared" si="10"/>
        <v>4773</v>
      </c>
      <c r="U180" s="19">
        <f t="shared" si="11"/>
        <v>0.7446177847</v>
      </c>
      <c r="V180" s="5">
        <f t="shared" si="12"/>
        <v>22781529</v>
      </c>
    </row>
    <row r="181">
      <c r="A181" s="2">
        <v>40800.0</v>
      </c>
      <c r="B181" s="5">
        <v>3208.0</v>
      </c>
      <c r="C181" s="5">
        <f t="shared" si="2"/>
        <v>2954</v>
      </c>
      <c r="D181" s="5">
        <f t="shared" si="3"/>
        <v>3268</v>
      </c>
      <c r="E181" s="5">
        <f t="shared" si="1"/>
        <v>5455</v>
      </c>
      <c r="L181" s="5">
        <f t="shared" si="4"/>
        <v>254</v>
      </c>
      <c r="M181" s="19">
        <f t="shared" si="5"/>
        <v>0.07917705736</v>
      </c>
      <c r="N181" s="5">
        <f t="shared" si="6"/>
        <v>64516</v>
      </c>
      <c r="P181" s="5">
        <f t="shared" si="7"/>
        <v>-60</v>
      </c>
      <c r="Q181" s="19">
        <f t="shared" si="8"/>
        <v>0.0187032419</v>
      </c>
      <c r="R181" s="5">
        <f t="shared" si="9"/>
        <v>3600</v>
      </c>
      <c r="T181" s="5">
        <f t="shared" si="10"/>
        <v>-2247</v>
      </c>
      <c r="U181" s="19">
        <f t="shared" si="11"/>
        <v>0.700436409</v>
      </c>
      <c r="V181" s="5">
        <f t="shared" si="12"/>
        <v>5049009</v>
      </c>
    </row>
    <row r="182">
      <c r="A182" s="2">
        <v>40801.0</v>
      </c>
      <c r="B182" s="5">
        <v>1302.0</v>
      </c>
      <c r="C182" s="5">
        <f t="shared" si="2"/>
        <v>2458</v>
      </c>
      <c r="D182" s="5">
        <f t="shared" si="3"/>
        <v>3267</v>
      </c>
      <c r="E182" s="5">
        <f t="shared" si="1"/>
        <v>3657</v>
      </c>
      <c r="L182" s="5">
        <f t="shared" si="4"/>
        <v>-1156</v>
      </c>
      <c r="M182" s="19">
        <f t="shared" si="5"/>
        <v>0.8878648233</v>
      </c>
      <c r="N182" s="5">
        <f t="shared" si="6"/>
        <v>1336336</v>
      </c>
      <c r="P182" s="5">
        <f t="shared" si="7"/>
        <v>-1965</v>
      </c>
      <c r="Q182" s="19">
        <f t="shared" si="8"/>
        <v>1.50921659</v>
      </c>
      <c r="R182" s="5">
        <f t="shared" si="9"/>
        <v>3861225</v>
      </c>
      <c r="T182" s="5">
        <f t="shared" si="10"/>
        <v>-2355</v>
      </c>
      <c r="U182" s="19">
        <f t="shared" si="11"/>
        <v>1.80875576</v>
      </c>
      <c r="V182" s="5">
        <f t="shared" si="12"/>
        <v>5546025</v>
      </c>
    </row>
    <row r="183">
      <c r="A183" s="2">
        <v>40802.0</v>
      </c>
      <c r="B183" s="5">
        <v>253.0</v>
      </c>
      <c r="C183" s="5">
        <f t="shared" si="2"/>
        <v>2578</v>
      </c>
      <c r="D183" s="5">
        <f t="shared" si="3"/>
        <v>3256</v>
      </c>
      <c r="E183" s="5">
        <f t="shared" si="1"/>
        <v>1773</v>
      </c>
      <c r="L183" s="5">
        <f t="shared" si="4"/>
        <v>-2325</v>
      </c>
      <c r="M183" s="19">
        <f t="shared" si="5"/>
        <v>9.18972332</v>
      </c>
      <c r="N183" s="5">
        <f t="shared" si="6"/>
        <v>5405625</v>
      </c>
      <c r="P183" s="5">
        <f t="shared" si="7"/>
        <v>-3003</v>
      </c>
      <c r="Q183" s="19">
        <f t="shared" si="8"/>
        <v>11.86956522</v>
      </c>
      <c r="R183" s="5">
        <f t="shared" si="9"/>
        <v>9018009</v>
      </c>
      <c r="T183" s="5">
        <f t="shared" si="10"/>
        <v>-1520</v>
      </c>
      <c r="U183" s="19">
        <f t="shared" si="11"/>
        <v>6.007905138</v>
      </c>
      <c r="V183" s="5">
        <f t="shared" si="12"/>
        <v>2310400</v>
      </c>
    </row>
    <row r="184">
      <c r="A184" s="2">
        <v>40805.0</v>
      </c>
      <c r="B184" s="5">
        <v>2748.0</v>
      </c>
      <c r="C184" s="5">
        <f t="shared" si="2"/>
        <v>2627</v>
      </c>
      <c r="D184" s="5">
        <f t="shared" si="3"/>
        <v>3240</v>
      </c>
      <c r="E184" s="5">
        <f t="shared" si="1"/>
        <v>557</v>
      </c>
      <c r="L184" s="5">
        <f t="shared" si="4"/>
        <v>121</v>
      </c>
      <c r="M184" s="19">
        <f t="shared" si="5"/>
        <v>0.04403202329</v>
      </c>
      <c r="N184" s="5">
        <f t="shared" si="6"/>
        <v>14641</v>
      </c>
      <c r="P184" s="5">
        <f t="shared" si="7"/>
        <v>-492</v>
      </c>
      <c r="Q184" s="19">
        <f t="shared" si="8"/>
        <v>0.1790393013</v>
      </c>
      <c r="R184" s="5">
        <f t="shared" si="9"/>
        <v>242064</v>
      </c>
      <c r="T184" s="5">
        <f t="shared" si="10"/>
        <v>2191</v>
      </c>
      <c r="U184" s="19">
        <f t="shared" si="11"/>
        <v>0.7973071325</v>
      </c>
      <c r="V184" s="5">
        <f t="shared" si="12"/>
        <v>4800481</v>
      </c>
    </row>
    <row r="185">
      <c r="A185" s="2">
        <v>40806.0</v>
      </c>
      <c r="B185" s="5">
        <v>8870.0</v>
      </c>
      <c r="C185" s="5">
        <f t="shared" si="2"/>
        <v>2784</v>
      </c>
      <c r="D185" s="5">
        <f t="shared" si="3"/>
        <v>3237</v>
      </c>
      <c r="E185" s="5">
        <f t="shared" si="1"/>
        <v>2310</v>
      </c>
      <c r="L185" s="5">
        <f t="shared" si="4"/>
        <v>6086</v>
      </c>
      <c r="M185" s="19">
        <f t="shared" si="5"/>
        <v>0.6861330327</v>
      </c>
      <c r="N185" s="5">
        <f t="shared" si="6"/>
        <v>37039396</v>
      </c>
      <c r="P185" s="5">
        <f t="shared" si="7"/>
        <v>5633</v>
      </c>
      <c r="Q185" s="19">
        <f t="shared" si="8"/>
        <v>0.6350620068</v>
      </c>
      <c r="R185" s="5">
        <f t="shared" si="9"/>
        <v>31730689</v>
      </c>
      <c r="T185" s="5">
        <f t="shared" si="10"/>
        <v>6560</v>
      </c>
      <c r="U185" s="19">
        <f t="shared" si="11"/>
        <v>0.7395715896</v>
      </c>
      <c r="V185" s="5">
        <f t="shared" si="12"/>
        <v>43033600</v>
      </c>
    </row>
    <row r="186">
      <c r="A186" s="2">
        <v>40807.0</v>
      </c>
      <c r="B186" s="5">
        <v>3819.0</v>
      </c>
      <c r="C186" s="5">
        <f t="shared" si="2"/>
        <v>3276</v>
      </c>
      <c r="D186" s="5">
        <f t="shared" si="3"/>
        <v>3268</v>
      </c>
      <c r="E186" s="5">
        <f t="shared" si="1"/>
        <v>7558</v>
      </c>
      <c r="L186" s="5">
        <f t="shared" si="4"/>
        <v>543</v>
      </c>
      <c r="M186" s="19">
        <f t="shared" si="5"/>
        <v>0.1421838178</v>
      </c>
      <c r="N186" s="5">
        <f t="shared" si="6"/>
        <v>294849</v>
      </c>
      <c r="P186" s="5">
        <f t="shared" si="7"/>
        <v>551</v>
      </c>
      <c r="Q186" s="19">
        <f t="shared" si="8"/>
        <v>0.144278607</v>
      </c>
      <c r="R186" s="5">
        <f t="shared" si="9"/>
        <v>303601</v>
      </c>
      <c r="T186" s="5">
        <f t="shared" si="10"/>
        <v>-3739</v>
      </c>
      <c r="U186" s="19">
        <f t="shared" si="11"/>
        <v>0.9790521079</v>
      </c>
      <c r="V186" s="5">
        <f t="shared" si="12"/>
        <v>13980121</v>
      </c>
    </row>
    <row r="187">
      <c r="A187" s="2">
        <v>40808.0</v>
      </c>
      <c r="B187" s="5">
        <v>1484.0</v>
      </c>
      <c r="C187" s="5">
        <f t="shared" si="2"/>
        <v>3398</v>
      </c>
      <c r="D187" s="5">
        <f t="shared" si="3"/>
        <v>3271</v>
      </c>
      <c r="E187" s="5">
        <f t="shared" si="1"/>
        <v>4567</v>
      </c>
      <c r="L187" s="5">
        <f t="shared" si="4"/>
        <v>-1914</v>
      </c>
      <c r="M187" s="19">
        <f t="shared" si="5"/>
        <v>1.289757412</v>
      </c>
      <c r="N187" s="5">
        <f t="shared" si="6"/>
        <v>3663396</v>
      </c>
      <c r="P187" s="5">
        <f t="shared" si="7"/>
        <v>-1787</v>
      </c>
      <c r="Q187" s="19">
        <f t="shared" si="8"/>
        <v>1.204177898</v>
      </c>
      <c r="R187" s="5">
        <f t="shared" si="9"/>
        <v>3193369</v>
      </c>
      <c r="T187" s="5">
        <f t="shared" si="10"/>
        <v>-3083</v>
      </c>
      <c r="U187" s="19">
        <f t="shared" si="11"/>
        <v>2.077493261</v>
      </c>
      <c r="V187" s="5">
        <f t="shared" si="12"/>
        <v>9504889</v>
      </c>
    </row>
    <row r="188">
      <c r="A188" s="2">
        <v>40809.0</v>
      </c>
      <c r="B188" s="5">
        <v>208.0</v>
      </c>
      <c r="C188" s="5">
        <f t="shared" si="2"/>
        <v>3435</v>
      </c>
      <c r="D188" s="5">
        <f t="shared" si="3"/>
        <v>3261</v>
      </c>
      <c r="E188" s="5">
        <f t="shared" si="1"/>
        <v>2101</v>
      </c>
      <c r="L188" s="5">
        <f t="shared" si="4"/>
        <v>-3227</v>
      </c>
      <c r="M188" s="19">
        <f t="shared" si="5"/>
        <v>15.51442308</v>
      </c>
      <c r="N188" s="5">
        <f t="shared" si="6"/>
        <v>10413529</v>
      </c>
      <c r="P188" s="5">
        <f t="shared" si="7"/>
        <v>-3053</v>
      </c>
      <c r="Q188" s="19">
        <f t="shared" si="8"/>
        <v>14.67788462</v>
      </c>
      <c r="R188" s="5">
        <f t="shared" si="9"/>
        <v>9320809</v>
      </c>
      <c r="T188" s="5">
        <f t="shared" si="10"/>
        <v>-1893</v>
      </c>
      <c r="U188" s="19">
        <f t="shared" si="11"/>
        <v>9.100961538</v>
      </c>
      <c r="V188" s="5">
        <f t="shared" si="12"/>
        <v>3583449</v>
      </c>
    </row>
    <row r="189">
      <c r="A189" s="2">
        <v>40812.0</v>
      </c>
      <c r="B189" s="5">
        <v>2558.0</v>
      </c>
      <c r="C189" s="5">
        <f t="shared" si="2"/>
        <v>3426</v>
      </c>
      <c r="D189" s="5">
        <f t="shared" si="3"/>
        <v>3245</v>
      </c>
      <c r="E189" s="5">
        <f t="shared" si="1"/>
        <v>587</v>
      </c>
      <c r="L189" s="5">
        <f t="shared" si="4"/>
        <v>-868</v>
      </c>
      <c r="M189" s="19">
        <f t="shared" si="5"/>
        <v>0.3393275997</v>
      </c>
      <c r="N189" s="5">
        <f t="shared" si="6"/>
        <v>753424</v>
      </c>
      <c r="P189" s="5">
        <f t="shared" si="7"/>
        <v>-687</v>
      </c>
      <c r="Q189" s="19">
        <f t="shared" si="8"/>
        <v>0.2685691947</v>
      </c>
      <c r="R189" s="5">
        <f t="shared" si="9"/>
        <v>471969</v>
      </c>
      <c r="T189" s="5">
        <f t="shared" si="10"/>
        <v>1971</v>
      </c>
      <c r="U189" s="19">
        <f t="shared" si="11"/>
        <v>0.7705238468</v>
      </c>
      <c r="V189" s="5">
        <f t="shared" si="12"/>
        <v>3884841</v>
      </c>
    </row>
    <row r="190">
      <c r="A190" s="2">
        <v>40813.0</v>
      </c>
      <c r="B190" s="5">
        <v>7802.0</v>
      </c>
      <c r="C190" s="5">
        <f t="shared" si="2"/>
        <v>3388</v>
      </c>
      <c r="D190" s="5">
        <f t="shared" si="3"/>
        <v>3241</v>
      </c>
      <c r="E190" s="5">
        <f t="shared" si="1"/>
        <v>2164</v>
      </c>
      <c r="L190" s="5">
        <f t="shared" si="4"/>
        <v>4414</v>
      </c>
      <c r="M190" s="19">
        <f t="shared" si="5"/>
        <v>0.5657523712</v>
      </c>
      <c r="N190" s="5">
        <f t="shared" si="6"/>
        <v>19483396</v>
      </c>
      <c r="P190" s="5">
        <f t="shared" si="7"/>
        <v>4561</v>
      </c>
      <c r="Q190" s="19">
        <f t="shared" si="8"/>
        <v>0.5845936939</v>
      </c>
      <c r="R190" s="5">
        <f t="shared" si="9"/>
        <v>20802721</v>
      </c>
      <c r="T190" s="5">
        <f t="shared" si="10"/>
        <v>5638</v>
      </c>
      <c r="U190" s="19">
        <f t="shared" si="11"/>
        <v>0.7226352217</v>
      </c>
      <c r="V190" s="5">
        <f t="shared" si="12"/>
        <v>31787044</v>
      </c>
    </row>
    <row r="191">
      <c r="A191" s="2">
        <v>40814.0</v>
      </c>
      <c r="B191" s="5">
        <v>4202.0</v>
      </c>
      <c r="C191" s="5">
        <f t="shared" si="2"/>
        <v>3174</v>
      </c>
      <c r="D191" s="5">
        <f t="shared" si="3"/>
        <v>3265</v>
      </c>
      <c r="E191" s="5">
        <f t="shared" si="1"/>
        <v>6674</v>
      </c>
      <c r="L191" s="5">
        <f t="shared" si="4"/>
        <v>1028</v>
      </c>
      <c r="M191" s="19">
        <f t="shared" si="5"/>
        <v>0.2446454069</v>
      </c>
      <c r="N191" s="5">
        <f t="shared" si="6"/>
        <v>1056784</v>
      </c>
      <c r="P191" s="5">
        <f t="shared" si="7"/>
        <v>937</v>
      </c>
      <c r="Q191" s="19">
        <f t="shared" si="8"/>
        <v>0.2229890528</v>
      </c>
      <c r="R191" s="5">
        <f t="shared" si="9"/>
        <v>877969</v>
      </c>
      <c r="T191" s="5">
        <f t="shared" si="10"/>
        <v>-2472</v>
      </c>
      <c r="U191" s="19">
        <f t="shared" si="11"/>
        <v>0.5882912899</v>
      </c>
      <c r="V191" s="5">
        <f t="shared" si="12"/>
        <v>6110784</v>
      </c>
    </row>
    <row r="192">
      <c r="A192" s="2">
        <v>40815.0</v>
      </c>
      <c r="B192" s="5">
        <v>1313.0</v>
      </c>
      <c r="C192" s="5">
        <f t="shared" si="2"/>
        <v>3251</v>
      </c>
      <c r="D192" s="5">
        <f t="shared" si="3"/>
        <v>3270</v>
      </c>
      <c r="E192" s="5">
        <f t="shared" si="1"/>
        <v>4696</v>
      </c>
      <c r="L192" s="5">
        <f t="shared" si="4"/>
        <v>-1938</v>
      </c>
      <c r="M192" s="19">
        <f t="shared" si="5"/>
        <v>1.476009139</v>
      </c>
      <c r="N192" s="5">
        <f t="shared" si="6"/>
        <v>3755844</v>
      </c>
      <c r="P192" s="5">
        <f t="shared" si="7"/>
        <v>-1957</v>
      </c>
      <c r="Q192" s="19">
        <f t="shared" si="8"/>
        <v>1.490479817</v>
      </c>
      <c r="R192" s="5">
        <f t="shared" si="9"/>
        <v>3829849</v>
      </c>
      <c r="T192" s="5">
        <f t="shared" si="10"/>
        <v>-3383</v>
      </c>
      <c r="U192" s="19">
        <f t="shared" si="11"/>
        <v>2.57654227</v>
      </c>
      <c r="V192" s="5">
        <f t="shared" si="12"/>
        <v>11444689</v>
      </c>
    </row>
    <row r="193">
      <c r="A193" s="2">
        <v>40816.0</v>
      </c>
      <c r="B193" s="5">
        <v>250.0</v>
      </c>
      <c r="C193" s="5">
        <f t="shared" si="2"/>
        <v>3217</v>
      </c>
      <c r="D193" s="5">
        <f t="shared" si="3"/>
        <v>3260</v>
      </c>
      <c r="E193" s="5">
        <f t="shared" si="1"/>
        <v>1990</v>
      </c>
      <c r="L193" s="5">
        <f t="shared" si="4"/>
        <v>-2967</v>
      </c>
      <c r="M193" s="19">
        <f t="shared" si="5"/>
        <v>11.868</v>
      </c>
      <c r="N193" s="5">
        <f t="shared" si="6"/>
        <v>8803089</v>
      </c>
      <c r="P193" s="5">
        <f t="shared" si="7"/>
        <v>-3010</v>
      </c>
      <c r="Q193" s="19">
        <f t="shared" si="8"/>
        <v>12.04</v>
      </c>
      <c r="R193" s="5">
        <f t="shared" si="9"/>
        <v>9060100</v>
      </c>
      <c r="T193" s="5">
        <f t="shared" si="10"/>
        <v>-1740</v>
      </c>
      <c r="U193" s="19">
        <f t="shared" si="11"/>
        <v>6.96</v>
      </c>
      <c r="V193" s="5">
        <f t="shared" si="12"/>
        <v>3027600</v>
      </c>
    </row>
    <row r="194">
      <c r="A194" s="2">
        <v>40819.0</v>
      </c>
      <c r="B194" s="5">
        <v>3678.0</v>
      </c>
      <c r="C194" s="5">
        <f t="shared" si="2"/>
        <v>3225</v>
      </c>
      <c r="D194" s="5">
        <f t="shared" si="3"/>
        <v>3244</v>
      </c>
      <c r="E194" s="5">
        <f t="shared" si="1"/>
        <v>598</v>
      </c>
      <c r="L194" s="5">
        <f t="shared" si="4"/>
        <v>453</v>
      </c>
      <c r="M194" s="19">
        <f t="shared" si="5"/>
        <v>0.1231647635</v>
      </c>
      <c r="N194" s="5">
        <f t="shared" si="6"/>
        <v>205209</v>
      </c>
      <c r="P194" s="5">
        <f t="shared" si="7"/>
        <v>434</v>
      </c>
      <c r="Q194" s="19">
        <f t="shared" si="8"/>
        <v>0.1179989125</v>
      </c>
      <c r="R194" s="5">
        <f t="shared" si="9"/>
        <v>188356</v>
      </c>
      <c r="T194" s="5">
        <f t="shared" si="10"/>
        <v>3080</v>
      </c>
      <c r="U194" s="19">
        <f t="shared" si="11"/>
        <v>0.8374116368</v>
      </c>
      <c r="V194" s="5">
        <f t="shared" si="12"/>
        <v>9486400</v>
      </c>
    </row>
    <row r="195">
      <c r="A195" s="2">
        <v>40820.0</v>
      </c>
      <c r="B195" s="5">
        <v>9481.0</v>
      </c>
      <c r="C195" s="5">
        <f t="shared" si="2"/>
        <v>3449</v>
      </c>
      <c r="D195" s="5">
        <f t="shared" si="3"/>
        <v>3247</v>
      </c>
      <c r="E195" s="5">
        <f t="shared" si="1"/>
        <v>3062</v>
      </c>
      <c r="L195" s="5">
        <f t="shared" si="4"/>
        <v>6032</v>
      </c>
      <c r="M195" s="19">
        <f t="shared" si="5"/>
        <v>0.636219808</v>
      </c>
      <c r="N195" s="5">
        <f t="shared" si="6"/>
        <v>36385024</v>
      </c>
      <c r="P195" s="5">
        <f t="shared" si="7"/>
        <v>6234</v>
      </c>
      <c r="Q195" s="19">
        <f t="shared" si="8"/>
        <v>0.6575255775</v>
      </c>
      <c r="R195" s="5">
        <f t="shared" si="9"/>
        <v>38862756</v>
      </c>
      <c r="T195" s="5">
        <f t="shared" si="10"/>
        <v>6419</v>
      </c>
      <c r="U195" s="19">
        <f t="shared" si="11"/>
        <v>0.6770382871</v>
      </c>
      <c r="V195" s="5">
        <f t="shared" si="12"/>
        <v>41203561</v>
      </c>
    </row>
    <row r="196">
      <c r="A196" s="2">
        <v>40821.0</v>
      </c>
      <c r="B196" s="5">
        <v>4158.0</v>
      </c>
      <c r="C196" s="5">
        <f t="shared" si="2"/>
        <v>3785</v>
      </c>
      <c r="D196" s="5">
        <f t="shared" si="3"/>
        <v>3279</v>
      </c>
      <c r="E196" s="5">
        <f t="shared" si="1"/>
        <v>8197</v>
      </c>
      <c r="L196" s="5">
        <f t="shared" si="4"/>
        <v>373</v>
      </c>
      <c r="M196" s="19">
        <f t="shared" si="5"/>
        <v>0.08970658971</v>
      </c>
      <c r="N196" s="5">
        <f t="shared" si="6"/>
        <v>139129</v>
      </c>
      <c r="P196" s="5">
        <f t="shared" si="7"/>
        <v>879</v>
      </c>
      <c r="Q196" s="19">
        <f t="shared" si="8"/>
        <v>0.2113997114</v>
      </c>
      <c r="R196" s="5">
        <f t="shared" si="9"/>
        <v>772641</v>
      </c>
      <c r="T196" s="5">
        <f t="shared" si="10"/>
        <v>-4039</v>
      </c>
      <c r="U196" s="19">
        <f t="shared" si="11"/>
        <v>0.9713804714</v>
      </c>
      <c r="V196" s="5">
        <f t="shared" si="12"/>
        <v>16313521</v>
      </c>
    </row>
    <row r="197">
      <c r="A197" s="2">
        <v>40822.0</v>
      </c>
      <c r="B197" s="5">
        <v>754.0</v>
      </c>
      <c r="C197" s="5">
        <f t="shared" si="2"/>
        <v>3776</v>
      </c>
      <c r="D197" s="5">
        <f t="shared" si="3"/>
        <v>3283</v>
      </c>
      <c r="E197" s="5">
        <f t="shared" si="1"/>
        <v>4966</v>
      </c>
      <c r="L197" s="5">
        <f t="shared" si="4"/>
        <v>-3022</v>
      </c>
      <c r="M197" s="19">
        <f t="shared" si="5"/>
        <v>4.00795756</v>
      </c>
      <c r="N197" s="5">
        <f t="shared" si="6"/>
        <v>9132484</v>
      </c>
      <c r="P197" s="5">
        <f t="shared" si="7"/>
        <v>-2529</v>
      </c>
      <c r="Q197" s="19">
        <f t="shared" si="8"/>
        <v>3.354111406</v>
      </c>
      <c r="R197" s="5">
        <f t="shared" si="9"/>
        <v>6395841</v>
      </c>
      <c r="T197" s="5">
        <f t="shared" si="10"/>
        <v>-4212</v>
      </c>
      <c r="U197" s="19">
        <f t="shared" si="11"/>
        <v>5.586206897</v>
      </c>
      <c r="V197" s="5">
        <f t="shared" si="12"/>
        <v>17740944</v>
      </c>
    </row>
    <row r="198">
      <c r="A198" s="2">
        <v>40823.0</v>
      </c>
      <c r="B198" s="5">
        <v>187.0</v>
      </c>
      <c r="C198" s="5">
        <f t="shared" si="2"/>
        <v>3664</v>
      </c>
      <c r="D198" s="5">
        <f t="shared" si="3"/>
        <v>3270</v>
      </c>
      <c r="E198" s="5">
        <f t="shared" si="1"/>
        <v>1596</v>
      </c>
      <c r="L198" s="5">
        <f t="shared" si="4"/>
        <v>-3477</v>
      </c>
      <c r="M198" s="19">
        <f t="shared" si="5"/>
        <v>18.59358289</v>
      </c>
      <c r="N198" s="5">
        <f t="shared" si="6"/>
        <v>12089529</v>
      </c>
      <c r="P198" s="5">
        <f t="shared" si="7"/>
        <v>-3083</v>
      </c>
      <c r="Q198" s="19">
        <f t="shared" si="8"/>
        <v>16.48663102</v>
      </c>
      <c r="R198" s="5">
        <f t="shared" si="9"/>
        <v>9504889</v>
      </c>
      <c r="T198" s="5">
        <f t="shared" si="10"/>
        <v>-1409</v>
      </c>
      <c r="U198" s="19">
        <f t="shared" si="11"/>
        <v>7.534759358</v>
      </c>
      <c r="V198" s="5">
        <f t="shared" si="12"/>
        <v>1985281</v>
      </c>
    </row>
    <row r="199">
      <c r="A199" s="2">
        <v>40826.0</v>
      </c>
      <c r="B199" s="5">
        <v>2474.0</v>
      </c>
      <c r="C199" s="5">
        <f t="shared" si="2"/>
        <v>3652</v>
      </c>
      <c r="D199" s="5">
        <f t="shared" si="3"/>
        <v>3255</v>
      </c>
      <c r="E199" s="5">
        <f t="shared" si="1"/>
        <v>469</v>
      </c>
      <c r="L199" s="5">
        <f t="shared" si="4"/>
        <v>-1178</v>
      </c>
      <c r="M199" s="19">
        <f t="shared" si="5"/>
        <v>0.4761519806</v>
      </c>
      <c r="N199" s="5">
        <f t="shared" si="6"/>
        <v>1387684</v>
      </c>
      <c r="P199" s="5">
        <f t="shared" si="7"/>
        <v>-781</v>
      </c>
      <c r="Q199" s="19">
        <f t="shared" si="8"/>
        <v>0.3156831043</v>
      </c>
      <c r="R199" s="5">
        <f t="shared" si="9"/>
        <v>609961</v>
      </c>
      <c r="T199" s="5">
        <f t="shared" si="10"/>
        <v>2005</v>
      </c>
      <c r="U199" s="19">
        <f t="shared" si="11"/>
        <v>0.8104284559</v>
      </c>
      <c r="V199" s="5">
        <f t="shared" si="12"/>
        <v>4020025</v>
      </c>
    </row>
    <row r="200">
      <c r="A200" s="2">
        <v>40827.0</v>
      </c>
      <c r="B200" s="5">
        <v>4174.0</v>
      </c>
      <c r="C200" s="5">
        <f t="shared" si="2"/>
        <v>3411</v>
      </c>
      <c r="D200" s="5">
        <f t="shared" si="3"/>
        <v>3251</v>
      </c>
      <c r="E200" s="5">
        <f t="shared" si="1"/>
        <v>2073</v>
      </c>
      <c r="L200" s="5">
        <f t="shared" si="4"/>
        <v>763</v>
      </c>
      <c r="M200" s="19">
        <f t="shared" si="5"/>
        <v>0.182798275</v>
      </c>
      <c r="N200" s="5">
        <f t="shared" si="6"/>
        <v>582169</v>
      </c>
      <c r="P200" s="5">
        <f t="shared" si="7"/>
        <v>923</v>
      </c>
      <c r="Q200" s="19">
        <f t="shared" si="8"/>
        <v>0.2211308098</v>
      </c>
      <c r="R200" s="5">
        <f t="shared" si="9"/>
        <v>851929</v>
      </c>
      <c r="T200" s="5">
        <f t="shared" si="10"/>
        <v>2101</v>
      </c>
      <c r="U200" s="19">
        <f t="shared" si="11"/>
        <v>0.5033540968</v>
      </c>
      <c r="V200" s="5">
        <f t="shared" si="12"/>
        <v>4414201</v>
      </c>
    </row>
    <row r="201">
      <c r="A201" s="2">
        <v>40828.0</v>
      </c>
      <c r="B201" s="5">
        <v>4955.0</v>
      </c>
      <c r="C201" s="5">
        <f t="shared" si="2"/>
        <v>2349</v>
      </c>
      <c r="D201" s="5">
        <f t="shared" si="3"/>
        <v>3255</v>
      </c>
      <c r="E201" s="5">
        <f t="shared" si="1"/>
        <v>3754</v>
      </c>
      <c r="L201" s="5">
        <f t="shared" si="4"/>
        <v>2606</v>
      </c>
      <c r="M201" s="19">
        <f t="shared" si="5"/>
        <v>0.5259334006</v>
      </c>
      <c r="N201" s="5">
        <f t="shared" si="6"/>
        <v>6791236</v>
      </c>
      <c r="P201" s="5">
        <f t="shared" si="7"/>
        <v>1700</v>
      </c>
      <c r="Q201" s="19">
        <f t="shared" si="8"/>
        <v>0.3430877901</v>
      </c>
      <c r="R201" s="5">
        <f t="shared" si="9"/>
        <v>2890000</v>
      </c>
      <c r="T201" s="5">
        <f t="shared" si="10"/>
        <v>1201</v>
      </c>
      <c r="U201" s="19">
        <f t="shared" si="11"/>
        <v>0.2423814329</v>
      </c>
      <c r="V201" s="5">
        <f t="shared" si="12"/>
        <v>1442401</v>
      </c>
    </row>
    <row r="202">
      <c r="A202" s="2">
        <v>40829.0</v>
      </c>
      <c r="B202" s="5">
        <v>1143.0</v>
      </c>
      <c r="C202" s="5">
        <f t="shared" si="2"/>
        <v>2509</v>
      </c>
      <c r="D202" s="5">
        <f t="shared" si="3"/>
        <v>3264</v>
      </c>
      <c r="E202" s="5">
        <f t="shared" si="1"/>
        <v>4715</v>
      </c>
      <c r="L202" s="5">
        <f t="shared" si="4"/>
        <v>-1366</v>
      </c>
      <c r="M202" s="19">
        <f t="shared" si="5"/>
        <v>1.195100612</v>
      </c>
      <c r="N202" s="5">
        <f t="shared" si="6"/>
        <v>1865956</v>
      </c>
      <c r="P202" s="5">
        <f t="shared" si="7"/>
        <v>-2121</v>
      </c>
      <c r="Q202" s="19">
        <f t="shared" si="8"/>
        <v>1.855643045</v>
      </c>
      <c r="R202" s="5">
        <f t="shared" si="9"/>
        <v>4498641</v>
      </c>
      <c r="T202" s="5">
        <f t="shared" si="10"/>
        <v>-3572</v>
      </c>
      <c r="U202" s="19">
        <f t="shared" si="11"/>
        <v>3.125109361</v>
      </c>
      <c r="V202" s="5">
        <f t="shared" si="12"/>
        <v>12759184</v>
      </c>
    </row>
    <row r="203">
      <c r="A203" s="2">
        <v>40830.0</v>
      </c>
      <c r="B203" s="5">
        <v>211.0</v>
      </c>
      <c r="C203" s="5">
        <f t="shared" si="2"/>
        <v>2587</v>
      </c>
      <c r="D203" s="5">
        <f t="shared" si="3"/>
        <v>3253</v>
      </c>
      <c r="E203" s="5">
        <f t="shared" si="1"/>
        <v>1857</v>
      </c>
      <c r="L203" s="5">
        <f t="shared" si="4"/>
        <v>-2376</v>
      </c>
      <c r="M203" s="19">
        <f t="shared" si="5"/>
        <v>11.26066351</v>
      </c>
      <c r="N203" s="5">
        <f t="shared" si="6"/>
        <v>5645376</v>
      </c>
      <c r="P203" s="5">
        <f t="shared" si="7"/>
        <v>-3042</v>
      </c>
      <c r="Q203" s="19">
        <f t="shared" si="8"/>
        <v>14.41706161</v>
      </c>
      <c r="R203" s="5">
        <f t="shared" si="9"/>
        <v>9253764</v>
      </c>
      <c r="T203" s="5">
        <f t="shared" si="10"/>
        <v>-1646</v>
      </c>
      <c r="U203" s="19">
        <f t="shared" si="11"/>
        <v>7.800947867</v>
      </c>
      <c r="V203" s="5">
        <f t="shared" si="12"/>
        <v>2709316</v>
      </c>
    </row>
    <row r="204">
      <c r="A204" s="2">
        <v>40833.0</v>
      </c>
      <c r="B204" s="5">
        <v>3022.0</v>
      </c>
      <c r="C204" s="5">
        <f t="shared" si="2"/>
        <v>2591</v>
      </c>
      <c r="D204" s="5">
        <f t="shared" si="3"/>
        <v>3238</v>
      </c>
      <c r="E204" s="5">
        <f t="shared" si="1"/>
        <v>540</v>
      </c>
      <c r="L204" s="5">
        <f t="shared" si="4"/>
        <v>431</v>
      </c>
      <c r="M204" s="19">
        <f t="shared" si="5"/>
        <v>0.1426207809</v>
      </c>
      <c r="N204" s="5">
        <f t="shared" si="6"/>
        <v>185761</v>
      </c>
      <c r="P204" s="5">
        <f t="shared" si="7"/>
        <v>-216</v>
      </c>
      <c r="Q204" s="19">
        <f t="shared" si="8"/>
        <v>0.07147584381</v>
      </c>
      <c r="R204" s="5">
        <f t="shared" si="9"/>
        <v>46656</v>
      </c>
      <c r="T204" s="5">
        <f t="shared" si="10"/>
        <v>2482</v>
      </c>
      <c r="U204" s="19">
        <f t="shared" si="11"/>
        <v>0.8213103905</v>
      </c>
      <c r="V204" s="5">
        <f t="shared" si="12"/>
        <v>6160324</v>
      </c>
    </row>
    <row r="205">
      <c r="A205" s="2">
        <v>40834.0</v>
      </c>
      <c r="B205" s="5">
        <v>5700.0</v>
      </c>
      <c r="C205" s="5">
        <f t="shared" si="2"/>
        <v>2701</v>
      </c>
      <c r="D205" s="5">
        <f t="shared" si="3"/>
        <v>3237</v>
      </c>
      <c r="E205" s="5">
        <f t="shared" si="1"/>
        <v>2526</v>
      </c>
      <c r="L205" s="5">
        <f t="shared" si="4"/>
        <v>2999</v>
      </c>
      <c r="M205" s="19">
        <f t="shared" si="5"/>
        <v>0.5261403509</v>
      </c>
      <c r="N205" s="5">
        <f t="shared" si="6"/>
        <v>8994001</v>
      </c>
      <c r="P205" s="5">
        <f t="shared" si="7"/>
        <v>2463</v>
      </c>
      <c r="Q205" s="19">
        <f t="shared" si="8"/>
        <v>0.4321052632</v>
      </c>
      <c r="R205" s="5">
        <f t="shared" si="9"/>
        <v>6066369</v>
      </c>
      <c r="T205" s="5">
        <f t="shared" si="10"/>
        <v>3174</v>
      </c>
      <c r="U205" s="19">
        <f t="shared" si="11"/>
        <v>0.5568421053</v>
      </c>
      <c r="V205" s="5">
        <f t="shared" si="12"/>
        <v>10074276</v>
      </c>
    </row>
    <row r="206">
      <c r="A206" s="2">
        <v>40835.0</v>
      </c>
      <c r="B206" s="5">
        <v>1264.0</v>
      </c>
      <c r="C206" s="5">
        <f t="shared" si="2"/>
        <v>3006</v>
      </c>
      <c r="D206" s="5">
        <f t="shared" si="3"/>
        <v>3249</v>
      </c>
      <c r="E206" s="5">
        <f t="shared" si="1"/>
        <v>5065</v>
      </c>
      <c r="L206" s="5">
        <f t="shared" si="4"/>
        <v>-1742</v>
      </c>
      <c r="M206" s="19">
        <f t="shared" si="5"/>
        <v>1.378164557</v>
      </c>
      <c r="N206" s="5">
        <f t="shared" si="6"/>
        <v>3034564</v>
      </c>
      <c r="P206" s="5">
        <f t="shared" si="7"/>
        <v>-1985</v>
      </c>
      <c r="Q206" s="19">
        <f t="shared" si="8"/>
        <v>1.570411392</v>
      </c>
      <c r="R206" s="5">
        <f t="shared" si="9"/>
        <v>3940225</v>
      </c>
      <c r="T206" s="5">
        <f t="shared" si="10"/>
        <v>-3801</v>
      </c>
      <c r="U206" s="19">
        <f t="shared" si="11"/>
        <v>3.007120253</v>
      </c>
      <c r="V206" s="5">
        <f t="shared" si="12"/>
        <v>14447601</v>
      </c>
    </row>
    <row r="207">
      <c r="A207" s="2">
        <v>40836.0</v>
      </c>
      <c r="B207" s="5">
        <v>1191.0</v>
      </c>
      <c r="C207" s="5">
        <f t="shared" si="2"/>
        <v>2268</v>
      </c>
      <c r="D207" s="5">
        <f t="shared" si="3"/>
        <v>3240</v>
      </c>
      <c r="E207" s="5">
        <f t="shared" si="1"/>
        <v>2024</v>
      </c>
      <c r="L207" s="5">
        <f t="shared" si="4"/>
        <v>-1077</v>
      </c>
      <c r="M207" s="19">
        <f t="shared" si="5"/>
        <v>0.9042821159</v>
      </c>
      <c r="N207" s="5">
        <f t="shared" si="6"/>
        <v>1159929</v>
      </c>
      <c r="P207" s="5">
        <f t="shared" si="7"/>
        <v>-2049</v>
      </c>
      <c r="Q207" s="19">
        <f t="shared" si="8"/>
        <v>1.720403023</v>
      </c>
      <c r="R207" s="5">
        <f t="shared" si="9"/>
        <v>4198401</v>
      </c>
      <c r="T207" s="5">
        <f t="shared" si="10"/>
        <v>-833</v>
      </c>
      <c r="U207" s="19">
        <f t="shared" si="11"/>
        <v>0.6994122586</v>
      </c>
      <c r="V207" s="5">
        <f t="shared" si="12"/>
        <v>693889</v>
      </c>
    </row>
    <row r="208">
      <c r="A208" s="2">
        <v>40837.0</v>
      </c>
      <c r="B208" s="5">
        <v>250.0</v>
      </c>
      <c r="C208" s="5">
        <f t="shared" si="2"/>
        <v>2278</v>
      </c>
      <c r="D208" s="5">
        <f t="shared" si="3"/>
        <v>3230</v>
      </c>
      <c r="E208" s="5">
        <f t="shared" si="1"/>
        <v>1358</v>
      </c>
      <c r="L208" s="5">
        <f t="shared" si="4"/>
        <v>-2028</v>
      </c>
      <c r="M208" s="19">
        <f t="shared" si="5"/>
        <v>8.112</v>
      </c>
      <c r="N208" s="5">
        <f t="shared" si="6"/>
        <v>4112784</v>
      </c>
      <c r="P208" s="5">
        <f t="shared" si="7"/>
        <v>-2980</v>
      </c>
      <c r="Q208" s="19">
        <f t="shared" si="8"/>
        <v>11.92</v>
      </c>
      <c r="R208" s="5">
        <f t="shared" si="9"/>
        <v>8880400</v>
      </c>
      <c r="T208" s="5">
        <f t="shared" si="10"/>
        <v>-1108</v>
      </c>
      <c r="U208" s="19">
        <f t="shared" si="11"/>
        <v>4.432</v>
      </c>
      <c r="V208" s="5">
        <f t="shared" si="12"/>
        <v>1227664</v>
      </c>
    </row>
    <row r="209">
      <c r="A209" s="2">
        <v>40840.0</v>
      </c>
      <c r="B209" s="5">
        <v>2374.0</v>
      </c>
      <c r="C209" s="5">
        <f t="shared" si="2"/>
        <v>2285</v>
      </c>
      <c r="D209" s="5">
        <f t="shared" si="3"/>
        <v>3215</v>
      </c>
      <c r="E209" s="5">
        <f t="shared" si="1"/>
        <v>472</v>
      </c>
      <c r="L209" s="5">
        <f t="shared" si="4"/>
        <v>89</v>
      </c>
      <c r="M209" s="19">
        <f t="shared" si="5"/>
        <v>0.03748946925</v>
      </c>
      <c r="N209" s="5">
        <f t="shared" si="6"/>
        <v>7921</v>
      </c>
      <c r="P209" s="5">
        <f t="shared" si="7"/>
        <v>-841</v>
      </c>
      <c r="Q209" s="19">
        <f t="shared" si="8"/>
        <v>0.3542544229</v>
      </c>
      <c r="R209" s="5">
        <f t="shared" si="9"/>
        <v>707281</v>
      </c>
      <c r="T209" s="5">
        <f t="shared" si="10"/>
        <v>1902</v>
      </c>
      <c r="U209" s="19">
        <f t="shared" si="11"/>
        <v>0.801179444</v>
      </c>
      <c r="V209" s="5">
        <f t="shared" si="12"/>
        <v>3617604</v>
      </c>
    </row>
    <row r="210">
      <c r="A210" s="2">
        <v>40841.0</v>
      </c>
      <c r="B210" s="5">
        <v>4650.0</v>
      </c>
      <c r="C210" s="5">
        <f t="shared" si="2"/>
        <v>2156</v>
      </c>
      <c r="D210" s="5">
        <f t="shared" si="3"/>
        <v>3211</v>
      </c>
      <c r="E210" s="5">
        <f t="shared" si="1"/>
        <v>1994</v>
      </c>
      <c r="L210" s="5">
        <f t="shared" si="4"/>
        <v>2494</v>
      </c>
      <c r="M210" s="19">
        <f t="shared" si="5"/>
        <v>0.536344086</v>
      </c>
      <c r="N210" s="5">
        <f t="shared" si="6"/>
        <v>6220036</v>
      </c>
      <c r="P210" s="5">
        <f t="shared" si="7"/>
        <v>1439</v>
      </c>
      <c r="Q210" s="19">
        <f t="shared" si="8"/>
        <v>0.3094623656</v>
      </c>
      <c r="R210" s="5">
        <f t="shared" si="9"/>
        <v>2070721</v>
      </c>
      <c r="T210" s="5">
        <f t="shared" si="10"/>
        <v>2656</v>
      </c>
      <c r="U210" s="19">
        <f t="shared" si="11"/>
        <v>0.5711827957</v>
      </c>
      <c r="V210" s="5">
        <f t="shared" si="12"/>
        <v>7054336</v>
      </c>
    </row>
    <row r="211">
      <c r="A211" s="2">
        <v>40842.0</v>
      </c>
      <c r="B211" s="5">
        <v>4078.0</v>
      </c>
      <c r="C211" s="5">
        <f t="shared" si="2"/>
        <v>1946</v>
      </c>
      <c r="D211" s="5">
        <f t="shared" si="3"/>
        <v>3218</v>
      </c>
      <c r="E211" s="5">
        <f t="shared" si="1"/>
        <v>4119</v>
      </c>
      <c r="L211" s="5">
        <f t="shared" si="4"/>
        <v>2132</v>
      </c>
      <c r="M211" s="19">
        <f t="shared" si="5"/>
        <v>0.5228052967</v>
      </c>
      <c r="N211" s="5">
        <f t="shared" si="6"/>
        <v>4545424</v>
      </c>
      <c r="P211" s="5">
        <f t="shared" si="7"/>
        <v>860</v>
      </c>
      <c r="Q211" s="19">
        <f t="shared" si="8"/>
        <v>0.21088769</v>
      </c>
      <c r="R211" s="5">
        <f t="shared" si="9"/>
        <v>739600</v>
      </c>
      <c r="T211" s="5">
        <f t="shared" si="10"/>
        <v>-41</v>
      </c>
      <c r="U211" s="19">
        <f t="shared" si="11"/>
        <v>0.01005394801</v>
      </c>
      <c r="V211" s="5">
        <f t="shared" si="12"/>
        <v>1681</v>
      </c>
    </row>
    <row r="212">
      <c r="A212" s="2">
        <v>40843.0</v>
      </c>
      <c r="B212" s="5">
        <v>985.0</v>
      </c>
      <c r="C212" s="5">
        <f t="shared" si="2"/>
        <v>2509</v>
      </c>
      <c r="D212" s="5">
        <f t="shared" si="3"/>
        <v>3222</v>
      </c>
      <c r="E212" s="5">
        <f t="shared" si="1"/>
        <v>4086</v>
      </c>
      <c r="L212" s="5">
        <f t="shared" si="4"/>
        <v>-1524</v>
      </c>
      <c r="M212" s="19">
        <f t="shared" si="5"/>
        <v>1.547208122</v>
      </c>
      <c r="N212" s="5">
        <f t="shared" si="6"/>
        <v>2322576</v>
      </c>
      <c r="P212" s="5">
        <f t="shared" si="7"/>
        <v>-2237</v>
      </c>
      <c r="Q212" s="19">
        <f t="shared" si="8"/>
        <v>2.27106599</v>
      </c>
      <c r="R212" s="5">
        <f t="shared" si="9"/>
        <v>5004169</v>
      </c>
      <c r="T212" s="5">
        <f t="shared" si="10"/>
        <v>-3101</v>
      </c>
      <c r="U212" s="19">
        <f t="shared" si="11"/>
        <v>3.14822335</v>
      </c>
      <c r="V212" s="5">
        <f t="shared" si="12"/>
        <v>9616201</v>
      </c>
    </row>
    <row r="213">
      <c r="A213" s="2">
        <v>40844.0</v>
      </c>
      <c r="B213" s="5">
        <v>660.0</v>
      </c>
      <c r="C213" s="5">
        <f t="shared" si="2"/>
        <v>2467</v>
      </c>
      <c r="D213" s="5">
        <f t="shared" si="3"/>
        <v>3211</v>
      </c>
      <c r="E213" s="5">
        <f t="shared" si="1"/>
        <v>1605</v>
      </c>
      <c r="L213" s="5">
        <f t="shared" si="4"/>
        <v>-1807</v>
      </c>
      <c r="M213" s="19">
        <f t="shared" si="5"/>
        <v>2.737878788</v>
      </c>
      <c r="N213" s="5">
        <f t="shared" si="6"/>
        <v>3265249</v>
      </c>
      <c r="P213" s="5">
        <f t="shared" si="7"/>
        <v>-2551</v>
      </c>
      <c r="Q213" s="19">
        <f t="shared" si="8"/>
        <v>3.865151515</v>
      </c>
      <c r="R213" s="5">
        <f t="shared" si="9"/>
        <v>6507601</v>
      </c>
      <c r="T213" s="5">
        <f t="shared" si="10"/>
        <v>-945</v>
      </c>
      <c r="U213" s="19">
        <f t="shared" si="11"/>
        <v>1.431818182</v>
      </c>
      <c r="V213" s="5">
        <f t="shared" si="12"/>
        <v>893025</v>
      </c>
    </row>
    <row r="214">
      <c r="A214" s="2">
        <v>40847.0</v>
      </c>
      <c r="B214" s="5">
        <v>670.0</v>
      </c>
      <c r="C214" s="5">
        <f t="shared" si="2"/>
        <v>2549</v>
      </c>
      <c r="D214" s="5">
        <f t="shared" si="3"/>
        <v>3199</v>
      </c>
      <c r="E214" s="5">
        <f t="shared" si="1"/>
        <v>849</v>
      </c>
      <c r="L214" s="5">
        <f t="shared" si="4"/>
        <v>-1879</v>
      </c>
      <c r="M214" s="19">
        <f t="shared" si="5"/>
        <v>2.804477612</v>
      </c>
      <c r="N214" s="5">
        <f t="shared" si="6"/>
        <v>3530641</v>
      </c>
      <c r="P214" s="5">
        <f t="shared" si="7"/>
        <v>-2529</v>
      </c>
      <c r="Q214" s="19">
        <f t="shared" si="8"/>
        <v>3.774626866</v>
      </c>
      <c r="R214" s="5">
        <f t="shared" si="9"/>
        <v>6395841</v>
      </c>
      <c r="T214" s="5">
        <f t="shared" si="10"/>
        <v>-179</v>
      </c>
      <c r="U214" s="19">
        <f t="shared" si="11"/>
        <v>0.2671641791</v>
      </c>
      <c r="V214" s="5">
        <f t="shared" si="12"/>
        <v>32041</v>
      </c>
    </row>
    <row r="215">
      <c r="A215" s="2">
        <v>40848.0</v>
      </c>
      <c r="B215" s="5">
        <v>3154.0</v>
      </c>
      <c r="C215" s="5">
        <f t="shared" si="2"/>
        <v>2209</v>
      </c>
      <c r="D215" s="5">
        <f t="shared" si="3"/>
        <v>3187</v>
      </c>
      <c r="E215" s="5">
        <f t="shared" si="1"/>
        <v>706</v>
      </c>
      <c r="L215" s="5">
        <f t="shared" si="4"/>
        <v>945</v>
      </c>
      <c r="M215" s="19">
        <f t="shared" si="5"/>
        <v>0.2996195308</v>
      </c>
      <c r="N215" s="5">
        <f t="shared" si="6"/>
        <v>893025</v>
      </c>
      <c r="P215" s="5">
        <f t="shared" si="7"/>
        <v>-33</v>
      </c>
      <c r="Q215" s="19">
        <f t="shared" si="8"/>
        <v>0.01046290425</v>
      </c>
      <c r="R215" s="5">
        <f t="shared" si="9"/>
        <v>1089</v>
      </c>
      <c r="T215" s="5">
        <f t="shared" si="10"/>
        <v>2448</v>
      </c>
      <c r="U215" s="19">
        <f t="shared" si="11"/>
        <v>0.7761572606</v>
      </c>
      <c r="V215" s="5">
        <f t="shared" si="12"/>
        <v>5992704</v>
      </c>
    </row>
    <row r="216">
      <c r="A216" s="2">
        <v>40849.0</v>
      </c>
      <c r="B216" s="5">
        <v>5708.0</v>
      </c>
      <c r="C216" s="5">
        <f t="shared" si="2"/>
        <v>1909</v>
      </c>
      <c r="D216" s="5">
        <f t="shared" si="3"/>
        <v>3187</v>
      </c>
      <c r="E216" s="5">
        <f t="shared" si="1"/>
        <v>2664</v>
      </c>
      <c r="L216" s="5">
        <f t="shared" si="4"/>
        <v>3799</v>
      </c>
      <c r="M216" s="19">
        <f t="shared" si="5"/>
        <v>0.6655571128</v>
      </c>
      <c r="N216" s="5">
        <f t="shared" si="6"/>
        <v>14432401</v>
      </c>
      <c r="P216" s="5">
        <f t="shared" si="7"/>
        <v>2521</v>
      </c>
      <c r="Q216" s="19">
        <f t="shared" si="8"/>
        <v>0.4416608269</v>
      </c>
      <c r="R216" s="5">
        <f t="shared" si="9"/>
        <v>6355441</v>
      </c>
      <c r="T216" s="5">
        <f t="shared" si="10"/>
        <v>3044</v>
      </c>
      <c r="U216" s="19">
        <f t="shared" si="11"/>
        <v>0.5332866153</v>
      </c>
      <c r="V216" s="5">
        <f t="shared" si="12"/>
        <v>9265936</v>
      </c>
    </row>
    <row r="217">
      <c r="A217" s="2">
        <v>40850.0</v>
      </c>
      <c r="B217" s="5">
        <v>1237.0</v>
      </c>
      <c r="C217" s="5">
        <f t="shared" si="2"/>
        <v>2235</v>
      </c>
      <c r="D217" s="5">
        <f t="shared" si="3"/>
        <v>3199</v>
      </c>
      <c r="E217" s="5">
        <f t="shared" si="1"/>
        <v>5099</v>
      </c>
      <c r="L217" s="5">
        <f t="shared" si="4"/>
        <v>-998</v>
      </c>
      <c r="M217" s="19">
        <f t="shared" si="5"/>
        <v>0.8067906225</v>
      </c>
      <c r="N217" s="5">
        <f t="shared" si="6"/>
        <v>996004</v>
      </c>
      <c r="P217" s="5">
        <f t="shared" si="7"/>
        <v>-1962</v>
      </c>
      <c r="Q217" s="19">
        <f t="shared" si="8"/>
        <v>1.586095392</v>
      </c>
      <c r="R217" s="5">
        <f t="shared" si="9"/>
        <v>3849444</v>
      </c>
      <c r="T217" s="5">
        <f t="shared" si="10"/>
        <v>-3862</v>
      </c>
      <c r="U217" s="19">
        <f t="shared" si="11"/>
        <v>3.122069523</v>
      </c>
      <c r="V217" s="5">
        <f t="shared" si="12"/>
        <v>14915044</v>
      </c>
    </row>
    <row r="218">
      <c r="A218" s="2">
        <v>40851.0</v>
      </c>
      <c r="B218" s="5">
        <v>275.0</v>
      </c>
      <c r="C218" s="5">
        <f t="shared" si="2"/>
        <v>2286</v>
      </c>
      <c r="D218" s="5">
        <f t="shared" si="3"/>
        <v>3190</v>
      </c>
      <c r="E218" s="5">
        <f t="shared" si="1"/>
        <v>2009</v>
      </c>
      <c r="L218" s="5">
        <f t="shared" si="4"/>
        <v>-2011</v>
      </c>
      <c r="M218" s="19">
        <f t="shared" si="5"/>
        <v>7.312727273</v>
      </c>
      <c r="N218" s="5">
        <f t="shared" si="6"/>
        <v>4044121</v>
      </c>
      <c r="P218" s="5">
        <f t="shared" si="7"/>
        <v>-2915</v>
      </c>
      <c r="Q218" s="19">
        <f t="shared" si="8"/>
        <v>10.6</v>
      </c>
      <c r="R218" s="5">
        <f t="shared" si="9"/>
        <v>8497225</v>
      </c>
      <c r="T218" s="5">
        <f t="shared" si="10"/>
        <v>-1734</v>
      </c>
      <c r="U218" s="19">
        <f t="shared" si="11"/>
        <v>6.305454545</v>
      </c>
      <c r="V218" s="5">
        <f t="shared" si="12"/>
        <v>3006756</v>
      </c>
    </row>
    <row r="219">
      <c r="A219" s="2">
        <v>40854.0</v>
      </c>
      <c r="B219" s="5">
        <v>2912.0</v>
      </c>
      <c r="C219" s="5">
        <f t="shared" si="2"/>
        <v>2209</v>
      </c>
      <c r="D219" s="5">
        <f t="shared" si="3"/>
        <v>3176</v>
      </c>
      <c r="E219" s="5">
        <f t="shared" si="1"/>
        <v>622</v>
      </c>
      <c r="L219" s="5">
        <f t="shared" si="4"/>
        <v>703</v>
      </c>
      <c r="M219" s="19">
        <f t="shared" si="5"/>
        <v>0.2414148352</v>
      </c>
      <c r="N219" s="5">
        <f t="shared" si="6"/>
        <v>494209</v>
      </c>
      <c r="P219" s="5">
        <f t="shared" si="7"/>
        <v>-264</v>
      </c>
      <c r="Q219" s="19">
        <f t="shared" si="8"/>
        <v>0.09065934066</v>
      </c>
      <c r="R219" s="5">
        <f t="shared" si="9"/>
        <v>69696</v>
      </c>
      <c r="T219" s="5">
        <f t="shared" si="10"/>
        <v>2290</v>
      </c>
      <c r="U219" s="19">
        <f t="shared" si="11"/>
        <v>0.7864010989</v>
      </c>
      <c r="V219" s="5">
        <f t="shared" si="12"/>
        <v>5244100</v>
      </c>
    </row>
    <row r="220">
      <c r="A220" s="2">
        <v>40855.0</v>
      </c>
      <c r="B220" s="5">
        <v>6850.0</v>
      </c>
      <c r="C220" s="5">
        <f t="shared" si="2"/>
        <v>2657</v>
      </c>
      <c r="D220" s="5">
        <f t="shared" si="3"/>
        <v>3175</v>
      </c>
      <c r="E220" s="5">
        <f t="shared" si="1"/>
        <v>2454</v>
      </c>
      <c r="L220" s="5">
        <f t="shared" si="4"/>
        <v>4193</v>
      </c>
      <c r="M220" s="19">
        <f t="shared" si="5"/>
        <v>0.6121167883</v>
      </c>
      <c r="N220" s="5">
        <f t="shared" si="6"/>
        <v>17581249</v>
      </c>
      <c r="P220" s="5">
        <f t="shared" si="7"/>
        <v>3675</v>
      </c>
      <c r="Q220" s="19">
        <f t="shared" si="8"/>
        <v>0.5364963504</v>
      </c>
      <c r="R220" s="5">
        <f t="shared" si="9"/>
        <v>13505625</v>
      </c>
      <c r="T220" s="5">
        <f t="shared" si="10"/>
        <v>4396</v>
      </c>
      <c r="U220" s="19">
        <f t="shared" si="11"/>
        <v>0.6417518248</v>
      </c>
      <c r="V220" s="5">
        <f t="shared" si="12"/>
        <v>19324816</v>
      </c>
    </row>
    <row r="221">
      <c r="A221" s="2">
        <v>40856.0</v>
      </c>
      <c r="B221" s="5">
        <v>3708.0</v>
      </c>
      <c r="C221" s="5">
        <f t="shared" si="2"/>
        <v>3396</v>
      </c>
      <c r="D221" s="5">
        <f t="shared" si="3"/>
        <v>3192</v>
      </c>
      <c r="E221" s="5">
        <f t="shared" si="1"/>
        <v>5971</v>
      </c>
      <c r="L221" s="5">
        <f t="shared" si="4"/>
        <v>312</v>
      </c>
      <c r="M221" s="19">
        <f t="shared" si="5"/>
        <v>0.08414239482</v>
      </c>
      <c r="N221" s="5">
        <f t="shared" si="6"/>
        <v>97344</v>
      </c>
      <c r="P221" s="5">
        <f t="shared" si="7"/>
        <v>516</v>
      </c>
      <c r="Q221" s="19">
        <f t="shared" si="8"/>
        <v>0.1391585761</v>
      </c>
      <c r="R221" s="5">
        <f t="shared" si="9"/>
        <v>266256</v>
      </c>
      <c r="T221" s="5">
        <f t="shared" si="10"/>
        <v>-2263</v>
      </c>
      <c r="U221" s="19">
        <f t="shared" si="11"/>
        <v>0.6103020496</v>
      </c>
      <c r="V221" s="5">
        <f t="shared" si="12"/>
        <v>5121169</v>
      </c>
    </row>
    <row r="222">
      <c r="A222" s="2">
        <v>40857.0</v>
      </c>
      <c r="B222" s="5">
        <v>1078.0</v>
      </c>
      <c r="C222" s="5">
        <f t="shared" si="2"/>
        <v>2996</v>
      </c>
      <c r="D222" s="5">
        <f t="shared" si="3"/>
        <v>3194</v>
      </c>
      <c r="E222" s="5">
        <f t="shared" si="1"/>
        <v>4161</v>
      </c>
      <c r="L222" s="5">
        <f t="shared" si="4"/>
        <v>-1918</v>
      </c>
      <c r="M222" s="19">
        <f t="shared" si="5"/>
        <v>1.779220779</v>
      </c>
      <c r="N222" s="5">
        <f t="shared" si="6"/>
        <v>3678724</v>
      </c>
      <c r="P222" s="5">
        <f t="shared" si="7"/>
        <v>-2116</v>
      </c>
      <c r="Q222" s="19">
        <f t="shared" si="8"/>
        <v>1.962894249</v>
      </c>
      <c r="R222" s="5">
        <f t="shared" si="9"/>
        <v>4477456</v>
      </c>
      <c r="T222" s="5">
        <f t="shared" si="10"/>
        <v>-3083</v>
      </c>
      <c r="U222" s="19">
        <f t="shared" si="11"/>
        <v>2.859925788</v>
      </c>
      <c r="V222" s="5">
        <f t="shared" si="12"/>
        <v>9504889</v>
      </c>
    </row>
    <row r="223">
      <c r="A223" s="2">
        <v>40858.0</v>
      </c>
      <c r="B223" s="5">
        <v>200.0</v>
      </c>
      <c r="C223" s="5">
        <f t="shared" si="2"/>
        <v>2965</v>
      </c>
      <c r="D223" s="5">
        <f t="shared" si="3"/>
        <v>3185</v>
      </c>
      <c r="E223" s="5">
        <f t="shared" si="1"/>
        <v>1695</v>
      </c>
      <c r="L223" s="5">
        <f t="shared" si="4"/>
        <v>-2765</v>
      </c>
      <c r="M223" s="19">
        <f t="shared" si="5"/>
        <v>13.825</v>
      </c>
      <c r="N223" s="5">
        <f t="shared" si="6"/>
        <v>7645225</v>
      </c>
      <c r="P223" s="5">
        <f t="shared" si="7"/>
        <v>-2985</v>
      </c>
      <c r="Q223" s="19">
        <f t="shared" si="8"/>
        <v>14.925</v>
      </c>
      <c r="R223" s="5">
        <f t="shared" si="9"/>
        <v>8910225</v>
      </c>
      <c r="T223" s="5">
        <f t="shared" si="10"/>
        <v>-1495</v>
      </c>
      <c r="U223" s="19">
        <f t="shared" si="11"/>
        <v>7.475</v>
      </c>
      <c r="V223" s="5">
        <f t="shared" si="12"/>
        <v>2235025</v>
      </c>
    </row>
    <row r="224">
      <c r="A224" s="2">
        <v>40861.0</v>
      </c>
      <c r="B224" s="5">
        <v>2718.0</v>
      </c>
      <c r="C224" s="5">
        <f t="shared" si="2"/>
        <v>2950</v>
      </c>
      <c r="D224" s="5">
        <f t="shared" si="3"/>
        <v>3171</v>
      </c>
      <c r="E224" s="5">
        <f t="shared" si="1"/>
        <v>499</v>
      </c>
      <c r="L224" s="5">
        <f t="shared" si="4"/>
        <v>-232</v>
      </c>
      <c r="M224" s="19">
        <f t="shared" si="5"/>
        <v>0.08535688006</v>
      </c>
      <c r="N224" s="5">
        <f t="shared" si="6"/>
        <v>53824</v>
      </c>
      <c r="P224" s="5">
        <f t="shared" si="7"/>
        <v>-453</v>
      </c>
      <c r="Q224" s="19">
        <f t="shared" si="8"/>
        <v>0.1666666667</v>
      </c>
      <c r="R224" s="5">
        <f t="shared" si="9"/>
        <v>205209</v>
      </c>
      <c r="T224" s="5">
        <f t="shared" si="10"/>
        <v>2219</v>
      </c>
      <c r="U224" s="19">
        <f t="shared" si="11"/>
        <v>0.8164091244</v>
      </c>
      <c r="V224" s="5">
        <f t="shared" si="12"/>
        <v>4923961</v>
      </c>
    </row>
    <row r="225">
      <c r="A225" s="2">
        <v>40862.0</v>
      </c>
      <c r="B225" s="5">
        <v>5117.0</v>
      </c>
      <c r="C225" s="5">
        <f t="shared" si="2"/>
        <v>2911</v>
      </c>
      <c r="D225" s="5">
        <f t="shared" si="3"/>
        <v>3169</v>
      </c>
      <c r="E225" s="5">
        <f t="shared" si="1"/>
        <v>2274</v>
      </c>
      <c r="L225" s="5">
        <f t="shared" si="4"/>
        <v>2206</v>
      </c>
      <c r="M225" s="19">
        <f t="shared" si="5"/>
        <v>0.4311119797</v>
      </c>
      <c r="N225" s="5">
        <f t="shared" si="6"/>
        <v>4866436</v>
      </c>
      <c r="P225" s="5">
        <f t="shared" si="7"/>
        <v>1948</v>
      </c>
      <c r="Q225" s="19">
        <f t="shared" si="8"/>
        <v>0.3806918116</v>
      </c>
      <c r="R225" s="5">
        <f t="shared" si="9"/>
        <v>3794704</v>
      </c>
      <c r="T225" s="5">
        <f t="shared" si="10"/>
        <v>2843</v>
      </c>
      <c r="U225" s="19">
        <f t="shared" si="11"/>
        <v>0.5555989838</v>
      </c>
      <c r="V225" s="5">
        <f t="shared" si="12"/>
        <v>8082649</v>
      </c>
    </row>
    <row r="226">
      <c r="A226" s="2">
        <v>40863.0</v>
      </c>
      <c r="B226" s="5">
        <v>4716.0</v>
      </c>
      <c r="C226" s="5">
        <f t="shared" si="2"/>
        <v>2564</v>
      </c>
      <c r="D226" s="5">
        <f t="shared" si="3"/>
        <v>3178</v>
      </c>
      <c r="E226" s="5">
        <f t="shared" si="1"/>
        <v>4548</v>
      </c>
      <c r="L226" s="5">
        <f t="shared" si="4"/>
        <v>2152</v>
      </c>
      <c r="M226" s="19">
        <f t="shared" si="5"/>
        <v>0.4563189143</v>
      </c>
      <c r="N226" s="5">
        <f t="shared" si="6"/>
        <v>4631104</v>
      </c>
      <c r="P226" s="5">
        <f t="shared" si="7"/>
        <v>1538</v>
      </c>
      <c r="Q226" s="19">
        <f t="shared" si="8"/>
        <v>0.3261238338</v>
      </c>
      <c r="R226" s="5">
        <f t="shared" si="9"/>
        <v>2365444</v>
      </c>
      <c r="T226" s="5">
        <f t="shared" si="10"/>
        <v>168</v>
      </c>
      <c r="U226" s="19">
        <f t="shared" si="11"/>
        <v>0.03562340967</v>
      </c>
      <c r="V226" s="5">
        <f t="shared" si="12"/>
        <v>28224</v>
      </c>
    </row>
    <row r="227">
      <c r="A227" s="2">
        <v>40864.0</v>
      </c>
      <c r="B227" s="5">
        <v>1452.0</v>
      </c>
      <c r="C227" s="5">
        <f t="shared" si="2"/>
        <v>2766</v>
      </c>
      <c r="D227" s="5">
        <f t="shared" si="3"/>
        <v>3185</v>
      </c>
      <c r="E227" s="5">
        <f t="shared" si="1"/>
        <v>4682</v>
      </c>
      <c r="L227" s="5">
        <f t="shared" si="4"/>
        <v>-1314</v>
      </c>
      <c r="M227" s="19">
        <f t="shared" si="5"/>
        <v>0.9049586777</v>
      </c>
      <c r="N227" s="5">
        <f t="shared" si="6"/>
        <v>1726596</v>
      </c>
      <c r="P227" s="5">
        <f t="shared" si="7"/>
        <v>-1733</v>
      </c>
      <c r="Q227" s="19">
        <f t="shared" si="8"/>
        <v>1.193526171</v>
      </c>
      <c r="R227" s="5">
        <f t="shared" si="9"/>
        <v>3003289</v>
      </c>
      <c r="T227" s="5">
        <f t="shared" si="10"/>
        <v>-3230</v>
      </c>
      <c r="U227" s="19">
        <f t="shared" si="11"/>
        <v>2.224517906</v>
      </c>
      <c r="V227" s="5">
        <f t="shared" si="12"/>
        <v>10432900</v>
      </c>
    </row>
    <row r="228">
      <c r="A228" s="2">
        <v>40865.0</v>
      </c>
      <c r="B228" s="5">
        <v>2138.0</v>
      </c>
      <c r="C228" s="5">
        <f t="shared" si="2"/>
        <v>2841</v>
      </c>
      <c r="D228" s="5">
        <f t="shared" si="3"/>
        <v>3177</v>
      </c>
      <c r="E228" s="5">
        <f t="shared" si="1"/>
        <v>2098</v>
      </c>
      <c r="L228" s="5">
        <f t="shared" si="4"/>
        <v>-703</v>
      </c>
      <c r="M228" s="19">
        <f t="shared" si="5"/>
        <v>0.3288119738</v>
      </c>
      <c r="N228" s="5">
        <f t="shared" si="6"/>
        <v>494209</v>
      </c>
      <c r="P228" s="5">
        <f t="shared" si="7"/>
        <v>-1039</v>
      </c>
      <c r="Q228" s="19">
        <f t="shared" si="8"/>
        <v>0.4859681946</v>
      </c>
      <c r="R228" s="5">
        <f t="shared" si="9"/>
        <v>1079521</v>
      </c>
      <c r="T228" s="5">
        <f t="shared" si="10"/>
        <v>40</v>
      </c>
      <c r="U228" s="19">
        <f t="shared" si="11"/>
        <v>0.0187090739</v>
      </c>
      <c r="V228" s="5">
        <f t="shared" si="12"/>
        <v>1600</v>
      </c>
    </row>
    <row r="229">
      <c r="A229" s="2">
        <v>40868.0</v>
      </c>
      <c r="B229" s="5">
        <v>600.0</v>
      </c>
      <c r="C229" s="5">
        <f t="shared" si="2"/>
        <v>3228</v>
      </c>
      <c r="D229" s="5">
        <f t="shared" si="3"/>
        <v>3173</v>
      </c>
      <c r="E229" s="5">
        <f t="shared" si="1"/>
        <v>2130</v>
      </c>
      <c r="L229" s="5">
        <f t="shared" si="4"/>
        <v>-2628</v>
      </c>
      <c r="M229" s="19">
        <f t="shared" si="5"/>
        <v>4.38</v>
      </c>
      <c r="N229" s="5">
        <f t="shared" si="6"/>
        <v>6906384</v>
      </c>
      <c r="P229" s="5">
        <f t="shared" si="7"/>
        <v>-2573</v>
      </c>
      <c r="Q229" s="19">
        <f t="shared" si="8"/>
        <v>4.288333333</v>
      </c>
      <c r="R229" s="5">
        <f t="shared" si="9"/>
        <v>6620329</v>
      </c>
      <c r="T229" s="5">
        <f t="shared" si="10"/>
        <v>-1530</v>
      </c>
      <c r="U229" s="19">
        <f t="shared" si="11"/>
        <v>2.55</v>
      </c>
      <c r="V229" s="5">
        <f t="shared" si="12"/>
        <v>2340900</v>
      </c>
    </row>
    <row r="230">
      <c r="A230" s="2">
        <v>40869.0</v>
      </c>
      <c r="B230" s="5">
        <v>7989.0</v>
      </c>
      <c r="C230" s="5">
        <f t="shared" si="2"/>
        <v>2805</v>
      </c>
      <c r="D230" s="5">
        <f t="shared" si="3"/>
        <v>3161</v>
      </c>
      <c r="E230" s="5">
        <f t="shared" si="1"/>
        <v>906</v>
      </c>
      <c r="L230" s="5">
        <f t="shared" si="4"/>
        <v>5184</v>
      </c>
      <c r="M230" s="19">
        <f t="shared" si="5"/>
        <v>0.6488922268</v>
      </c>
      <c r="N230" s="5">
        <f t="shared" si="6"/>
        <v>26873856</v>
      </c>
      <c r="P230" s="5">
        <f t="shared" si="7"/>
        <v>4828</v>
      </c>
      <c r="Q230" s="19">
        <f t="shared" si="8"/>
        <v>0.6043309551</v>
      </c>
      <c r="R230" s="5">
        <f t="shared" si="9"/>
        <v>23309584</v>
      </c>
      <c r="T230" s="5">
        <f t="shared" si="10"/>
        <v>7083</v>
      </c>
      <c r="U230" s="19">
        <f t="shared" si="11"/>
        <v>0.8865940668</v>
      </c>
      <c r="V230" s="5">
        <f t="shared" si="12"/>
        <v>50168889</v>
      </c>
    </row>
    <row r="231">
      <c r="A231" s="2">
        <v>40870.0</v>
      </c>
      <c r="B231" s="5">
        <v>150.0</v>
      </c>
      <c r="C231" s="5">
        <f t="shared" si="2"/>
        <v>3379</v>
      </c>
      <c r="D231" s="5">
        <f t="shared" si="3"/>
        <v>3182</v>
      </c>
      <c r="E231" s="5">
        <f t="shared" si="1"/>
        <v>6572</v>
      </c>
      <c r="L231" s="5">
        <f t="shared" si="4"/>
        <v>-3229</v>
      </c>
      <c r="M231" s="19">
        <f t="shared" si="5"/>
        <v>21.52666667</v>
      </c>
      <c r="N231" s="5">
        <f t="shared" si="6"/>
        <v>10426441</v>
      </c>
      <c r="P231" s="5">
        <f t="shared" si="7"/>
        <v>-3032</v>
      </c>
      <c r="Q231" s="19">
        <f t="shared" si="8"/>
        <v>20.21333333</v>
      </c>
      <c r="R231" s="5">
        <f t="shared" si="9"/>
        <v>9193024</v>
      </c>
      <c r="T231" s="5">
        <f t="shared" si="10"/>
        <v>-6422</v>
      </c>
      <c r="U231" s="19">
        <f t="shared" si="11"/>
        <v>42.81333333</v>
      </c>
      <c r="V231" s="5">
        <f t="shared" si="12"/>
        <v>41242084</v>
      </c>
    </row>
    <row r="232">
      <c r="A232" s="2">
        <v>40875.0</v>
      </c>
      <c r="B232" s="5">
        <v>1979.0</v>
      </c>
      <c r="C232" s="5">
        <f t="shared" si="2"/>
        <v>2466</v>
      </c>
      <c r="D232" s="5">
        <f t="shared" si="3"/>
        <v>3169</v>
      </c>
      <c r="E232" s="5">
        <f t="shared" si="1"/>
        <v>1434</v>
      </c>
      <c r="L232" s="5">
        <f t="shared" si="4"/>
        <v>-487</v>
      </c>
      <c r="M232" s="19">
        <f t="shared" si="5"/>
        <v>0.2460838807</v>
      </c>
      <c r="N232" s="5">
        <f t="shared" si="6"/>
        <v>237169</v>
      </c>
      <c r="P232" s="5">
        <f t="shared" si="7"/>
        <v>-1190</v>
      </c>
      <c r="Q232" s="19">
        <f t="shared" si="8"/>
        <v>0.6013137948</v>
      </c>
      <c r="R232" s="5">
        <f t="shared" si="9"/>
        <v>1416100</v>
      </c>
      <c r="T232" s="5">
        <f t="shared" si="10"/>
        <v>545</v>
      </c>
      <c r="U232" s="19">
        <f t="shared" si="11"/>
        <v>0.2753916119</v>
      </c>
      <c r="V232" s="5">
        <f t="shared" si="12"/>
        <v>297025</v>
      </c>
    </row>
    <row r="233">
      <c r="A233" s="2">
        <v>40876.0</v>
      </c>
      <c r="B233" s="5">
        <v>4912.0</v>
      </c>
      <c r="C233" s="5">
        <f t="shared" si="2"/>
        <v>2571</v>
      </c>
      <c r="D233" s="5">
        <f t="shared" si="3"/>
        <v>3164</v>
      </c>
      <c r="E233" s="5">
        <f t="shared" si="1"/>
        <v>1870</v>
      </c>
      <c r="L233" s="5">
        <f t="shared" si="4"/>
        <v>2341</v>
      </c>
      <c r="M233" s="19">
        <f t="shared" si="5"/>
        <v>0.4765879479</v>
      </c>
      <c r="N233" s="5">
        <f t="shared" si="6"/>
        <v>5480281</v>
      </c>
      <c r="P233" s="5">
        <f t="shared" si="7"/>
        <v>1748</v>
      </c>
      <c r="Q233" s="19">
        <f t="shared" si="8"/>
        <v>0.3558631922</v>
      </c>
      <c r="R233" s="5">
        <f t="shared" si="9"/>
        <v>3055504</v>
      </c>
      <c r="T233" s="5">
        <f t="shared" si="10"/>
        <v>3042</v>
      </c>
      <c r="U233" s="19">
        <f t="shared" si="11"/>
        <v>0.6192996743</v>
      </c>
      <c r="V233" s="5">
        <f t="shared" si="12"/>
        <v>9253764</v>
      </c>
    </row>
    <row r="234">
      <c r="A234" s="2">
        <v>40877.0</v>
      </c>
      <c r="B234" s="5">
        <v>2404.0</v>
      </c>
      <c r="C234" s="5">
        <f t="shared" si="2"/>
        <v>3126</v>
      </c>
      <c r="D234" s="5">
        <f t="shared" si="3"/>
        <v>3171</v>
      </c>
      <c r="E234" s="5">
        <f t="shared" si="1"/>
        <v>4304</v>
      </c>
      <c r="L234" s="5">
        <f t="shared" si="4"/>
        <v>-722</v>
      </c>
      <c r="M234" s="19">
        <f t="shared" si="5"/>
        <v>0.3003327787</v>
      </c>
      <c r="N234" s="5">
        <f t="shared" si="6"/>
        <v>521284</v>
      </c>
      <c r="P234" s="5">
        <f t="shared" si="7"/>
        <v>-767</v>
      </c>
      <c r="Q234" s="19">
        <f t="shared" si="8"/>
        <v>0.3190515807</v>
      </c>
      <c r="R234" s="5">
        <f t="shared" si="9"/>
        <v>588289</v>
      </c>
      <c r="T234" s="5">
        <f t="shared" si="10"/>
        <v>-1900</v>
      </c>
      <c r="U234" s="19">
        <f t="shared" si="11"/>
        <v>0.7903494176</v>
      </c>
      <c r="V234" s="5">
        <f t="shared" si="12"/>
        <v>3610000</v>
      </c>
    </row>
    <row r="235">
      <c r="A235" s="2">
        <v>40878.0</v>
      </c>
      <c r="B235" s="5">
        <v>1160.0</v>
      </c>
      <c r="C235" s="5">
        <f t="shared" si="2"/>
        <v>3487</v>
      </c>
      <c r="D235" s="5">
        <f t="shared" si="3"/>
        <v>3168</v>
      </c>
      <c r="E235" s="5">
        <f t="shared" si="1"/>
        <v>2784</v>
      </c>
      <c r="L235" s="5">
        <f t="shared" si="4"/>
        <v>-2327</v>
      </c>
      <c r="M235" s="19">
        <f t="shared" si="5"/>
        <v>2.006034483</v>
      </c>
      <c r="N235" s="5">
        <f t="shared" si="6"/>
        <v>5414929</v>
      </c>
      <c r="P235" s="5">
        <f t="shared" si="7"/>
        <v>-2008</v>
      </c>
      <c r="Q235" s="19">
        <f t="shared" si="8"/>
        <v>1.731034483</v>
      </c>
      <c r="R235" s="5">
        <f t="shared" si="9"/>
        <v>4032064</v>
      </c>
      <c r="T235" s="5">
        <f t="shared" si="10"/>
        <v>-1624</v>
      </c>
      <c r="U235" s="19">
        <f t="shared" si="11"/>
        <v>1.4</v>
      </c>
      <c r="V235" s="5">
        <f t="shared" si="12"/>
        <v>2637376</v>
      </c>
    </row>
    <row r="236">
      <c r="A236" s="2">
        <v>40879.0</v>
      </c>
      <c r="B236" s="5">
        <v>641.0</v>
      </c>
      <c r="C236" s="5">
        <f t="shared" si="2"/>
        <v>2121</v>
      </c>
      <c r="D236" s="5">
        <f t="shared" si="3"/>
        <v>3160</v>
      </c>
      <c r="E236" s="5">
        <f t="shared" si="1"/>
        <v>1485</v>
      </c>
      <c r="L236" s="5">
        <f t="shared" si="4"/>
        <v>-1480</v>
      </c>
      <c r="M236" s="19">
        <f t="shared" si="5"/>
        <v>2.308892356</v>
      </c>
      <c r="N236" s="5">
        <f t="shared" si="6"/>
        <v>2190400</v>
      </c>
      <c r="P236" s="5">
        <f t="shared" si="7"/>
        <v>-2519</v>
      </c>
      <c r="Q236" s="19">
        <f t="shared" si="8"/>
        <v>3.929797192</v>
      </c>
      <c r="R236" s="5">
        <f t="shared" si="9"/>
        <v>6345361</v>
      </c>
      <c r="T236" s="5">
        <f t="shared" si="10"/>
        <v>-844</v>
      </c>
      <c r="U236" s="19">
        <f t="shared" si="11"/>
        <v>1.316692668</v>
      </c>
      <c r="V236" s="5">
        <f t="shared" si="12"/>
        <v>712336</v>
      </c>
    </row>
    <row r="237">
      <c r="A237" s="2">
        <v>40882.0</v>
      </c>
      <c r="B237" s="5">
        <v>1898.0</v>
      </c>
      <c r="C237" s="5">
        <f t="shared" si="2"/>
        <v>2219</v>
      </c>
      <c r="D237" s="5">
        <f t="shared" si="3"/>
        <v>3149</v>
      </c>
      <c r="E237" s="5">
        <f t="shared" si="1"/>
        <v>810</v>
      </c>
      <c r="L237" s="5">
        <f t="shared" si="4"/>
        <v>-321</v>
      </c>
      <c r="M237" s="19">
        <f t="shared" si="5"/>
        <v>0.1691253952</v>
      </c>
      <c r="N237" s="5">
        <f t="shared" si="6"/>
        <v>103041</v>
      </c>
      <c r="P237" s="5">
        <f t="shared" si="7"/>
        <v>-1251</v>
      </c>
      <c r="Q237" s="19">
        <f t="shared" si="8"/>
        <v>0.6591148577</v>
      </c>
      <c r="R237" s="5">
        <f t="shared" si="9"/>
        <v>1565001</v>
      </c>
      <c r="T237" s="5">
        <f t="shared" si="10"/>
        <v>1088</v>
      </c>
      <c r="U237" s="19">
        <f t="shared" si="11"/>
        <v>0.5732349842</v>
      </c>
      <c r="V237" s="5">
        <f t="shared" si="12"/>
        <v>1183744</v>
      </c>
    </row>
    <row r="238">
      <c r="A238" s="2">
        <v>40883.0</v>
      </c>
      <c r="B238" s="5">
        <v>5008.0</v>
      </c>
      <c r="C238" s="5">
        <f t="shared" si="2"/>
        <v>2203</v>
      </c>
      <c r="D238" s="5">
        <f t="shared" si="3"/>
        <v>3143</v>
      </c>
      <c r="E238" s="5">
        <f t="shared" si="1"/>
        <v>1680</v>
      </c>
      <c r="L238" s="5">
        <f t="shared" si="4"/>
        <v>2805</v>
      </c>
      <c r="M238" s="19">
        <f t="shared" si="5"/>
        <v>0.5601038339</v>
      </c>
      <c r="N238" s="5">
        <f t="shared" si="6"/>
        <v>7868025</v>
      </c>
      <c r="P238" s="5">
        <f t="shared" si="7"/>
        <v>1865</v>
      </c>
      <c r="Q238" s="19">
        <f t="shared" si="8"/>
        <v>0.3724041534</v>
      </c>
      <c r="R238" s="5">
        <f t="shared" si="9"/>
        <v>3478225</v>
      </c>
      <c r="T238" s="5">
        <f t="shared" si="10"/>
        <v>3328</v>
      </c>
      <c r="U238" s="19">
        <f t="shared" si="11"/>
        <v>0.6645367412</v>
      </c>
      <c r="V238" s="5">
        <f t="shared" si="12"/>
        <v>11075584</v>
      </c>
    </row>
    <row r="239">
      <c r="A239" s="2">
        <v>40884.0</v>
      </c>
      <c r="B239" s="5">
        <v>4714.0</v>
      </c>
      <c r="C239" s="5">
        <f t="shared" si="2"/>
        <v>2222</v>
      </c>
      <c r="D239" s="5">
        <f t="shared" si="3"/>
        <v>3151</v>
      </c>
      <c r="E239" s="5">
        <f t="shared" si="1"/>
        <v>4342</v>
      </c>
      <c r="L239" s="5">
        <f t="shared" si="4"/>
        <v>2492</v>
      </c>
      <c r="M239" s="19">
        <f t="shared" si="5"/>
        <v>0.5286380993</v>
      </c>
      <c r="N239" s="5">
        <f t="shared" si="6"/>
        <v>6210064</v>
      </c>
      <c r="P239" s="5">
        <f t="shared" si="7"/>
        <v>1563</v>
      </c>
      <c r="Q239" s="19">
        <f t="shared" si="8"/>
        <v>0.3315655494</v>
      </c>
      <c r="R239" s="5">
        <f t="shared" si="9"/>
        <v>2442969</v>
      </c>
      <c r="T239" s="5">
        <f t="shared" si="10"/>
        <v>372</v>
      </c>
      <c r="U239" s="19">
        <f t="shared" si="11"/>
        <v>0.07891387357</v>
      </c>
      <c r="V239" s="5">
        <f t="shared" si="12"/>
        <v>138384</v>
      </c>
    </row>
    <row r="240">
      <c r="A240" s="2">
        <v>40885.0</v>
      </c>
      <c r="B240" s="5">
        <v>1064.0</v>
      </c>
      <c r="C240" s="5">
        <f t="shared" si="2"/>
        <v>2684</v>
      </c>
      <c r="D240" s="5">
        <f t="shared" si="3"/>
        <v>3158</v>
      </c>
      <c r="E240" s="5">
        <f t="shared" si="1"/>
        <v>4640</v>
      </c>
      <c r="L240" s="5">
        <f t="shared" si="4"/>
        <v>-1620</v>
      </c>
      <c r="M240" s="19">
        <f t="shared" si="5"/>
        <v>1.522556391</v>
      </c>
      <c r="N240" s="5">
        <f t="shared" si="6"/>
        <v>2624400</v>
      </c>
      <c r="P240" s="5">
        <f t="shared" si="7"/>
        <v>-2094</v>
      </c>
      <c r="Q240" s="19">
        <f t="shared" si="8"/>
        <v>1.968045113</v>
      </c>
      <c r="R240" s="5">
        <f t="shared" si="9"/>
        <v>4384836</v>
      </c>
      <c r="T240" s="5">
        <f t="shared" si="10"/>
        <v>-3576</v>
      </c>
      <c r="U240" s="19">
        <f t="shared" si="11"/>
        <v>3.360902256</v>
      </c>
      <c r="V240" s="5">
        <f t="shared" si="12"/>
        <v>12787776</v>
      </c>
    </row>
    <row r="241">
      <c r="A241" s="2">
        <v>40886.0</v>
      </c>
      <c r="B241" s="5">
        <v>121.0</v>
      </c>
      <c r="C241" s="5">
        <f t="shared" si="2"/>
        <v>2665</v>
      </c>
      <c r="D241" s="5">
        <f t="shared" si="3"/>
        <v>3149</v>
      </c>
      <c r="E241" s="5">
        <f t="shared" si="1"/>
        <v>1779</v>
      </c>
      <c r="L241" s="5">
        <f t="shared" si="4"/>
        <v>-2544</v>
      </c>
      <c r="M241" s="19">
        <f t="shared" si="5"/>
        <v>21.02479339</v>
      </c>
      <c r="N241" s="5">
        <f t="shared" si="6"/>
        <v>6471936</v>
      </c>
      <c r="P241" s="5">
        <f t="shared" si="7"/>
        <v>-3028</v>
      </c>
      <c r="Q241" s="19">
        <f t="shared" si="8"/>
        <v>25.02479339</v>
      </c>
      <c r="R241" s="5">
        <f t="shared" si="9"/>
        <v>9168784</v>
      </c>
      <c r="T241" s="5">
        <f t="shared" si="10"/>
        <v>-1658</v>
      </c>
      <c r="U241" s="19">
        <f t="shared" si="11"/>
        <v>13.70247934</v>
      </c>
      <c r="V241" s="5">
        <f t="shared" si="12"/>
        <v>2748964</v>
      </c>
    </row>
    <row r="242">
      <c r="A242" s="2">
        <v>40889.0</v>
      </c>
      <c r="B242" s="5">
        <v>2655.0</v>
      </c>
      <c r="C242" s="5">
        <f t="shared" si="2"/>
        <v>2561</v>
      </c>
      <c r="D242" s="5">
        <f t="shared" si="3"/>
        <v>3137</v>
      </c>
      <c r="E242" s="5">
        <f t="shared" si="1"/>
        <v>453</v>
      </c>
      <c r="L242" s="5">
        <f t="shared" si="4"/>
        <v>94</v>
      </c>
      <c r="M242" s="19">
        <f t="shared" si="5"/>
        <v>0.03540489642</v>
      </c>
      <c r="N242" s="5">
        <f t="shared" si="6"/>
        <v>8836</v>
      </c>
      <c r="P242" s="5">
        <f t="shared" si="7"/>
        <v>-482</v>
      </c>
      <c r="Q242" s="19">
        <f t="shared" si="8"/>
        <v>0.1815442561</v>
      </c>
      <c r="R242" s="5">
        <f t="shared" si="9"/>
        <v>232324</v>
      </c>
      <c r="T242" s="5">
        <f t="shared" si="10"/>
        <v>2202</v>
      </c>
      <c r="U242" s="19">
        <f t="shared" si="11"/>
        <v>0.8293785311</v>
      </c>
      <c r="V242" s="5">
        <f t="shared" si="12"/>
        <v>4848804</v>
      </c>
    </row>
    <row r="243">
      <c r="A243" s="2">
        <v>40890.0</v>
      </c>
      <c r="B243" s="5">
        <v>8036.0</v>
      </c>
      <c r="C243" s="5">
        <f t="shared" si="2"/>
        <v>2712</v>
      </c>
      <c r="D243" s="5">
        <f t="shared" si="3"/>
        <v>3135</v>
      </c>
      <c r="E243" s="5">
        <f t="shared" si="1"/>
        <v>2215</v>
      </c>
      <c r="L243" s="5">
        <f t="shared" si="4"/>
        <v>5324</v>
      </c>
      <c r="M243" s="19">
        <f t="shared" si="5"/>
        <v>0.662518666</v>
      </c>
      <c r="N243" s="5">
        <f t="shared" si="6"/>
        <v>28344976</v>
      </c>
      <c r="P243" s="5">
        <f t="shared" si="7"/>
        <v>4901</v>
      </c>
      <c r="Q243" s="19">
        <f t="shared" si="8"/>
        <v>0.6098805376</v>
      </c>
      <c r="R243" s="5">
        <f t="shared" si="9"/>
        <v>24019801</v>
      </c>
      <c r="T243" s="5">
        <f t="shared" si="10"/>
        <v>5821</v>
      </c>
      <c r="U243" s="19">
        <f t="shared" si="11"/>
        <v>0.7243653559</v>
      </c>
      <c r="V243" s="5">
        <f t="shared" si="12"/>
        <v>33884041</v>
      </c>
    </row>
    <row r="244">
      <c r="A244" s="2">
        <v>40891.0</v>
      </c>
      <c r="B244" s="5">
        <v>5234.0</v>
      </c>
      <c r="C244" s="5">
        <f t="shared" si="2"/>
        <v>3318</v>
      </c>
      <c r="D244" s="5">
        <f t="shared" si="3"/>
        <v>3155</v>
      </c>
      <c r="E244" s="5">
        <f t="shared" si="1"/>
        <v>6872</v>
      </c>
      <c r="L244" s="5">
        <f t="shared" si="4"/>
        <v>1916</v>
      </c>
      <c r="M244" s="19">
        <f t="shared" si="5"/>
        <v>0.3660680168</v>
      </c>
      <c r="N244" s="5">
        <f t="shared" si="6"/>
        <v>3671056</v>
      </c>
      <c r="P244" s="5">
        <f t="shared" si="7"/>
        <v>2079</v>
      </c>
      <c r="Q244" s="19">
        <f t="shared" si="8"/>
        <v>0.3972105464</v>
      </c>
      <c r="R244" s="5">
        <f t="shared" si="9"/>
        <v>4322241</v>
      </c>
      <c r="T244" s="5">
        <f t="shared" si="10"/>
        <v>-1638</v>
      </c>
      <c r="U244" s="19">
        <f t="shared" si="11"/>
        <v>0.3129537639</v>
      </c>
      <c r="V244" s="5">
        <f t="shared" si="12"/>
        <v>2683044</v>
      </c>
    </row>
    <row r="245">
      <c r="A245" s="2">
        <v>40892.0</v>
      </c>
      <c r="B245" s="5">
        <v>882.0</v>
      </c>
      <c r="C245" s="5">
        <f t="shared" si="2"/>
        <v>3422</v>
      </c>
      <c r="D245" s="5">
        <f t="shared" si="3"/>
        <v>3163</v>
      </c>
      <c r="E245" s="5">
        <f t="shared" si="1"/>
        <v>5562</v>
      </c>
      <c r="L245" s="5">
        <f t="shared" si="4"/>
        <v>-2540</v>
      </c>
      <c r="M245" s="19">
        <f t="shared" si="5"/>
        <v>2.879818594</v>
      </c>
      <c r="N245" s="5">
        <f t="shared" si="6"/>
        <v>6451600</v>
      </c>
      <c r="P245" s="5">
        <f t="shared" si="7"/>
        <v>-2281</v>
      </c>
      <c r="Q245" s="19">
        <f t="shared" si="8"/>
        <v>2.5861678</v>
      </c>
      <c r="R245" s="5">
        <f t="shared" si="9"/>
        <v>5202961</v>
      </c>
      <c r="T245" s="5">
        <f t="shared" si="10"/>
        <v>-4680</v>
      </c>
      <c r="U245" s="19">
        <f t="shared" si="11"/>
        <v>5.306122449</v>
      </c>
      <c r="V245" s="5">
        <f t="shared" si="12"/>
        <v>21902400</v>
      </c>
    </row>
    <row r="246">
      <c r="A246" s="2">
        <v>40893.0</v>
      </c>
      <c r="B246" s="5">
        <v>3188.0</v>
      </c>
      <c r="C246" s="5">
        <f t="shared" si="2"/>
        <v>3386</v>
      </c>
      <c r="D246" s="5">
        <f t="shared" si="3"/>
        <v>3154</v>
      </c>
      <c r="E246" s="5">
        <f t="shared" si="1"/>
        <v>1818</v>
      </c>
      <c r="L246" s="5">
        <f t="shared" si="4"/>
        <v>-198</v>
      </c>
      <c r="M246" s="19">
        <f t="shared" si="5"/>
        <v>0.06210790464</v>
      </c>
      <c r="N246" s="5">
        <f t="shared" si="6"/>
        <v>39204</v>
      </c>
      <c r="P246" s="5">
        <f t="shared" si="7"/>
        <v>34</v>
      </c>
      <c r="Q246" s="19">
        <f t="shared" si="8"/>
        <v>0.01066499373</v>
      </c>
      <c r="R246" s="5">
        <f t="shared" si="9"/>
        <v>1156</v>
      </c>
      <c r="T246" s="5">
        <f t="shared" si="10"/>
        <v>1370</v>
      </c>
      <c r="U246" s="19">
        <f t="shared" si="11"/>
        <v>0.4297365119</v>
      </c>
      <c r="V246" s="5">
        <f t="shared" si="12"/>
        <v>1876900</v>
      </c>
    </row>
    <row r="247">
      <c r="A247" s="2">
        <v>40896.0</v>
      </c>
      <c r="B247" s="5">
        <v>1010.0</v>
      </c>
      <c r="C247" s="5">
        <f t="shared" si="2"/>
        <v>3999</v>
      </c>
      <c r="D247" s="5">
        <f t="shared" si="3"/>
        <v>3154</v>
      </c>
      <c r="E247" s="5">
        <f t="shared" si="1"/>
        <v>2914</v>
      </c>
      <c r="L247" s="5">
        <f t="shared" si="4"/>
        <v>-2989</v>
      </c>
      <c r="M247" s="19">
        <f t="shared" si="5"/>
        <v>2.959405941</v>
      </c>
      <c r="N247" s="5">
        <f t="shared" si="6"/>
        <v>8934121</v>
      </c>
      <c r="P247" s="5">
        <f t="shared" si="7"/>
        <v>-2144</v>
      </c>
      <c r="Q247" s="19">
        <f t="shared" si="8"/>
        <v>2.122772277</v>
      </c>
      <c r="R247" s="5">
        <f t="shared" si="9"/>
        <v>4596736</v>
      </c>
      <c r="T247" s="5">
        <f t="shared" si="10"/>
        <v>-1904</v>
      </c>
      <c r="U247" s="19">
        <f t="shared" si="11"/>
        <v>1.885148515</v>
      </c>
      <c r="V247" s="5">
        <f t="shared" si="12"/>
        <v>3625216</v>
      </c>
    </row>
    <row r="248">
      <c r="A248" s="2">
        <v>40897.0</v>
      </c>
      <c r="B248" s="5">
        <v>5582.0</v>
      </c>
      <c r="C248" s="5">
        <f t="shared" si="2"/>
        <v>3670</v>
      </c>
      <c r="D248" s="5">
        <f t="shared" si="3"/>
        <v>3145</v>
      </c>
      <c r="E248" s="5">
        <f t="shared" si="1"/>
        <v>1391</v>
      </c>
      <c r="L248" s="5">
        <f t="shared" si="4"/>
        <v>1912</v>
      </c>
      <c r="M248" s="19">
        <f t="shared" si="5"/>
        <v>0.3425295593</v>
      </c>
      <c r="N248" s="5">
        <f t="shared" si="6"/>
        <v>3655744</v>
      </c>
      <c r="P248" s="5">
        <f t="shared" si="7"/>
        <v>2437</v>
      </c>
      <c r="Q248" s="19">
        <f t="shared" si="8"/>
        <v>0.4365818703</v>
      </c>
      <c r="R248" s="5">
        <f t="shared" si="9"/>
        <v>5938969</v>
      </c>
      <c r="T248" s="5">
        <f t="shared" si="10"/>
        <v>4191</v>
      </c>
      <c r="U248" s="19">
        <f t="shared" si="11"/>
        <v>0.7508061627</v>
      </c>
      <c r="V248" s="5">
        <f t="shared" si="12"/>
        <v>17564481</v>
      </c>
    </row>
    <row r="249">
      <c r="A249" s="2">
        <v>40898.0</v>
      </c>
      <c r="B249" s="5">
        <v>7427.0</v>
      </c>
      <c r="C249" s="5">
        <f t="shared" si="2"/>
        <v>3179</v>
      </c>
      <c r="D249" s="5">
        <f t="shared" si="3"/>
        <v>3155</v>
      </c>
      <c r="E249" s="5">
        <f t="shared" si="1"/>
        <v>4744</v>
      </c>
      <c r="L249" s="5">
        <f t="shared" si="4"/>
        <v>4248</v>
      </c>
      <c r="M249" s="19">
        <f t="shared" si="5"/>
        <v>0.5719671469</v>
      </c>
      <c r="N249" s="5">
        <f t="shared" si="6"/>
        <v>18045504</v>
      </c>
      <c r="P249" s="5">
        <f t="shared" si="7"/>
        <v>4272</v>
      </c>
      <c r="Q249" s="19">
        <f t="shared" si="8"/>
        <v>0.5751985997</v>
      </c>
      <c r="R249" s="5">
        <f t="shared" si="9"/>
        <v>18249984</v>
      </c>
      <c r="T249" s="5">
        <f t="shared" si="10"/>
        <v>2683</v>
      </c>
      <c r="U249" s="19">
        <f t="shared" si="11"/>
        <v>0.3612494951</v>
      </c>
      <c r="V249" s="5">
        <f t="shared" si="12"/>
        <v>7198489</v>
      </c>
    </row>
    <row r="250">
      <c r="A250" s="2">
        <v>40899.0</v>
      </c>
      <c r="B250" s="5">
        <v>2580.0</v>
      </c>
      <c r="C250" s="5">
        <f t="shared" si="2"/>
        <v>3618</v>
      </c>
      <c r="D250" s="5">
        <f t="shared" si="3"/>
        <v>3173</v>
      </c>
      <c r="E250" s="5">
        <f t="shared" si="1"/>
        <v>6890</v>
      </c>
      <c r="L250" s="5">
        <f t="shared" si="4"/>
        <v>-1038</v>
      </c>
      <c r="M250" s="19">
        <f t="shared" si="5"/>
        <v>0.4023255814</v>
      </c>
      <c r="N250" s="5">
        <f t="shared" si="6"/>
        <v>1077444</v>
      </c>
      <c r="P250" s="5">
        <f t="shared" si="7"/>
        <v>-593</v>
      </c>
      <c r="Q250" s="19">
        <f t="shared" si="8"/>
        <v>0.2298449612</v>
      </c>
      <c r="R250" s="5">
        <f t="shared" si="9"/>
        <v>351649</v>
      </c>
      <c r="T250" s="5">
        <f t="shared" si="10"/>
        <v>-4310</v>
      </c>
      <c r="U250" s="19">
        <f t="shared" si="11"/>
        <v>1.670542636</v>
      </c>
      <c r="V250" s="5">
        <f t="shared" si="12"/>
        <v>18576100</v>
      </c>
    </row>
    <row r="251">
      <c r="A251" s="2">
        <v>40900.0</v>
      </c>
      <c r="B251" s="5">
        <v>1420.0</v>
      </c>
      <c r="C251" s="5">
        <f t="shared" si="2"/>
        <v>3957</v>
      </c>
      <c r="D251" s="5">
        <f t="shared" si="3"/>
        <v>3170</v>
      </c>
      <c r="E251" s="5">
        <f t="shared" si="1"/>
        <v>3442</v>
      </c>
      <c r="L251" s="5">
        <f t="shared" si="4"/>
        <v>-2537</v>
      </c>
      <c r="M251" s="19">
        <f t="shared" si="5"/>
        <v>1.786619718</v>
      </c>
      <c r="N251" s="5">
        <f t="shared" si="6"/>
        <v>6436369</v>
      </c>
      <c r="P251" s="5">
        <f t="shared" si="7"/>
        <v>-1750</v>
      </c>
      <c r="Q251" s="19">
        <f t="shared" si="8"/>
        <v>1.232394366</v>
      </c>
      <c r="R251" s="5">
        <f t="shared" si="9"/>
        <v>3062500</v>
      </c>
      <c r="T251" s="5">
        <f t="shared" si="10"/>
        <v>-2022</v>
      </c>
      <c r="U251" s="19">
        <f t="shared" si="11"/>
        <v>1.423943662</v>
      </c>
      <c r="V251" s="5">
        <f t="shared" si="12"/>
        <v>4088484</v>
      </c>
    </row>
    <row r="252">
      <c r="A252" s="2">
        <v>40904.0</v>
      </c>
      <c r="B252" s="5">
        <v>5287.0</v>
      </c>
      <c r="C252" s="5">
        <f t="shared" si="2"/>
        <v>3604</v>
      </c>
      <c r="D252" s="5">
        <f t="shared" si="3"/>
        <v>3163</v>
      </c>
      <c r="E252" s="5">
        <f t="shared" si="1"/>
        <v>1824</v>
      </c>
      <c r="L252" s="5">
        <f t="shared" si="4"/>
        <v>1683</v>
      </c>
      <c r="M252" s="19">
        <f t="shared" si="5"/>
        <v>0.3183279743</v>
      </c>
      <c r="N252" s="5">
        <f t="shared" si="6"/>
        <v>2832489</v>
      </c>
      <c r="P252" s="5">
        <f t="shared" si="7"/>
        <v>2124</v>
      </c>
      <c r="Q252" s="19">
        <f t="shared" si="8"/>
        <v>0.4017401173</v>
      </c>
      <c r="R252" s="5">
        <f t="shared" si="9"/>
        <v>4511376</v>
      </c>
      <c r="T252" s="5">
        <f t="shared" si="10"/>
        <v>3463</v>
      </c>
      <c r="U252" s="19">
        <f t="shared" si="11"/>
        <v>0.6550028371</v>
      </c>
      <c r="V252" s="5">
        <f t="shared" si="12"/>
        <v>11992369</v>
      </c>
    </row>
    <row r="253">
      <c r="A253" s="2">
        <v>40905.0</v>
      </c>
      <c r="B253" s="5">
        <v>3129.0</v>
      </c>
      <c r="C253" s="5">
        <f t="shared" si="2"/>
        <v>4459</v>
      </c>
      <c r="D253" s="5">
        <f t="shared" si="3"/>
        <v>3172</v>
      </c>
      <c r="E253" s="5">
        <f t="shared" si="1"/>
        <v>4594</v>
      </c>
      <c r="L253" s="5">
        <f t="shared" si="4"/>
        <v>-1330</v>
      </c>
      <c r="M253" s="19">
        <f t="shared" si="5"/>
        <v>0.4250559284</v>
      </c>
      <c r="N253" s="5">
        <f t="shared" si="6"/>
        <v>1768900</v>
      </c>
      <c r="P253" s="5">
        <f t="shared" si="7"/>
        <v>-43</v>
      </c>
      <c r="Q253" s="19">
        <f t="shared" si="8"/>
        <v>0.01374240972</v>
      </c>
      <c r="R253" s="5">
        <f t="shared" si="9"/>
        <v>1849</v>
      </c>
      <c r="T253" s="5">
        <f t="shared" si="10"/>
        <v>-1465</v>
      </c>
      <c r="U253" s="19">
        <f t="shared" si="11"/>
        <v>0.4682007031</v>
      </c>
      <c r="V253" s="5">
        <f t="shared" si="12"/>
        <v>2146225</v>
      </c>
    </row>
    <row r="254">
      <c r="A254" s="2">
        <v>40906.0</v>
      </c>
      <c r="B254" s="5">
        <v>0.0</v>
      </c>
      <c r="C254" s="5">
        <f t="shared" si="2"/>
        <v>3969</v>
      </c>
      <c r="D254" s="5">
        <f t="shared" si="3"/>
        <v>3172</v>
      </c>
      <c r="E254" s="5">
        <f t="shared" si="1"/>
        <v>3422</v>
      </c>
      <c r="L254" s="5">
        <f t="shared" si="4"/>
        <v>-3969</v>
      </c>
      <c r="M254" s="19">
        <f t="shared" si="5"/>
        <v>1</v>
      </c>
      <c r="N254" s="5">
        <f t="shared" si="6"/>
        <v>15752961</v>
      </c>
      <c r="P254" s="5">
        <f t="shared" si="7"/>
        <v>-3172</v>
      </c>
      <c r="Q254" s="19">
        <f t="shared" si="8"/>
        <v>1</v>
      </c>
      <c r="R254" s="5">
        <f t="shared" si="9"/>
        <v>10061584</v>
      </c>
      <c r="T254" s="5">
        <f t="shared" si="10"/>
        <v>-3422</v>
      </c>
      <c r="U254" s="19">
        <f t="shared" si="11"/>
        <v>1</v>
      </c>
      <c r="V254" s="5">
        <f t="shared" si="12"/>
        <v>11710084</v>
      </c>
    </row>
    <row r="255">
      <c r="A255" s="2">
        <v>40907.0</v>
      </c>
      <c r="B255" s="5">
        <v>52.0</v>
      </c>
      <c r="C255" s="5">
        <f t="shared" si="2"/>
        <v>2483</v>
      </c>
      <c r="D255" s="5">
        <f t="shared" si="3"/>
        <v>3159</v>
      </c>
      <c r="E255" s="5">
        <f t="shared" si="1"/>
        <v>684</v>
      </c>
      <c r="L255" s="5">
        <f t="shared" si="4"/>
        <v>-2431</v>
      </c>
      <c r="M255" s="19">
        <f t="shared" si="5"/>
        <v>46.75</v>
      </c>
      <c r="N255" s="5">
        <f t="shared" si="6"/>
        <v>5909761</v>
      </c>
      <c r="P255" s="5">
        <f t="shared" si="7"/>
        <v>-3107</v>
      </c>
      <c r="Q255" s="19">
        <f t="shared" si="8"/>
        <v>59.75</v>
      </c>
      <c r="R255" s="5">
        <f t="shared" si="9"/>
        <v>9653449</v>
      </c>
      <c r="T255" s="5">
        <f t="shared" si="10"/>
        <v>-632</v>
      </c>
      <c r="U255" s="19">
        <f t="shared" si="11"/>
        <v>12.15384615</v>
      </c>
      <c r="V255" s="5">
        <f t="shared" si="12"/>
        <v>399424</v>
      </c>
    </row>
    <row r="256">
      <c r="A256" s="1" t="s">
        <v>4</v>
      </c>
      <c r="B256" s="1" t="s">
        <v>5</v>
      </c>
      <c r="C256" s="1" t="s">
        <v>7</v>
      </c>
      <c r="D256" s="1" t="s">
        <v>8</v>
      </c>
      <c r="E256" s="1" t="s">
        <v>9</v>
      </c>
      <c r="K256" s="1" t="s">
        <v>7</v>
      </c>
      <c r="L256" s="1" t="s">
        <v>10</v>
      </c>
      <c r="M256" s="1" t="s">
        <v>11</v>
      </c>
      <c r="N256" s="1" t="s">
        <v>12</v>
      </c>
      <c r="O256" s="1" t="s">
        <v>13</v>
      </c>
      <c r="P256" s="1" t="s">
        <v>10</v>
      </c>
      <c r="Q256" s="1" t="s">
        <v>11</v>
      </c>
      <c r="R256" s="1" t="s">
        <v>12</v>
      </c>
      <c r="S256" s="1" t="s">
        <v>9</v>
      </c>
      <c r="T256" s="1" t="s">
        <v>10</v>
      </c>
      <c r="U256" s="1" t="s">
        <v>11</v>
      </c>
      <c r="V256" s="1" t="s">
        <v>12</v>
      </c>
    </row>
    <row r="257">
      <c r="A257" s="1"/>
    </row>
    <row r="258">
      <c r="A258" s="2">
        <v>40911.0</v>
      </c>
      <c r="B258" s="5">
        <v>1147.0</v>
      </c>
      <c r="C258" s="5">
        <f>ROUND(AVERAGE(B251:B255),0)</f>
        <v>1978</v>
      </c>
      <c r="D258" s="5">
        <f>ROUND(AVERAGE(B$3:B255),0)</f>
        <v>3147</v>
      </c>
      <c r="E258" s="5">
        <f>ROUND(J$7*B255+(1-J$7)*E255,0)</f>
        <v>178</v>
      </c>
      <c r="L258" s="5">
        <f t="shared" ref="L258:L509" si="13">B258-C258</f>
        <v>-831</v>
      </c>
      <c r="M258" s="19">
        <f t="shared" ref="M258:M509" si="14">IF(B258=0, IF(C258=0, 0, 1), ABS(B258-C258)/B258)</f>
        <v>0.7244986922</v>
      </c>
      <c r="N258" s="5">
        <f t="shared" ref="N258:N509" si="15">(B258-C258)^2</f>
        <v>690561</v>
      </c>
      <c r="P258" s="5">
        <f t="shared" ref="P258:P509" si="16">B258-D258</f>
        <v>-2000</v>
      </c>
      <c r="Q258" s="19">
        <f t="shared" ref="Q258:Q509" si="17">IF(B258=0, IF(D258=0, 0, 1), ABS(B258-D258)/B258)</f>
        <v>1.743679163</v>
      </c>
      <c r="R258" s="5">
        <f t="shared" ref="R258:R509" si="18">(B258-D258)^2</f>
        <v>4000000</v>
      </c>
      <c r="T258" s="5">
        <f t="shared" ref="T258:T509" si="19">B258-E258</f>
        <v>969</v>
      </c>
      <c r="U258" s="19">
        <f t="shared" ref="U258:U509" si="20">IF(B258=0, IF(E258=0, 0, 1), ABS(B258-E258)/B258)</f>
        <v>0.8448125545</v>
      </c>
      <c r="V258" s="5">
        <f t="shared" ref="V258:V509" si="21">(B258-E258)^2</f>
        <v>938961</v>
      </c>
    </row>
    <row r="259">
      <c r="A259" s="2">
        <v>40912.0</v>
      </c>
      <c r="B259" s="5">
        <v>5100.0</v>
      </c>
      <c r="C259" s="5">
        <f t="shared" ref="C259:C262" si="22">ROUND(AVERAGE(B252:B258),0)</f>
        <v>1923</v>
      </c>
      <c r="D259" s="5">
        <f t="shared" ref="D259:D509" si="23">ROUND(AVERAGE(B$3:B258),0)</f>
        <v>3139</v>
      </c>
      <c r="E259" s="5">
        <f t="shared" ref="E259:E509" si="24">ROUND(J$7*B258+(1-J$7)*E258,0)</f>
        <v>953</v>
      </c>
      <c r="L259" s="5">
        <f t="shared" si="13"/>
        <v>3177</v>
      </c>
      <c r="M259" s="19">
        <f t="shared" si="14"/>
        <v>0.6229411765</v>
      </c>
      <c r="N259" s="5">
        <f t="shared" si="15"/>
        <v>10093329</v>
      </c>
      <c r="P259" s="5">
        <f t="shared" si="16"/>
        <v>1961</v>
      </c>
      <c r="Q259" s="19">
        <f t="shared" si="17"/>
        <v>0.3845098039</v>
      </c>
      <c r="R259" s="5">
        <f t="shared" si="18"/>
        <v>3845521</v>
      </c>
      <c r="T259" s="5">
        <f t="shared" si="19"/>
        <v>4147</v>
      </c>
      <c r="U259" s="19">
        <f t="shared" si="20"/>
        <v>0.8131372549</v>
      </c>
      <c r="V259" s="5">
        <f t="shared" si="21"/>
        <v>17197609</v>
      </c>
    </row>
    <row r="260">
      <c r="A260" s="2">
        <v>40913.0</v>
      </c>
      <c r="B260" s="5">
        <v>776.0</v>
      </c>
      <c r="C260" s="5">
        <f t="shared" si="22"/>
        <v>1886</v>
      </c>
      <c r="D260" s="5">
        <f t="shared" si="23"/>
        <v>3146</v>
      </c>
      <c r="E260" s="5">
        <f t="shared" si="24"/>
        <v>4271</v>
      </c>
      <c r="L260" s="5">
        <f t="shared" si="13"/>
        <v>-1110</v>
      </c>
      <c r="M260" s="19">
        <f t="shared" si="14"/>
        <v>1.430412371</v>
      </c>
      <c r="N260" s="5">
        <f t="shared" si="15"/>
        <v>1232100</v>
      </c>
      <c r="P260" s="5">
        <f t="shared" si="16"/>
        <v>-2370</v>
      </c>
      <c r="Q260" s="19">
        <f t="shared" si="17"/>
        <v>3.054123711</v>
      </c>
      <c r="R260" s="5">
        <f t="shared" si="18"/>
        <v>5616900</v>
      </c>
      <c r="T260" s="5">
        <f t="shared" si="19"/>
        <v>-3495</v>
      </c>
      <c r="U260" s="19">
        <f t="shared" si="20"/>
        <v>4.503865979</v>
      </c>
      <c r="V260" s="5">
        <f t="shared" si="21"/>
        <v>12215025</v>
      </c>
    </row>
    <row r="261">
      <c r="A261" s="2">
        <v>40914.0</v>
      </c>
      <c r="B261" s="5">
        <v>156.0</v>
      </c>
      <c r="C261" s="5">
        <f t="shared" si="22"/>
        <v>1415</v>
      </c>
      <c r="D261" s="5">
        <f t="shared" si="23"/>
        <v>3137</v>
      </c>
      <c r="E261" s="5">
        <f t="shared" si="24"/>
        <v>1475</v>
      </c>
      <c r="L261" s="5">
        <f t="shared" si="13"/>
        <v>-1259</v>
      </c>
      <c r="M261" s="19">
        <f t="shared" si="14"/>
        <v>8.070512821</v>
      </c>
      <c r="N261" s="5">
        <f t="shared" si="15"/>
        <v>1585081</v>
      </c>
      <c r="P261" s="5">
        <f t="shared" si="16"/>
        <v>-2981</v>
      </c>
      <c r="Q261" s="19">
        <f t="shared" si="17"/>
        <v>19.10897436</v>
      </c>
      <c r="R261" s="5">
        <f t="shared" si="18"/>
        <v>8886361</v>
      </c>
      <c r="T261" s="5">
        <f t="shared" si="19"/>
        <v>-1319</v>
      </c>
      <c r="U261" s="19">
        <f t="shared" si="20"/>
        <v>8.455128205</v>
      </c>
      <c r="V261" s="5">
        <f t="shared" si="21"/>
        <v>1739761</v>
      </c>
    </row>
    <row r="262">
      <c r="A262" s="2">
        <v>40917.0</v>
      </c>
      <c r="B262" s="5">
        <v>5823.0</v>
      </c>
      <c r="C262" s="5">
        <f t="shared" si="22"/>
        <v>1446</v>
      </c>
      <c r="D262" s="5">
        <f t="shared" si="23"/>
        <v>3126</v>
      </c>
      <c r="E262" s="5">
        <f t="shared" si="24"/>
        <v>420</v>
      </c>
      <c r="L262" s="5">
        <f t="shared" si="13"/>
        <v>4377</v>
      </c>
      <c r="M262" s="19">
        <f t="shared" si="14"/>
        <v>0.7516743946</v>
      </c>
      <c r="N262" s="5">
        <f t="shared" si="15"/>
        <v>19158129</v>
      </c>
      <c r="P262" s="5">
        <f t="shared" si="16"/>
        <v>2697</v>
      </c>
      <c r="Q262" s="19">
        <f t="shared" si="17"/>
        <v>0.4631633179</v>
      </c>
      <c r="R262" s="5">
        <f t="shared" si="18"/>
        <v>7273809</v>
      </c>
      <c r="T262" s="5">
        <f t="shared" si="19"/>
        <v>5403</v>
      </c>
      <c r="U262" s="19">
        <f t="shared" si="20"/>
        <v>0.9278722308</v>
      </c>
      <c r="V262" s="5">
        <f t="shared" si="21"/>
        <v>29192409</v>
      </c>
    </row>
    <row r="263">
      <c r="A263" s="2">
        <v>40918.0</v>
      </c>
      <c r="B263" s="5">
        <v>2010.0</v>
      </c>
      <c r="C263" s="5">
        <f t="shared" ref="C263:C509" si="25">ROUND(AVERAGE(B258:B262),0)</f>
        <v>2600</v>
      </c>
      <c r="D263" s="5">
        <f t="shared" si="23"/>
        <v>3136</v>
      </c>
      <c r="E263" s="5">
        <f t="shared" si="24"/>
        <v>4742</v>
      </c>
      <c r="L263" s="5">
        <f t="shared" si="13"/>
        <v>-590</v>
      </c>
      <c r="M263" s="19">
        <f t="shared" si="14"/>
        <v>0.2935323383</v>
      </c>
      <c r="N263" s="5">
        <f t="shared" si="15"/>
        <v>348100</v>
      </c>
      <c r="P263" s="5">
        <f t="shared" si="16"/>
        <v>-1126</v>
      </c>
      <c r="Q263" s="19">
        <f t="shared" si="17"/>
        <v>0.560199005</v>
      </c>
      <c r="R263" s="5">
        <f t="shared" si="18"/>
        <v>1267876</v>
      </c>
      <c r="T263" s="5">
        <f t="shared" si="19"/>
        <v>-2732</v>
      </c>
      <c r="U263" s="19">
        <f t="shared" si="20"/>
        <v>1.35920398</v>
      </c>
      <c r="V263" s="5">
        <f t="shared" si="21"/>
        <v>7463824</v>
      </c>
    </row>
    <row r="264">
      <c r="A264" s="2">
        <v>40919.0</v>
      </c>
      <c r="B264" s="5">
        <v>3920.0</v>
      </c>
      <c r="C264" s="5">
        <f t="shared" si="25"/>
        <v>2773</v>
      </c>
      <c r="D264" s="5">
        <f t="shared" si="23"/>
        <v>3132</v>
      </c>
      <c r="E264" s="5">
        <f t="shared" si="24"/>
        <v>2556</v>
      </c>
      <c r="L264" s="5">
        <f t="shared" si="13"/>
        <v>1147</v>
      </c>
      <c r="M264" s="19">
        <f t="shared" si="14"/>
        <v>0.2926020408</v>
      </c>
      <c r="N264" s="5">
        <f t="shared" si="15"/>
        <v>1315609</v>
      </c>
      <c r="P264" s="5">
        <f t="shared" si="16"/>
        <v>788</v>
      </c>
      <c r="Q264" s="19">
        <f t="shared" si="17"/>
        <v>0.2010204082</v>
      </c>
      <c r="R264" s="5">
        <f t="shared" si="18"/>
        <v>620944</v>
      </c>
      <c r="T264" s="5">
        <f t="shared" si="19"/>
        <v>1364</v>
      </c>
      <c r="U264" s="19">
        <f t="shared" si="20"/>
        <v>0.3479591837</v>
      </c>
      <c r="V264" s="5">
        <f t="shared" si="21"/>
        <v>1860496</v>
      </c>
    </row>
    <row r="265">
      <c r="A265" s="2">
        <v>40920.0</v>
      </c>
      <c r="B265" s="5">
        <v>1303.0</v>
      </c>
      <c r="C265" s="5">
        <f t="shared" si="25"/>
        <v>2537</v>
      </c>
      <c r="D265" s="5">
        <f t="shared" si="23"/>
        <v>3135</v>
      </c>
      <c r="E265" s="5">
        <f t="shared" si="24"/>
        <v>3647</v>
      </c>
      <c r="L265" s="5">
        <f t="shared" si="13"/>
        <v>-1234</v>
      </c>
      <c r="M265" s="19">
        <f t="shared" si="14"/>
        <v>0.9470452801</v>
      </c>
      <c r="N265" s="5">
        <f t="shared" si="15"/>
        <v>1522756</v>
      </c>
      <c r="P265" s="5">
        <f t="shared" si="16"/>
        <v>-1832</v>
      </c>
      <c r="Q265" s="19">
        <f t="shared" si="17"/>
        <v>1.405986186</v>
      </c>
      <c r="R265" s="5">
        <f t="shared" si="18"/>
        <v>3356224</v>
      </c>
      <c r="T265" s="5">
        <f t="shared" si="19"/>
        <v>-2344</v>
      </c>
      <c r="U265" s="19">
        <f t="shared" si="20"/>
        <v>1.798925556</v>
      </c>
      <c r="V265" s="5">
        <f t="shared" si="21"/>
        <v>5494336</v>
      </c>
    </row>
    <row r="266">
      <c r="A266" s="2">
        <v>40921.0</v>
      </c>
      <c r="B266" s="5">
        <v>357.0</v>
      </c>
      <c r="C266" s="5">
        <f t="shared" si="25"/>
        <v>2642</v>
      </c>
      <c r="D266" s="5">
        <f t="shared" si="23"/>
        <v>3128</v>
      </c>
      <c r="E266" s="5">
        <f t="shared" si="24"/>
        <v>1772</v>
      </c>
      <c r="L266" s="5">
        <f t="shared" si="13"/>
        <v>-2285</v>
      </c>
      <c r="M266" s="19">
        <f t="shared" si="14"/>
        <v>6.400560224</v>
      </c>
      <c r="N266" s="5">
        <f t="shared" si="15"/>
        <v>5221225</v>
      </c>
      <c r="P266" s="5">
        <f t="shared" si="16"/>
        <v>-2771</v>
      </c>
      <c r="Q266" s="19">
        <f t="shared" si="17"/>
        <v>7.761904762</v>
      </c>
      <c r="R266" s="5">
        <f t="shared" si="18"/>
        <v>7678441</v>
      </c>
      <c r="T266" s="5">
        <f t="shared" si="19"/>
        <v>-1415</v>
      </c>
      <c r="U266" s="19">
        <f t="shared" si="20"/>
        <v>3.963585434</v>
      </c>
      <c r="V266" s="5">
        <f t="shared" si="21"/>
        <v>2002225</v>
      </c>
    </row>
    <row r="267">
      <c r="A267" s="2">
        <v>40924.0</v>
      </c>
      <c r="B267" s="5">
        <v>1992.0</v>
      </c>
      <c r="C267" s="5">
        <f t="shared" si="25"/>
        <v>2683</v>
      </c>
      <c r="D267" s="5">
        <f t="shared" si="23"/>
        <v>3117</v>
      </c>
      <c r="E267" s="5">
        <f t="shared" si="24"/>
        <v>640</v>
      </c>
      <c r="L267" s="5">
        <f t="shared" si="13"/>
        <v>-691</v>
      </c>
      <c r="M267" s="19">
        <f t="shared" si="14"/>
        <v>0.3468875502</v>
      </c>
      <c r="N267" s="5">
        <f t="shared" si="15"/>
        <v>477481</v>
      </c>
      <c r="P267" s="5">
        <f t="shared" si="16"/>
        <v>-1125</v>
      </c>
      <c r="Q267" s="19">
        <f t="shared" si="17"/>
        <v>0.5647590361</v>
      </c>
      <c r="R267" s="5">
        <f t="shared" si="18"/>
        <v>1265625</v>
      </c>
      <c r="T267" s="5">
        <f t="shared" si="19"/>
        <v>1352</v>
      </c>
      <c r="U267" s="19">
        <f t="shared" si="20"/>
        <v>0.6787148594</v>
      </c>
      <c r="V267" s="5">
        <f t="shared" si="21"/>
        <v>1827904</v>
      </c>
    </row>
    <row r="268">
      <c r="A268" s="2">
        <v>40925.0</v>
      </c>
      <c r="B268" s="5">
        <v>3351.0</v>
      </c>
      <c r="C268" s="5">
        <f t="shared" si="25"/>
        <v>1916</v>
      </c>
      <c r="D268" s="5">
        <f t="shared" si="23"/>
        <v>3113</v>
      </c>
      <c r="E268" s="5">
        <f t="shared" si="24"/>
        <v>1722</v>
      </c>
      <c r="L268" s="5">
        <f t="shared" si="13"/>
        <v>1435</v>
      </c>
      <c r="M268" s="19">
        <f t="shared" si="14"/>
        <v>0.428230379</v>
      </c>
      <c r="N268" s="5">
        <f t="shared" si="15"/>
        <v>2059225</v>
      </c>
      <c r="P268" s="5">
        <f t="shared" si="16"/>
        <v>238</v>
      </c>
      <c r="Q268" s="19">
        <f t="shared" si="17"/>
        <v>0.07102357505</v>
      </c>
      <c r="R268" s="5">
        <f t="shared" si="18"/>
        <v>56644</v>
      </c>
      <c r="T268" s="5">
        <f t="shared" si="19"/>
        <v>1629</v>
      </c>
      <c r="U268" s="19">
        <f t="shared" si="20"/>
        <v>0.4861235452</v>
      </c>
      <c r="V268" s="5">
        <f t="shared" si="21"/>
        <v>2653641</v>
      </c>
    </row>
    <row r="269">
      <c r="A269" s="2">
        <v>40926.0</v>
      </c>
      <c r="B269" s="5">
        <v>4976.0</v>
      </c>
      <c r="C269" s="5">
        <f t="shared" si="25"/>
        <v>2185</v>
      </c>
      <c r="D269" s="5">
        <f t="shared" si="23"/>
        <v>3114</v>
      </c>
      <c r="E269" s="5">
        <f t="shared" si="24"/>
        <v>3025</v>
      </c>
      <c r="L269" s="5">
        <f t="shared" si="13"/>
        <v>2791</v>
      </c>
      <c r="M269" s="19">
        <f t="shared" si="14"/>
        <v>0.560892283</v>
      </c>
      <c r="N269" s="5">
        <f t="shared" si="15"/>
        <v>7789681</v>
      </c>
      <c r="P269" s="5">
        <f t="shared" si="16"/>
        <v>1862</v>
      </c>
      <c r="Q269" s="19">
        <f t="shared" si="17"/>
        <v>0.3741961415</v>
      </c>
      <c r="R269" s="5">
        <f t="shared" si="18"/>
        <v>3467044</v>
      </c>
      <c r="T269" s="5">
        <f t="shared" si="19"/>
        <v>1951</v>
      </c>
      <c r="U269" s="19">
        <f t="shared" si="20"/>
        <v>0.3920819936</v>
      </c>
      <c r="V269" s="5">
        <f t="shared" si="21"/>
        <v>3806401</v>
      </c>
    </row>
    <row r="270">
      <c r="A270" s="2">
        <v>40927.0</v>
      </c>
      <c r="B270" s="5">
        <v>0.0</v>
      </c>
      <c r="C270" s="5">
        <f t="shared" si="25"/>
        <v>2396</v>
      </c>
      <c r="D270" s="5">
        <f t="shared" si="23"/>
        <v>3121</v>
      </c>
      <c r="E270" s="5">
        <f t="shared" si="24"/>
        <v>4586</v>
      </c>
      <c r="L270" s="5">
        <f t="shared" si="13"/>
        <v>-2396</v>
      </c>
      <c r="M270" s="19">
        <f t="shared" si="14"/>
        <v>1</v>
      </c>
      <c r="N270" s="5">
        <f t="shared" si="15"/>
        <v>5740816</v>
      </c>
      <c r="P270" s="5">
        <f t="shared" si="16"/>
        <v>-3121</v>
      </c>
      <c r="Q270" s="19">
        <f t="shared" si="17"/>
        <v>1</v>
      </c>
      <c r="R270" s="5">
        <f t="shared" si="18"/>
        <v>9740641</v>
      </c>
      <c r="T270" s="5">
        <f t="shared" si="19"/>
        <v>-4586</v>
      </c>
      <c r="U270" s="19">
        <f t="shared" si="20"/>
        <v>1</v>
      </c>
      <c r="V270" s="5">
        <f t="shared" si="21"/>
        <v>21031396</v>
      </c>
    </row>
    <row r="271">
      <c r="A271" s="2">
        <v>40928.0</v>
      </c>
      <c r="B271" s="5">
        <v>850.0</v>
      </c>
      <c r="C271" s="5">
        <f t="shared" si="25"/>
        <v>2135</v>
      </c>
      <c r="D271" s="5">
        <f t="shared" si="23"/>
        <v>3109</v>
      </c>
      <c r="E271" s="5">
        <f t="shared" si="24"/>
        <v>917</v>
      </c>
      <c r="L271" s="5">
        <f t="shared" si="13"/>
        <v>-1285</v>
      </c>
      <c r="M271" s="19">
        <f t="shared" si="14"/>
        <v>1.511764706</v>
      </c>
      <c r="N271" s="5">
        <f t="shared" si="15"/>
        <v>1651225</v>
      </c>
      <c r="P271" s="5">
        <f t="shared" si="16"/>
        <v>-2259</v>
      </c>
      <c r="Q271" s="19">
        <f t="shared" si="17"/>
        <v>2.657647059</v>
      </c>
      <c r="R271" s="5">
        <f t="shared" si="18"/>
        <v>5103081</v>
      </c>
      <c r="T271" s="5">
        <f t="shared" si="19"/>
        <v>-67</v>
      </c>
      <c r="U271" s="19">
        <f t="shared" si="20"/>
        <v>0.07882352941</v>
      </c>
      <c r="V271" s="5">
        <f t="shared" si="21"/>
        <v>4489</v>
      </c>
    </row>
    <row r="272">
      <c r="A272" s="2">
        <v>40931.0</v>
      </c>
      <c r="B272" s="5">
        <v>1944.0</v>
      </c>
      <c r="C272" s="5">
        <f t="shared" si="25"/>
        <v>2234</v>
      </c>
      <c r="D272" s="5">
        <f t="shared" si="23"/>
        <v>3101</v>
      </c>
      <c r="E272" s="5">
        <f t="shared" si="24"/>
        <v>863</v>
      </c>
      <c r="L272" s="5">
        <f t="shared" si="13"/>
        <v>-290</v>
      </c>
      <c r="M272" s="19">
        <f t="shared" si="14"/>
        <v>0.1491769547</v>
      </c>
      <c r="N272" s="5">
        <f t="shared" si="15"/>
        <v>84100</v>
      </c>
      <c r="P272" s="5">
        <f t="shared" si="16"/>
        <v>-1157</v>
      </c>
      <c r="Q272" s="19">
        <f t="shared" si="17"/>
        <v>0.5951646091</v>
      </c>
      <c r="R272" s="5">
        <f t="shared" si="18"/>
        <v>1338649</v>
      </c>
      <c r="T272" s="5">
        <f t="shared" si="19"/>
        <v>1081</v>
      </c>
      <c r="U272" s="19">
        <f t="shared" si="20"/>
        <v>0.5560699588</v>
      </c>
      <c r="V272" s="5">
        <f t="shared" si="21"/>
        <v>1168561</v>
      </c>
    </row>
    <row r="273">
      <c r="A273" s="2">
        <v>40932.0</v>
      </c>
      <c r="B273" s="5">
        <v>6034.0</v>
      </c>
      <c r="C273" s="5">
        <f t="shared" si="25"/>
        <v>2224</v>
      </c>
      <c r="D273" s="5">
        <f t="shared" si="23"/>
        <v>3096</v>
      </c>
      <c r="E273" s="5">
        <f t="shared" si="24"/>
        <v>1728</v>
      </c>
      <c r="L273" s="5">
        <f t="shared" si="13"/>
        <v>3810</v>
      </c>
      <c r="M273" s="19">
        <f t="shared" si="14"/>
        <v>0.6314219423</v>
      </c>
      <c r="N273" s="5">
        <f t="shared" si="15"/>
        <v>14516100</v>
      </c>
      <c r="P273" s="5">
        <f t="shared" si="16"/>
        <v>2938</v>
      </c>
      <c r="Q273" s="19">
        <f t="shared" si="17"/>
        <v>0.486907524</v>
      </c>
      <c r="R273" s="5">
        <f t="shared" si="18"/>
        <v>8631844</v>
      </c>
      <c r="T273" s="5">
        <f t="shared" si="19"/>
        <v>4306</v>
      </c>
      <c r="U273" s="19">
        <f t="shared" si="20"/>
        <v>0.7136228041</v>
      </c>
      <c r="V273" s="5">
        <f t="shared" si="21"/>
        <v>18541636</v>
      </c>
    </row>
    <row r="274">
      <c r="A274" s="2">
        <v>40933.0</v>
      </c>
      <c r="B274" s="5">
        <v>2227.0</v>
      </c>
      <c r="C274" s="5">
        <f t="shared" si="25"/>
        <v>2761</v>
      </c>
      <c r="D274" s="5">
        <f t="shared" si="23"/>
        <v>3107</v>
      </c>
      <c r="E274" s="5">
        <f t="shared" si="24"/>
        <v>5173</v>
      </c>
      <c r="L274" s="5">
        <f t="shared" si="13"/>
        <v>-534</v>
      </c>
      <c r="M274" s="19">
        <f t="shared" si="14"/>
        <v>0.2397844634</v>
      </c>
      <c r="N274" s="5">
        <f t="shared" si="15"/>
        <v>285156</v>
      </c>
      <c r="P274" s="5">
        <f t="shared" si="16"/>
        <v>-880</v>
      </c>
      <c r="Q274" s="19">
        <f t="shared" si="17"/>
        <v>0.3951504266</v>
      </c>
      <c r="R274" s="5">
        <f t="shared" si="18"/>
        <v>774400</v>
      </c>
      <c r="T274" s="5">
        <f t="shared" si="19"/>
        <v>-2946</v>
      </c>
      <c r="U274" s="19">
        <f t="shared" si="20"/>
        <v>1.32285586</v>
      </c>
      <c r="V274" s="5">
        <f t="shared" si="21"/>
        <v>8678916</v>
      </c>
    </row>
    <row r="275">
      <c r="A275" s="2">
        <v>40934.0</v>
      </c>
      <c r="B275" s="5">
        <v>2254.0</v>
      </c>
      <c r="C275" s="5">
        <f t="shared" si="25"/>
        <v>2211</v>
      </c>
      <c r="D275" s="5">
        <f t="shared" si="23"/>
        <v>3104</v>
      </c>
      <c r="E275" s="5">
        <f t="shared" si="24"/>
        <v>2816</v>
      </c>
      <c r="L275" s="5">
        <f t="shared" si="13"/>
        <v>43</v>
      </c>
      <c r="M275" s="19">
        <f t="shared" si="14"/>
        <v>0.0190771961</v>
      </c>
      <c r="N275" s="5">
        <f t="shared" si="15"/>
        <v>1849</v>
      </c>
      <c r="P275" s="5">
        <f t="shared" si="16"/>
        <v>-850</v>
      </c>
      <c r="Q275" s="19">
        <f t="shared" si="17"/>
        <v>0.3771073647</v>
      </c>
      <c r="R275" s="5">
        <f t="shared" si="18"/>
        <v>722500</v>
      </c>
      <c r="T275" s="5">
        <f t="shared" si="19"/>
        <v>-562</v>
      </c>
      <c r="U275" s="19">
        <f t="shared" si="20"/>
        <v>0.2493345164</v>
      </c>
      <c r="V275" s="5">
        <f t="shared" si="21"/>
        <v>315844</v>
      </c>
    </row>
    <row r="276">
      <c r="A276" s="2">
        <v>40935.0</v>
      </c>
      <c r="B276" s="5">
        <v>64.0</v>
      </c>
      <c r="C276" s="5">
        <f t="shared" si="25"/>
        <v>2662</v>
      </c>
      <c r="D276" s="5">
        <f t="shared" si="23"/>
        <v>3101</v>
      </c>
      <c r="E276" s="5">
        <f t="shared" si="24"/>
        <v>2366</v>
      </c>
      <c r="L276" s="5">
        <f t="shared" si="13"/>
        <v>-2598</v>
      </c>
      <c r="M276" s="19">
        <f t="shared" si="14"/>
        <v>40.59375</v>
      </c>
      <c r="N276" s="5">
        <f t="shared" si="15"/>
        <v>6749604</v>
      </c>
      <c r="P276" s="5">
        <f t="shared" si="16"/>
        <v>-3037</v>
      </c>
      <c r="Q276" s="19">
        <f t="shared" si="17"/>
        <v>47.453125</v>
      </c>
      <c r="R276" s="5">
        <f t="shared" si="18"/>
        <v>9223369</v>
      </c>
      <c r="T276" s="5">
        <f t="shared" si="19"/>
        <v>-2302</v>
      </c>
      <c r="U276" s="19">
        <f t="shared" si="20"/>
        <v>35.96875</v>
      </c>
      <c r="V276" s="5">
        <f t="shared" si="21"/>
        <v>5299204</v>
      </c>
    </row>
    <row r="277">
      <c r="A277" s="2">
        <v>40938.0</v>
      </c>
      <c r="B277" s="5">
        <v>2057.0</v>
      </c>
      <c r="C277" s="5">
        <f t="shared" si="25"/>
        <v>2505</v>
      </c>
      <c r="D277" s="5">
        <f t="shared" si="23"/>
        <v>3090</v>
      </c>
      <c r="E277" s="5">
        <f t="shared" si="24"/>
        <v>524</v>
      </c>
      <c r="L277" s="5">
        <f t="shared" si="13"/>
        <v>-448</v>
      </c>
      <c r="M277" s="19">
        <f t="shared" si="14"/>
        <v>0.2177929023</v>
      </c>
      <c r="N277" s="5">
        <f t="shared" si="15"/>
        <v>200704</v>
      </c>
      <c r="P277" s="5">
        <f t="shared" si="16"/>
        <v>-1033</v>
      </c>
      <c r="Q277" s="19">
        <f t="shared" si="17"/>
        <v>0.5021876519</v>
      </c>
      <c r="R277" s="5">
        <f t="shared" si="18"/>
        <v>1067089</v>
      </c>
      <c r="T277" s="5">
        <f t="shared" si="19"/>
        <v>1533</v>
      </c>
      <c r="U277" s="19">
        <f t="shared" si="20"/>
        <v>0.7452600875</v>
      </c>
      <c r="V277" s="5">
        <f t="shared" si="21"/>
        <v>2350089</v>
      </c>
    </row>
    <row r="278">
      <c r="A278" s="2">
        <v>40939.0</v>
      </c>
      <c r="B278" s="5">
        <v>4465.0</v>
      </c>
      <c r="C278" s="5">
        <f t="shared" si="25"/>
        <v>2527</v>
      </c>
      <c r="D278" s="5">
        <f t="shared" si="23"/>
        <v>3086</v>
      </c>
      <c r="E278" s="5">
        <f t="shared" si="24"/>
        <v>1750</v>
      </c>
      <c r="L278" s="5">
        <f t="shared" si="13"/>
        <v>1938</v>
      </c>
      <c r="M278" s="19">
        <f t="shared" si="14"/>
        <v>0.4340425532</v>
      </c>
      <c r="N278" s="5">
        <f t="shared" si="15"/>
        <v>3755844</v>
      </c>
      <c r="P278" s="5">
        <f t="shared" si="16"/>
        <v>1379</v>
      </c>
      <c r="Q278" s="19">
        <f t="shared" si="17"/>
        <v>0.3088465845</v>
      </c>
      <c r="R278" s="5">
        <f t="shared" si="18"/>
        <v>1901641</v>
      </c>
      <c r="T278" s="5">
        <f t="shared" si="19"/>
        <v>2715</v>
      </c>
      <c r="U278" s="19">
        <f t="shared" si="20"/>
        <v>0.60806271</v>
      </c>
      <c r="V278" s="5">
        <f t="shared" si="21"/>
        <v>7371225</v>
      </c>
    </row>
    <row r="279">
      <c r="A279" s="2">
        <v>40940.0</v>
      </c>
      <c r="B279" s="5">
        <v>3714.0</v>
      </c>
      <c r="C279" s="5">
        <f t="shared" si="25"/>
        <v>2213</v>
      </c>
      <c r="D279" s="5">
        <f t="shared" si="23"/>
        <v>3091</v>
      </c>
      <c r="E279" s="5">
        <f t="shared" si="24"/>
        <v>3922</v>
      </c>
      <c r="L279" s="5">
        <f t="shared" si="13"/>
        <v>1501</v>
      </c>
      <c r="M279" s="19">
        <f t="shared" si="14"/>
        <v>0.4041464728</v>
      </c>
      <c r="N279" s="5">
        <f t="shared" si="15"/>
        <v>2253001</v>
      </c>
      <c r="P279" s="5">
        <f t="shared" si="16"/>
        <v>623</v>
      </c>
      <c r="Q279" s="19">
        <f t="shared" si="17"/>
        <v>0.1677436726</v>
      </c>
      <c r="R279" s="5">
        <f t="shared" si="18"/>
        <v>388129</v>
      </c>
      <c r="T279" s="5">
        <f t="shared" si="19"/>
        <v>-208</v>
      </c>
      <c r="U279" s="19">
        <f t="shared" si="20"/>
        <v>0.05600430802</v>
      </c>
      <c r="V279" s="5">
        <f t="shared" si="21"/>
        <v>43264</v>
      </c>
    </row>
    <row r="280">
      <c r="A280" s="2">
        <v>40941.0</v>
      </c>
      <c r="B280" s="5">
        <v>789.0</v>
      </c>
      <c r="C280" s="5">
        <f t="shared" si="25"/>
        <v>2511</v>
      </c>
      <c r="D280" s="5">
        <f t="shared" si="23"/>
        <v>3093</v>
      </c>
      <c r="E280" s="5">
        <f t="shared" si="24"/>
        <v>3756</v>
      </c>
      <c r="L280" s="5">
        <f t="shared" si="13"/>
        <v>-1722</v>
      </c>
      <c r="M280" s="19">
        <f t="shared" si="14"/>
        <v>2.182509506</v>
      </c>
      <c r="N280" s="5">
        <f t="shared" si="15"/>
        <v>2965284</v>
      </c>
      <c r="P280" s="5">
        <f t="shared" si="16"/>
        <v>-2304</v>
      </c>
      <c r="Q280" s="19">
        <f t="shared" si="17"/>
        <v>2.920152091</v>
      </c>
      <c r="R280" s="5">
        <f t="shared" si="18"/>
        <v>5308416</v>
      </c>
      <c r="T280" s="5">
        <f t="shared" si="19"/>
        <v>-2967</v>
      </c>
      <c r="U280" s="19">
        <f t="shared" si="20"/>
        <v>3.760456274</v>
      </c>
      <c r="V280" s="5">
        <f t="shared" si="21"/>
        <v>8803089</v>
      </c>
    </row>
    <row r="281">
      <c r="A281" s="2">
        <v>40942.0</v>
      </c>
      <c r="B281" s="5">
        <v>226.0</v>
      </c>
      <c r="C281" s="5">
        <f t="shared" si="25"/>
        <v>2218</v>
      </c>
      <c r="D281" s="5">
        <f t="shared" si="23"/>
        <v>3085</v>
      </c>
      <c r="E281" s="5">
        <f t="shared" si="24"/>
        <v>1382</v>
      </c>
      <c r="L281" s="5">
        <f t="shared" si="13"/>
        <v>-1992</v>
      </c>
      <c r="M281" s="19">
        <f t="shared" si="14"/>
        <v>8.814159292</v>
      </c>
      <c r="N281" s="5">
        <f t="shared" si="15"/>
        <v>3968064</v>
      </c>
      <c r="P281" s="5">
        <f t="shared" si="16"/>
        <v>-2859</v>
      </c>
      <c r="Q281" s="19">
        <f t="shared" si="17"/>
        <v>12.65044248</v>
      </c>
      <c r="R281" s="5">
        <f t="shared" si="18"/>
        <v>8173881</v>
      </c>
      <c r="T281" s="5">
        <f t="shared" si="19"/>
        <v>-1156</v>
      </c>
      <c r="U281" s="19">
        <f t="shared" si="20"/>
        <v>5.115044248</v>
      </c>
      <c r="V281" s="5">
        <f t="shared" si="21"/>
        <v>1336336</v>
      </c>
    </row>
    <row r="282">
      <c r="A282" s="2">
        <v>40945.0</v>
      </c>
      <c r="B282" s="5">
        <v>2488.0</v>
      </c>
      <c r="C282" s="5">
        <f t="shared" si="25"/>
        <v>2250</v>
      </c>
      <c r="D282" s="5">
        <f t="shared" si="23"/>
        <v>3075</v>
      </c>
      <c r="E282" s="5">
        <f t="shared" si="24"/>
        <v>457</v>
      </c>
      <c r="L282" s="5">
        <f t="shared" si="13"/>
        <v>238</v>
      </c>
      <c r="M282" s="19">
        <f t="shared" si="14"/>
        <v>0.09565916399</v>
      </c>
      <c r="N282" s="5">
        <f t="shared" si="15"/>
        <v>56644</v>
      </c>
      <c r="P282" s="5">
        <f t="shared" si="16"/>
        <v>-587</v>
      </c>
      <c r="Q282" s="19">
        <f t="shared" si="17"/>
        <v>0.2359324759</v>
      </c>
      <c r="R282" s="5">
        <f t="shared" si="18"/>
        <v>344569</v>
      </c>
      <c r="T282" s="5">
        <f t="shared" si="19"/>
        <v>2031</v>
      </c>
      <c r="U282" s="19">
        <f t="shared" si="20"/>
        <v>0.816318328</v>
      </c>
      <c r="V282" s="5">
        <f t="shared" si="21"/>
        <v>4124961</v>
      </c>
    </row>
    <row r="283">
      <c r="A283" s="2">
        <v>40946.0</v>
      </c>
      <c r="B283" s="5">
        <v>5010.0</v>
      </c>
      <c r="C283" s="5">
        <f t="shared" si="25"/>
        <v>2336</v>
      </c>
      <c r="D283" s="5">
        <f t="shared" si="23"/>
        <v>3072</v>
      </c>
      <c r="E283" s="5">
        <f t="shared" si="24"/>
        <v>2082</v>
      </c>
      <c r="L283" s="5">
        <f t="shared" si="13"/>
        <v>2674</v>
      </c>
      <c r="M283" s="19">
        <f t="shared" si="14"/>
        <v>0.5337325349</v>
      </c>
      <c r="N283" s="5">
        <f t="shared" si="15"/>
        <v>7150276</v>
      </c>
      <c r="P283" s="5">
        <f t="shared" si="16"/>
        <v>1938</v>
      </c>
      <c r="Q283" s="19">
        <f t="shared" si="17"/>
        <v>0.3868263473</v>
      </c>
      <c r="R283" s="5">
        <f t="shared" si="18"/>
        <v>3755844</v>
      </c>
      <c r="T283" s="5">
        <f t="shared" si="19"/>
        <v>2928</v>
      </c>
      <c r="U283" s="19">
        <f t="shared" si="20"/>
        <v>0.5844311377</v>
      </c>
      <c r="V283" s="5">
        <f t="shared" si="21"/>
        <v>8573184</v>
      </c>
    </row>
    <row r="284">
      <c r="A284" s="2">
        <v>40947.0</v>
      </c>
      <c r="B284" s="5">
        <v>3292.0</v>
      </c>
      <c r="C284" s="5">
        <f t="shared" si="25"/>
        <v>2445</v>
      </c>
      <c r="D284" s="5">
        <f t="shared" si="23"/>
        <v>3079</v>
      </c>
      <c r="E284" s="5">
        <f t="shared" si="24"/>
        <v>4424</v>
      </c>
      <c r="L284" s="5">
        <f t="shared" si="13"/>
        <v>847</v>
      </c>
      <c r="M284" s="19">
        <f t="shared" si="14"/>
        <v>0.257290401</v>
      </c>
      <c r="N284" s="5">
        <f t="shared" si="15"/>
        <v>717409</v>
      </c>
      <c r="P284" s="5">
        <f t="shared" si="16"/>
        <v>213</v>
      </c>
      <c r="Q284" s="19">
        <f t="shared" si="17"/>
        <v>0.06470230863</v>
      </c>
      <c r="R284" s="5">
        <f t="shared" si="18"/>
        <v>45369</v>
      </c>
      <c r="T284" s="5">
        <f t="shared" si="19"/>
        <v>-1132</v>
      </c>
      <c r="U284" s="19">
        <f t="shared" si="20"/>
        <v>0.3438639125</v>
      </c>
      <c r="V284" s="5">
        <f t="shared" si="21"/>
        <v>1281424</v>
      </c>
    </row>
    <row r="285">
      <c r="A285" s="2">
        <v>40948.0</v>
      </c>
      <c r="B285" s="5">
        <v>992.0</v>
      </c>
      <c r="C285" s="5">
        <f t="shared" si="25"/>
        <v>2361</v>
      </c>
      <c r="D285" s="5">
        <f t="shared" si="23"/>
        <v>3080</v>
      </c>
      <c r="E285" s="5">
        <f t="shared" si="24"/>
        <v>3518</v>
      </c>
      <c r="L285" s="5">
        <f t="shared" si="13"/>
        <v>-1369</v>
      </c>
      <c r="M285" s="19">
        <f t="shared" si="14"/>
        <v>1.380040323</v>
      </c>
      <c r="N285" s="5">
        <f t="shared" si="15"/>
        <v>1874161</v>
      </c>
      <c r="P285" s="5">
        <f t="shared" si="16"/>
        <v>-2088</v>
      </c>
      <c r="Q285" s="19">
        <f t="shared" si="17"/>
        <v>2.10483871</v>
      </c>
      <c r="R285" s="5">
        <f t="shared" si="18"/>
        <v>4359744</v>
      </c>
      <c r="T285" s="5">
        <f t="shared" si="19"/>
        <v>-2526</v>
      </c>
      <c r="U285" s="19">
        <f t="shared" si="20"/>
        <v>2.546370968</v>
      </c>
      <c r="V285" s="5">
        <f t="shared" si="21"/>
        <v>6380676</v>
      </c>
    </row>
    <row r="286">
      <c r="A286" s="2">
        <v>40949.0</v>
      </c>
      <c r="B286" s="5">
        <v>255.0</v>
      </c>
      <c r="C286" s="5">
        <f t="shared" si="25"/>
        <v>2402</v>
      </c>
      <c r="D286" s="5">
        <f t="shared" si="23"/>
        <v>3073</v>
      </c>
      <c r="E286" s="5">
        <f t="shared" si="24"/>
        <v>1497</v>
      </c>
      <c r="L286" s="5">
        <f t="shared" si="13"/>
        <v>-2147</v>
      </c>
      <c r="M286" s="19">
        <f t="shared" si="14"/>
        <v>8.419607843</v>
      </c>
      <c r="N286" s="5">
        <f t="shared" si="15"/>
        <v>4609609</v>
      </c>
      <c r="P286" s="5">
        <f t="shared" si="16"/>
        <v>-2818</v>
      </c>
      <c r="Q286" s="19">
        <f t="shared" si="17"/>
        <v>11.05098039</v>
      </c>
      <c r="R286" s="5">
        <f t="shared" si="18"/>
        <v>7941124</v>
      </c>
      <c r="T286" s="5">
        <f t="shared" si="19"/>
        <v>-1242</v>
      </c>
      <c r="U286" s="19">
        <f t="shared" si="20"/>
        <v>4.870588235</v>
      </c>
      <c r="V286" s="5">
        <f t="shared" si="21"/>
        <v>1542564</v>
      </c>
    </row>
    <row r="287">
      <c r="A287" s="2">
        <v>40952.0</v>
      </c>
      <c r="B287" s="5">
        <v>4580.0</v>
      </c>
      <c r="C287" s="5">
        <f t="shared" si="25"/>
        <v>2407</v>
      </c>
      <c r="D287" s="5">
        <f t="shared" si="23"/>
        <v>3063</v>
      </c>
      <c r="E287" s="5">
        <f t="shared" si="24"/>
        <v>503</v>
      </c>
      <c r="L287" s="5">
        <f t="shared" si="13"/>
        <v>2173</v>
      </c>
      <c r="M287" s="19">
        <f t="shared" si="14"/>
        <v>0.4744541485</v>
      </c>
      <c r="N287" s="5">
        <f t="shared" si="15"/>
        <v>4721929</v>
      </c>
      <c r="P287" s="5">
        <f t="shared" si="16"/>
        <v>1517</v>
      </c>
      <c r="Q287" s="19">
        <f t="shared" si="17"/>
        <v>0.3312227074</v>
      </c>
      <c r="R287" s="5">
        <f t="shared" si="18"/>
        <v>2301289</v>
      </c>
      <c r="T287" s="5">
        <f t="shared" si="19"/>
        <v>4077</v>
      </c>
      <c r="U287" s="19">
        <f t="shared" si="20"/>
        <v>0.8901746725</v>
      </c>
      <c r="V287" s="5">
        <f t="shared" si="21"/>
        <v>16621929</v>
      </c>
    </row>
    <row r="288">
      <c r="A288" s="2">
        <v>40953.0</v>
      </c>
      <c r="B288" s="5">
        <v>3958.0</v>
      </c>
      <c r="C288" s="5">
        <f t="shared" si="25"/>
        <v>2826</v>
      </c>
      <c r="D288" s="5">
        <f t="shared" si="23"/>
        <v>3068</v>
      </c>
      <c r="E288" s="5">
        <f t="shared" si="24"/>
        <v>3765</v>
      </c>
      <c r="L288" s="5">
        <f t="shared" si="13"/>
        <v>1132</v>
      </c>
      <c r="M288" s="19">
        <f t="shared" si="14"/>
        <v>0.2860030318</v>
      </c>
      <c r="N288" s="5">
        <f t="shared" si="15"/>
        <v>1281424</v>
      </c>
      <c r="P288" s="5">
        <f t="shared" si="16"/>
        <v>890</v>
      </c>
      <c r="Q288" s="19">
        <f t="shared" si="17"/>
        <v>0.2248610409</v>
      </c>
      <c r="R288" s="5">
        <f t="shared" si="18"/>
        <v>792100</v>
      </c>
      <c r="T288" s="5">
        <f t="shared" si="19"/>
        <v>193</v>
      </c>
      <c r="U288" s="19">
        <f t="shared" si="20"/>
        <v>0.04876200101</v>
      </c>
      <c r="V288" s="5">
        <f t="shared" si="21"/>
        <v>37249</v>
      </c>
    </row>
    <row r="289">
      <c r="A289" s="2">
        <v>40954.0</v>
      </c>
      <c r="B289" s="5">
        <v>3469.0</v>
      </c>
      <c r="C289" s="5">
        <f t="shared" si="25"/>
        <v>2615</v>
      </c>
      <c r="D289" s="5">
        <f t="shared" si="23"/>
        <v>3071</v>
      </c>
      <c r="E289" s="5">
        <f t="shared" si="24"/>
        <v>3919</v>
      </c>
      <c r="L289" s="5">
        <f t="shared" si="13"/>
        <v>854</v>
      </c>
      <c r="M289" s="19">
        <f t="shared" si="14"/>
        <v>0.2461804555</v>
      </c>
      <c r="N289" s="5">
        <f t="shared" si="15"/>
        <v>729316</v>
      </c>
      <c r="P289" s="5">
        <f t="shared" si="16"/>
        <v>398</v>
      </c>
      <c r="Q289" s="19">
        <f t="shared" si="17"/>
        <v>0.1147304699</v>
      </c>
      <c r="R289" s="5">
        <f t="shared" si="18"/>
        <v>158404</v>
      </c>
      <c r="T289" s="5">
        <f t="shared" si="19"/>
        <v>-450</v>
      </c>
      <c r="U289" s="19">
        <f t="shared" si="20"/>
        <v>0.1297203805</v>
      </c>
      <c r="V289" s="5">
        <f t="shared" si="21"/>
        <v>202500</v>
      </c>
    </row>
    <row r="290">
      <c r="A290" s="2">
        <v>40955.0</v>
      </c>
      <c r="B290" s="5">
        <v>2595.0</v>
      </c>
      <c r="C290" s="5">
        <f t="shared" si="25"/>
        <v>2651</v>
      </c>
      <c r="D290" s="5">
        <f t="shared" si="23"/>
        <v>3073</v>
      </c>
      <c r="E290" s="5">
        <f t="shared" si="24"/>
        <v>3559</v>
      </c>
      <c r="L290" s="5">
        <f t="shared" si="13"/>
        <v>-56</v>
      </c>
      <c r="M290" s="19">
        <f t="shared" si="14"/>
        <v>0.02157996146</v>
      </c>
      <c r="N290" s="5">
        <f t="shared" si="15"/>
        <v>3136</v>
      </c>
      <c r="P290" s="5">
        <f t="shared" si="16"/>
        <v>-478</v>
      </c>
      <c r="Q290" s="19">
        <f t="shared" si="17"/>
        <v>0.1842003854</v>
      </c>
      <c r="R290" s="5">
        <f t="shared" si="18"/>
        <v>228484</v>
      </c>
      <c r="T290" s="5">
        <f t="shared" si="19"/>
        <v>-964</v>
      </c>
      <c r="U290" s="19">
        <f t="shared" si="20"/>
        <v>0.3714836224</v>
      </c>
      <c r="V290" s="5">
        <f t="shared" si="21"/>
        <v>929296</v>
      </c>
    </row>
    <row r="291">
      <c r="A291" s="2">
        <v>40956.0</v>
      </c>
      <c r="B291" s="5">
        <v>130.0</v>
      </c>
      <c r="C291" s="5">
        <f t="shared" si="25"/>
        <v>2971</v>
      </c>
      <c r="D291" s="5">
        <f t="shared" si="23"/>
        <v>3071</v>
      </c>
      <c r="E291" s="5">
        <f t="shared" si="24"/>
        <v>2788</v>
      </c>
      <c r="L291" s="5">
        <f t="shared" si="13"/>
        <v>-2841</v>
      </c>
      <c r="M291" s="19">
        <f t="shared" si="14"/>
        <v>21.85384615</v>
      </c>
      <c r="N291" s="5">
        <f t="shared" si="15"/>
        <v>8071281</v>
      </c>
      <c r="P291" s="5">
        <f t="shared" si="16"/>
        <v>-2941</v>
      </c>
      <c r="Q291" s="19">
        <f t="shared" si="17"/>
        <v>22.62307692</v>
      </c>
      <c r="R291" s="5">
        <f t="shared" si="18"/>
        <v>8649481</v>
      </c>
      <c r="T291" s="5">
        <f t="shared" si="19"/>
        <v>-2658</v>
      </c>
      <c r="U291" s="19">
        <f t="shared" si="20"/>
        <v>20.44615385</v>
      </c>
      <c r="V291" s="5">
        <f t="shared" si="21"/>
        <v>7064964</v>
      </c>
    </row>
    <row r="292">
      <c r="A292" s="2">
        <v>40959.0</v>
      </c>
      <c r="B292" s="5">
        <v>0.0</v>
      </c>
      <c r="C292" s="5">
        <f t="shared" si="25"/>
        <v>2946</v>
      </c>
      <c r="D292" s="5">
        <f t="shared" si="23"/>
        <v>3061</v>
      </c>
      <c r="E292" s="5">
        <f t="shared" si="24"/>
        <v>662</v>
      </c>
      <c r="L292" s="5">
        <f t="shared" si="13"/>
        <v>-2946</v>
      </c>
      <c r="M292" s="19">
        <f t="shared" si="14"/>
        <v>1</v>
      </c>
      <c r="N292" s="5">
        <f t="shared" si="15"/>
        <v>8678916</v>
      </c>
      <c r="P292" s="5">
        <f t="shared" si="16"/>
        <v>-3061</v>
      </c>
      <c r="Q292" s="19">
        <f t="shared" si="17"/>
        <v>1</v>
      </c>
      <c r="R292" s="5">
        <f t="shared" si="18"/>
        <v>9369721</v>
      </c>
      <c r="T292" s="5">
        <f t="shared" si="19"/>
        <v>-662</v>
      </c>
      <c r="U292" s="19">
        <f t="shared" si="20"/>
        <v>1</v>
      </c>
      <c r="V292" s="5">
        <f t="shared" si="21"/>
        <v>438244</v>
      </c>
    </row>
    <row r="293">
      <c r="A293" s="2">
        <v>40960.0</v>
      </c>
      <c r="B293" s="5">
        <v>6898.0</v>
      </c>
      <c r="C293" s="5">
        <f t="shared" si="25"/>
        <v>2030</v>
      </c>
      <c r="D293" s="5">
        <f t="shared" si="23"/>
        <v>3050</v>
      </c>
      <c r="E293" s="5">
        <f t="shared" si="24"/>
        <v>132</v>
      </c>
      <c r="L293" s="5">
        <f t="shared" si="13"/>
        <v>4868</v>
      </c>
      <c r="M293" s="19">
        <f t="shared" si="14"/>
        <v>0.7057118005</v>
      </c>
      <c r="N293" s="5">
        <f t="shared" si="15"/>
        <v>23697424</v>
      </c>
      <c r="P293" s="5">
        <f t="shared" si="16"/>
        <v>3848</v>
      </c>
      <c r="Q293" s="19">
        <f t="shared" si="17"/>
        <v>0.557842853</v>
      </c>
      <c r="R293" s="5">
        <f t="shared" si="18"/>
        <v>14807104</v>
      </c>
      <c r="T293" s="5">
        <f t="shared" si="19"/>
        <v>6766</v>
      </c>
      <c r="U293" s="19">
        <f t="shared" si="20"/>
        <v>0.9808640186</v>
      </c>
      <c r="V293" s="5">
        <f t="shared" si="21"/>
        <v>45778756</v>
      </c>
    </row>
    <row r="294">
      <c r="A294" s="2">
        <v>40961.0</v>
      </c>
      <c r="B294" s="5">
        <v>2958.0</v>
      </c>
      <c r="C294" s="5">
        <f t="shared" si="25"/>
        <v>2618</v>
      </c>
      <c r="D294" s="5">
        <f t="shared" si="23"/>
        <v>3063</v>
      </c>
      <c r="E294" s="5">
        <f t="shared" si="24"/>
        <v>5545</v>
      </c>
      <c r="L294" s="5">
        <f t="shared" si="13"/>
        <v>340</v>
      </c>
      <c r="M294" s="19">
        <f t="shared" si="14"/>
        <v>0.1149425287</v>
      </c>
      <c r="N294" s="5">
        <f t="shared" si="15"/>
        <v>115600</v>
      </c>
      <c r="P294" s="5">
        <f t="shared" si="16"/>
        <v>-105</v>
      </c>
      <c r="Q294" s="19">
        <f t="shared" si="17"/>
        <v>0.0354969574</v>
      </c>
      <c r="R294" s="5">
        <f t="shared" si="18"/>
        <v>11025</v>
      </c>
      <c r="T294" s="5">
        <f t="shared" si="19"/>
        <v>-2587</v>
      </c>
      <c r="U294" s="19">
        <f t="shared" si="20"/>
        <v>0.8745774172</v>
      </c>
      <c r="V294" s="5">
        <f t="shared" si="21"/>
        <v>6692569</v>
      </c>
    </row>
    <row r="295">
      <c r="A295" s="2">
        <v>40962.0</v>
      </c>
      <c r="B295" s="5">
        <v>1144.0</v>
      </c>
      <c r="C295" s="5">
        <f t="shared" si="25"/>
        <v>2516</v>
      </c>
      <c r="D295" s="5">
        <f t="shared" si="23"/>
        <v>3063</v>
      </c>
      <c r="E295" s="5">
        <f t="shared" si="24"/>
        <v>3475</v>
      </c>
      <c r="L295" s="5">
        <f t="shared" si="13"/>
        <v>-1372</v>
      </c>
      <c r="M295" s="19">
        <f t="shared" si="14"/>
        <v>1.199300699</v>
      </c>
      <c r="N295" s="5">
        <f t="shared" si="15"/>
        <v>1882384</v>
      </c>
      <c r="P295" s="5">
        <f t="shared" si="16"/>
        <v>-1919</v>
      </c>
      <c r="Q295" s="19">
        <f t="shared" si="17"/>
        <v>1.677447552</v>
      </c>
      <c r="R295" s="5">
        <f t="shared" si="18"/>
        <v>3682561</v>
      </c>
      <c r="T295" s="5">
        <f t="shared" si="19"/>
        <v>-2331</v>
      </c>
      <c r="U295" s="19">
        <f t="shared" si="20"/>
        <v>2.037587413</v>
      </c>
      <c r="V295" s="5">
        <f t="shared" si="21"/>
        <v>5433561</v>
      </c>
    </row>
    <row r="296">
      <c r="A296" s="2">
        <v>40963.0</v>
      </c>
      <c r="B296" s="5">
        <v>50.0</v>
      </c>
      <c r="C296" s="5">
        <f t="shared" si="25"/>
        <v>2226</v>
      </c>
      <c r="D296" s="5">
        <f t="shared" si="23"/>
        <v>3056</v>
      </c>
      <c r="E296" s="5">
        <f t="shared" si="24"/>
        <v>1610</v>
      </c>
      <c r="L296" s="5">
        <f t="shared" si="13"/>
        <v>-2176</v>
      </c>
      <c r="M296" s="19">
        <f t="shared" si="14"/>
        <v>43.52</v>
      </c>
      <c r="N296" s="5">
        <f t="shared" si="15"/>
        <v>4734976</v>
      </c>
      <c r="P296" s="5">
        <f t="shared" si="16"/>
        <v>-3006</v>
      </c>
      <c r="Q296" s="19">
        <f t="shared" si="17"/>
        <v>60.12</v>
      </c>
      <c r="R296" s="5">
        <f t="shared" si="18"/>
        <v>9036036</v>
      </c>
      <c r="T296" s="5">
        <f t="shared" si="19"/>
        <v>-1560</v>
      </c>
      <c r="U296" s="19">
        <f t="shared" si="20"/>
        <v>31.2</v>
      </c>
      <c r="V296" s="5">
        <f t="shared" si="21"/>
        <v>2433600</v>
      </c>
    </row>
    <row r="297">
      <c r="A297" s="2">
        <v>40966.0</v>
      </c>
      <c r="B297" s="5">
        <v>2220.0</v>
      </c>
      <c r="C297" s="5">
        <f t="shared" si="25"/>
        <v>2210</v>
      </c>
      <c r="D297" s="5">
        <f t="shared" si="23"/>
        <v>3046</v>
      </c>
      <c r="E297" s="5">
        <f t="shared" si="24"/>
        <v>362</v>
      </c>
      <c r="L297" s="5">
        <f t="shared" si="13"/>
        <v>10</v>
      </c>
      <c r="M297" s="19">
        <f t="shared" si="14"/>
        <v>0.004504504505</v>
      </c>
      <c r="N297" s="5">
        <f t="shared" si="15"/>
        <v>100</v>
      </c>
      <c r="P297" s="5">
        <f t="shared" si="16"/>
        <v>-826</v>
      </c>
      <c r="Q297" s="19">
        <f t="shared" si="17"/>
        <v>0.3720720721</v>
      </c>
      <c r="R297" s="5">
        <f t="shared" si="18"/>
        <v>682276</v>
      </c>
      <c r="T297" s="5">
        <f t="shared" si="19"/>
        <v>1858</v>
      </c>
      <c r="U297" s="19">
        <f t="shared" si="20"/>
        <v>0.8369369369</v>
      </c>
      <c r="V297" s="5">
        <f t="shared" si="21"/>
        <v>3452164</v>
      </c>
    </row>
    <row r="298">
      <c r="A298" s="2">
        <v>40967.0</v>
      </c>
      <c r="B298" s="5">
        <v>4692.0</v>
      </c>
      <c r="C298" s="5">
        <f t="shared" si="25"/>
        <v>2654</v>
      </c>
      <c r="D298" s="5">
        <f t="shared" si="23"/>
        <v>3043</v>
      </c>
      <c r="E298" s="5">
        <f t="shared" si="24"/>
        <v>1848</v>
      </c>
      <c r="L298" s="5">
        <f t="shared" si="13"/>
        <v>2038</v>
      </c>
      <c r="M298" s="19">
        <f t="shared" si="14"/>
        <v>0.4343563512</v>
      </c>
      <c r="N298" s="5">
        <f t="shared" si="15"/>
        <v>4153444</v>
      </c>
      <c r="P298" s="5">
        <f t="shared" si="16"/>
        <v>1649</v>
      </c>
      <c r="Q298" s="19">
        <f t="shared" si="17"/>
        <v>0.3514492754</v>
      </c>
      <c r="R298" s="5">
        <f t="shared" si="18"/>
        <v>2719201</v>
      </c>
      <c r="T298" s="5">
        <f t="shared" si="19"/>
        <v>2844</v>
      </c>
      <c r="U298" s="19">
        <f t="shared" si="20"/>
        <v>0.6061381074</v>
      </c>
      <c r="V298" s="5">
        <f t="shared" si="21"/>
        <v>8088336</v>
      </c>
    </row>
    <row r="299">
      <c r="A299" s="2">
        <v>40968.0</v>
      </c>
      <c r="B299" s="5">
        <v>3782.0</v>
      </c>
      <c r="C299" s="5">
        <f t="shared" si="25"/>
        <v>2213</v>
      </c>
      <c r="D299" s="5">
        <f t="shared" si="23"/>
        <v>3049</v>
      </c>
      <c r="E299" s="5">
        <f t="shared" si="24"/>
        <v>4123</v>
      </c>
      <c r="L299" s="5">
        <f t="shared" si="13"/>
        <v>1569</v>
      </c>
      <c r="M299" s="19">
        <f t="shared" si="14"/>
        <v>0.4148598625</v>
      </c>
      <c r="N299" s="5">
        <f t="shared" si="15"/>
        <v>2461761</v>
      </c>
      <c r="P299" s="5">
        <f t="shared" si="16"/>
        <v>733</v>
      </c>
      <c r="Q299" s="19">
        <f t="shared" si="17"/>
        <v>0.1938127975</v>
      </c>
      <c r="R299" s="5">
        <f t="shared" si="18"/>
        <v>537289</v>
      </c>
      <c r="T299" s="5">
        <f t="shared" si="19"/>
        <v>-341</v>
      </c>
      <c r="U299" s="19">
        <f t="shared" si="20"/>
        <v>0.09016393443</v>
      </c>
      <c r="V299" s="5">
        <f t="shared" si="21"/>
        <v>116281</v>
      </c>
    </row>
    <row r="300">
      <c r="A300" s="2">
        <v>40969.0</v>
      </c>
      <c r="B300" s="5">
        <v>1360.0</v>
      </c>
      <c r="C300" s="5">
        <f t="shared" si="25"/>
        <v>2378</v>
      </c>
      <c r="D300" s="5">
        <f t="shared" si="23"/>
        <v>3051</v>
      </c>
      <c r="E300" s="5">
        <f t="shared" si="24"/>
        <v>3850</v>
      </c>
      <c r="L300" s="5">
        <f t="shared" si="13"/>
        <v>-1018</v>
      </c>
      <c r="M300" s="19">
        <f t="shared" si="14"/>
        <v>0.7485294118</v>
      </c>
      <c r="N300" s="5">
        <f t="shared" si="15"/>
        <v>1036324</v>
      </c>
      <c r="P300" s="5">
        <f t="shared" si="16"/>
        <v>-1691</v>
      </c>
      <c r="Q300" s="19">
        <f t="shared" si="17"/>
        <v>1.243382353</v>
      </c>
      <c r="R300" s="5">
        <f t="shared" si="18"/>
        <v>2859481</v>
      </c>
      <c r="T300" s="5">
        <f t="shared" si="19"/>
        <v>-2490</v>
      </c>
      <c r="U300" s="19">
        <f t="shared" si="20"/>
        <v>1.830882353</v>
      </c>
      <c r="V300" s="5">
        <f t="shared" si="21"/>
        <v>6200100</v>
      </c>
    </row>
    <row r="301">
      <c r="A301" s="2">
        <v>40970.0</v>
      </c>
      <c r="B301" s="5">
        <v>250.0</v>
      </c>
      <c r="C301" s="5">
        <f t="shared" si="25"/>
        <v>2421</v>
      </c>
      <c r="D301" s="5">
        <f t="shared" si="23"/>
        <v>3046</v>
      </c>
      <c r="E301" s="5">
        <f t="shared" si="24"/>
        <v>1858</v>
      </c>
      <c r="L301" s="5">
        <f t="shared" si="13"/>
        <v>-2171</v>
      </c>
      <c r="M301" s="19">
        <f t="shared" si="14"/>
        <v>8.684</v>
      </c>
      <c r="N301" s="5">
        <f t="shared" si="15"/>
        <v>4713241</v>
      </c>
      <c r="P301" s="5">
        <f t="shared" si="16"/>
        <v>-2796</v>
      </c>
      <c r="Q301" s="19">
        <f t="shared" si="17"/>
        <v>11.184</v>
      </c>
      <c r="R301" s="5">
        <f t="shared" si="18"/>
        <v>7817616</v>
      </c>
      <c r="T301" s="5">
        <f t="shared" si="19"/>
        <v>-1608</v>
      </c>
      <c r="U301" s="19">
        <f t="shared" si="20"/>
        <v>6.432</v>
      </c>
      <c r="V301" s="5">
        <f t="shared" si="21"/>
        <v>2585664</v>
      </c>
    </row>
    <row r="302">
      <c r="A302" s="2">
        <v>40973.0</v>
      </c>
      <c r="B302" s="5">
        <v>2340.0</v>
      </c>
      <c r="C302" s="5">
        <f t="shared" si="25"/>
        <v>2461</v>
      </c>
      <c r="D302" s="5">
        <f t="shared" si="23"/>
        <v>3036</v>
      </c>
      <c r="E302" s="5">
        <f t="shared" si="24"/>
        <v>572</v>
      </c>
      <c r="L302" s="5">
        <f t="shared" si="13"/>
        <v>-121</v>
      </c>
      <c r="M302" s="19">
        <f t="shared" si="14"/>
        <v>0.05170940171</v>
      </c>
      <c r="N302" s="5">
        <f t="shared" si="15"/>
        <v>14641</v>
      </c>
      <c r="P302" s="5">
        <f t="shared" si="16"/>
        <v>-696</v>
      </c>
      <c r="Q302" s="19">
        <f t="shared" si="17"/>
        <v>0.2974358974</v>
      </c>
      <c r="R302" s="5">
        <f t="shared" si="18"/>
        <v>484416</v>
      </c>
      <c r="T302" s="5">
        <f t="shared" si="19"/>
        <v>1768</v>
      </c>
      <c r="U302" s="19">
        <f t="shared" si="20"/>
        <v>0.7555555556</v>
      </c>
      <c r="V302" s="5">
        <f t="shared" si="21"/>
        <v>3125824</v>
      </c>
    </row>
    <row r="303">
      <c r="A303" s="2">
        <v>40974.0</v>
      </c>
      <c r="B303" s="5">
        <v>5103.0</v>
      </c>
      <c r="C303" s="5">
        <f t="shared" si="25"/>
        <v>2485</v>
      </c>
      <c r="D303" s="5">
        <f t="shared" si="23"/>
        <v>3034</v>
      </c>
      <c r="E303" s="5">
        <f t="shared" si="24"/>
        <v>1986</v>
      </c>
      <c r="L303" s="5">
        <f t="shared" si="13"/>
        <v>2618</v>
      </c>
      <c r="M303" s="19">
        <f t="shared" si="14"/>
        <v>0.5130315501</v>
      </c>
      <c r="N303" s="5">
        <f t="shared" si="15"/>
        <v>6853924</v>
      </c>
      <c r="P303" s="5">
        <f t="shared" si="16"/>
        <v>2069</v>
      </c>
      <c r="Q303" s="19">
        <f t="shared" si="17"/>
        <v>0.4054477758</v>
      </c>
      <c r="R303" s="5">
        <f t="shared" si="18"/>
        <v>4280761</v>
      </c>
      <c r="T303" s="5">
        <f t="shared" si="19"/>
        <v>3117</v>
      </c>
      <c r="U303" s="19">
        <f t="shared" si="20"/>
        <v>0.6108171664</v>
      </c>
      <c r="V303" s="5">
        <f t="shared" si="21"/>
        <v>9715689</v>
      </c>
    </row>
    <row r="304">
      <c r="A304" s="2">
        <v>40975.0</v>
      </c>
      <c r="B304" s="5">
        <v>3582.0</v>
      </c>
      <c r="C304" s="5">
        <f t="shared" si="25"/>
        <v>2567</v>
      </c>
      <c r="D304" s="5">
        <f t="shared" si="23"/>
        <v>3041</v>
      </c>
      <c r="E304" s="5">
        <f t="shared" si="24"/>
        <v>4480</v>
      </c>
      <c r="L304" s="5">
        <f t="shared" si="13"/>
        <v>1015</v>
      </c>
      <c r="M304" s="19">
        <f t="shared" si="14"/>
        <v>0.2833612507</v>
      </c>
      <c r="N304" s="5">
        <f t="shared" si="15"/>
        <v>1030225</v>
      </c>
      <c r="P304" s="5">
        <f t="shared" si="16"/>
        <v>541</v>
      </c>
      <c r="Q304" s="19">
        <f t="shared" si="17"/>
        <v>0.1510329425</v>
      </c>
      <c r="R304" s="5">
        <f t="shared" si="18"/>
        <v>292681</v>
      </c>
      <c r="T304" s="5">
        <f t="shared" si="19"/>
        <v>-898</v>
      </c>
      <c r="U304" s="19">
        <f t="shared" si="20"/>
        <v>0.2506979341</v>
      </c>
      <c r="V304" s="5">
        <f t="shared" si="21"/>
        <v>806404</v>
      </c>
    </row>
    <row r="305">
      <c r="A305" s="2">
        <v>40976.0</v>
      </c>
      <c r="B305" s="5">
        <v>1531.0</v>
      </c>
      <c r="C305" s="5">
        <f t="shared" si="25"/>
        <v>2527</v>
      </c>
      <c r="D305" s="5">
        <f t="shared" si="23"/>
        <v>3043</v>
      </c>
      <c r="E305" s="5">
        <f t="shared" si="24"/>
        <v>3762</v>
      </c>
      <c r="L305" s="5">
        <f t="shared" si="13"/>
        <v>-996</v>
      </c>
      <c r="M305" s="19">
        <f t="shared" si="14"/>
        <v>0.6505551927</v>
      </c>
      <c r="N305" s="5">
        <f t="shared" si="15"/>
        <v>992016</v>
      </c>
      <c r="P305" s="5">
        <f t="shared" si="16"/>
        <v>-1512</v>
      </c>
      <c r="Q305" s="19">
        <f t="shared" si="17"/>
        <v>0.9875898106</v>
      </c>
      <c r="R305" s="5">
        <f t="shared" si="18"/>
        <v>2286144</v>
      </c>
      <c r="T305" s="5">
        <f t="shared" si="19"/>
        <v>-2231</v>
      </c>
      <c r="U305" s="19">
        <f t="shared" si="20"/>
        <v>1.457217505</v>
      </c>
      <c r="V305" s="5">
        <f t="shared" si="21"/>
        <v>4977361</v>
      </c>
    </row>
    <row r="306">
      <c r="A306" s="2">
        <v>40977.0</v>
      </c>
      <c r="B306" s="5">
        <v>255.0</v>
      </c>
      <c r="C306" s="5">
        <f t="shared" si="25"/>
        <v>2561</v>
      </c>
      <c r="D306" s="5">
        <f t="shared" si="23"/>
        <v>3038</v>
      </c>
      <c r="E306" s="5">
        <f t="shared" si="24"/>
        <v>1977</v>
      </c>
      <c r="L306" s="5">
        <f t="shared" si="13"/>
        <v>-2306</v>
      </c>
      <c r="M306" s="19">
        <f t="shared" si="14"/>
        <v>9.043137255</v>
      </c>
      <c r="N306" s="5">
        <f t="shared" si="15"/>
        <v>5317636</v>
      </c>
      <c r="P306" s="5">
        <f t="shared" si="16"/>
        <v>-2783</v>
      </c>
      <c r="Q306" s="19">
        <f t="shared" si="17"/>
        <v>10.91372549</v>
      </c>
      <c r="R306" s="5">
        <f t="shared" si="18"/>
        <v>7745089</v>
      </c>
      <c r="T306" s="5">
        <f t="shared" si="19"/>
        <v>-1722</v>
      </c>
      <c r="U306" s="19">
        <f t="shared" si="20"/>
        <v>6.752941176</v>
      </c>
      <c r="V306" s="5">
        <f t="shared" si="21"/>
        <v>2965284</v>
      </c>
    </row>
    <row r="307">
      <c r="A307" s="2">
        <v>40980.0</v>
      </c>
      <c r="B307" s="5">
        <v>2824.0</v>
      </c>
      <c r="C307" s="5">
        <f t="shared" si="25"/>
        <v>2562</v>
      </c>
      <c r="D307" s="5">
        <f t="shared" si="23"/>
        <v>3028</v>
      </c>
      <c r="E307" s="5">
        <f t="shared" si="24"/>
        <v>599</v>
      </c>
      <c r="L307" s="5">
        <f t="shared" si="13"/>
        <v>262</v>
      </c>
      <c r="M307" s="19">
        <f t="shared" si="14"/>
        <v>0.09277620397</v>
      </c>
      <c r="N307" s="5">
        <f t="shared" si="15"/>
        <v>68644</v>
      </c>
      <c r="P307" s="5">
        <f t="shared" si="16"/>
        <v>-204</v>
      </c>
      <c r="Q307" s="19">
        <f t="shared" si="17"/>
        <v>0.07223796034</v>
      </c>
      <c r="R307" s="5">
        <f t="shared" si="18"/>
        <v>41616</v>
      </c>
      <c r="T307" s="5">
        <f t="shared" si="19"/>
        <v>2225</v>
      </c>
      <c r="U307" s="19">
        <f t="shared" si="20"/>
        <v>0.7878895184</v>
      </c>
      <c r="V307" s="5">
        <f t="shared" si="21"/>
        <v>4950625</v>
      </c>
    </row>
    <row r="308">
      <c r="A308" s="2">
        <v>40981.0</v>
      </c>
      <c r="B308" s="5">
        <v>6267.0</v>
      </c>
      <c r="C308" s="5">
        <f t="shared" si="25"/>
        <v>2659</v>
      </c>
      <c r="D308" s="5">
        <f t="shared" si="23"/>
        <v>3028</v>
      </c>
      <c r="E308" s="5">
        <f t="shared" si="24"/>
        <v>2379</v>
      </c>
      <c r="L308" s="5">
        <f t="shared" si="13"/>
        <v>3608</v>
      </c>
      <c r="M308" s="19">
        <f t="shared" si="14"/>
        <v>0.5757140578</v>
      </c>
      <c r="N308" s="5">
        <f t="shared" si="15"/>
        <v>13017664</v>
      </c>
      <c r="P308" s="5">
        <f t="shared" si="16"/>
        <v>3239</v>
      </c>
      <c r="Q308" s="19">
        <f t="shared" si="17"/>
        <v>0.5168342109</v>
      </c>
      <c r="R308" s="5">
        <f t="shared" si="18"/>
        <v>10491121</v>
      </c>
      <c r="T308" s="5">
        <f t="shared" si="19"/>
        <v>3888</v>
      </c>
      <c r="U308" s="19">
        <f t="shared" si="20"/>
        <v>0.6203925323</v>
      </c>
      <c r="V308" s="5">
        <f t="shared" si="21"/>
        <v>15116544</v>
      </c>
    </row>
    <row r="309">
      <c r="A309" s="2">
        <v>40982.0</v>
      </c>
      <c r="B309" s="5">
        <v>3252.0</v>
      </c>
      <c r="C309" s="5">
        <f t="shared" si="25"/>
        <v>2892</v>
      </c>
      <c r="D309" s="5">
        <f t="shared" si="23"/>
        <v>3038</v>
      </c>
      <c r="E309" s="5">
        <f t="shared" si="24"/>
        <v>5489</v>
      </c>
      <c r="L309" s="5">
        <f t="shared" si="13"/>
        <v>360</v>
      </c>
      <c r="M309" s="19">
        <f t="shared" si="14"/>
        <v>0.110701107</v>
      </c>
      <c r="N309" s="5">
        <f t="shared" si="15"/>
        <v>129600</v>
      </c>
      <c r="P309" s="5">
        <f t="shared" si="16"/>
        <v>214</v>
      </c>
      <c r="Q309" s="19">
        <f t="shared" si="17"/>
        <v>0.06580565806</v>
      </c>
      <c r="R309" s="5">
        <f t="shared" si="18"/>
        <v>45796</v>
      </c>
      <c r="T309" s="5">
        <f t="shared" si="19"/>
        <v>-2237</v>
      </c>
      <c r="U309" s="19">
        <f t="shared" si="20"/>
        <v>0.6878843788</v>
      </c>
      <c r="V309" s="5">
        <f t="shared" si="21"/>
        <v>5004169</v>
      </c>
    </row>
    <row r="310">
      <c r="A310" s="2">
        <v>40983.0</v>
      </c>
      <c r="B310" s="5">
        <v>1361.0</v>
      </c>
      <c r="C310" s="5">
        <f t="shared" si="25"/>
        <v>2826</v>
      </c>
      <c r="D310" s="5">
        <f t="shared" si="23"/>
        <v>3039</v>
      </c>
      <c r="E310" s="5">
        <f t="shared" si="24"/>
        <v>3699</v>
      </c>
      <c r="L310" s="5">
        <f t="shared" si="13"/>
        <v>-1465</v>
      </c>
      <c r="M310" s="19">
        <f t="shared" si="14"/>
        <v>1.076414401</v>
      </c>
      <c r="N310" s="5">
        <f t="shared" si="15"/>
        <v>2146225</v>
      </c>
      <c r="P310" s="5">
        <f t="shared" si="16"/>
        <v>-1678</v>
      </c>
      <c r="Q310" s="19">
        <f t="shared" si="17"/>
        <v>1.232916973</v>
      </c>
      <c r="R310" s="5">
        <f t="shared" si="18"/>
        <v>2815684</v>
      </c>
      <c r="T310" s="5">
        <f t="shared" si="19"/>
        <v>-2338</v>
      </c>
      <c r="U310" s="19">
        <f t="shared" si="20"/>
        <v>1.717854519</v>
      </c>
      <c r="V310" s="5">
        <f t="shared" si="21"/>
        <v>5466244</v>
      </c>
    </row>
    <row r="311">
      <c r="A311" s="2">
        <v>40984.0</v>
      </c>
      <c r="B311" s="5">
        <v>200.0</v>
      </c>
      <c r="C311" s="5">
        <f t="shared" si="25"/>
        <v>2792</v>
      </c>
      <c r="D311" s="5">
        <f t="shared" si="23"/>
        <v>3034</v>
      </c>
      <c r="E311" s="5">
        <f t="shared" si="24"/>
        <v>1829</v>
      </c>
      <c r="L311" s="5">
        <f t="shared" si="13"/>
        <v>-2592</v>
      </c>
      <c r="M311" s="19">
        <f t="shared" si="14"/>
        <v>12.96</v>
      </c>
      <c r="N311" s="5">
        <f t="shared" si="15"/>
        <v>6718464</v>
      </c>
      <c r="P311" s="5">
        <f t="shared" si="16"/>
        <v>-2834</v>
      </c>
      <c r="Q311" s="19">
        <f t="shared" si="17"/>
        <v>14.17</v>
      </c>
      <c r="R311" s="5">
        <f t="shared" si="18"/>
        <v>8031556</v>
      </c>
      <c r="T311" s="5">
        <f t="shared" si="19"/>
        <v>-1629</v>
      </c>
      <c r="U311" s="19">
        <f t="shared" si="20"/>
        <v>8.145</v>
      </c>
      <c r="V311" s="5">
        <f t="shared" si="21"/>
        <v>2653641</v>
      </c>
    </row>
    <row r="312">
      <c r="A312" s="2">
        <v>40987.0</v>
      </c>
      <c r="B312" s="5">
        <v>2906.0</v>
      </c>
      <c r="C312" s="5">
        <f t="shared" si="25"/>
        <v>2781</v>
      </c>
      <c r="D312" s="5">
        <f t="shared" si="23"/>
        <v>3024</v>
      </c>
      <c r="E312" s="5">
        <f t="shared" si="24"/>
        <v>526</v>
      </c>
      <c r="L312" s="5">
        <f t="shared" si="13"/>
        <v>125</v>
      </c>
      <c r="M312" s="19">
        <f t="shared" si="14"/>
        <v>0.04301445286</v>
      </c>
      <c r="N312" s="5">
        <f t="shared" si="15"/>
        <v>15625</v>
      </c>
      <c r="P312" s="5">
        <f t="shared" si="16"/>
        <v>-118</v>
      </c>
      <c r="Q312" s="19">
        <f t="shared" si="17"/>
        <v>0.0406056435</v>
      </c>
      <c r="R312" s="5">
        <f t="shared" si="18"/>
        <v>13924</v>
      </c>
      <c r="T312" s="5">
        <f t="shared" si="19"/>
        <v>2380</v>
      </c>
      <c r="U312" s="19">
        <f t="shared" si="20"/>
        <v>0.8189951824</v>
      </c>
      <c r="V312" s="5">
        <f t="shared" si="21"/>
        <v>5664400</v>
      </c>
    </row>
    <row r="313">
      <c r="A313" s="2">
        <v>40988.0</v>
      </c>
      <c r="B313" s="5">
        <v>5886.0</v>
      </c>
      <c r="C313" s="5">
        <f t="shared" si="25"/>
        <v>2797</v>
      </c>
      <c r="D313" s="5">
        <f t="shared" si="23"/>
        <v>3024</v>
      </c>
      <c r="E313" s="5">
        <f t="shared" si="24"/>
        <v>2430</v>
      </c>
      <c r="L313" s="5">
        <f t="shared" si="13"/>
        <v>3089</v>
      </c>
      <c r="M313" s="19">
        <f t="shared" si="14"/>
        <v>0.5248046211</v>
      </c>
      <c r="N313" s="5">
        <f t="shared" si="15"/>
        <v>9541921</v>
      </c>
      <c r="P313" s="5">
        <f t="shared" si="16"/>
        <v>2862</v>
      </c>
      <c r="Q313" s="19">
        <f t="shared" si="17"/>
        <v>0.4862385321</v>
      </c>
      <c r="R313" s="5">
        <f t="shared" si="18"/>
        <v>8191044</v>
      </c>
      <c r="T313" s="5">
        <f t="shared" si="19"/>
        <v>3456</v>
      </c>
      <c r="U313" s="19">
        <f t="shared" si="20"/>
        <v>0.5871559633</v>
      </c>
      <c r="V313" s="5">
        <f t="shared" si="21"/>
        <v>11943936</v>
      </c>
    </row>
    <row r="314">
      <c r="A314" s="2">
        <v>40989.0</v>
      </c>
      <c r="B314" s="5">
        <v>3892.0</v>
      </c>
      <c r="C314" s="5">
        <f t="shared" si="25"/>
        <v>2721</v>
      </c>
      <c r="D314" s="5">
        <f t="shared" si="23"/>
        <v>3033</v>
      </c>
      <c r="E314" s="5">
        <f t="shared" si="24"/>
        <v>5195</v>
      </c>
      <c r="L314" s="5">
        <f t="shared" si="13"/>
        <v>1171</v>
      </c>
      <c r="M314" s="19">
        <f t="shared" si="14"/>
        <v>0.3008735868</v>
      </c>
      <c r="N314" s="5">
        <f t="shared" si="15"/>
        <v>1371241</v>
      </c>
      <c r="P314" s="5">
        <f t="shared" si="16"/>
        <v>859</v>
      </c>
      <c r="Q314" s="19">
        <f t="shared" si="17"/>
        <v>0.220709147</v>
      </c>
      <c r="R314" s="5">
        <f t="shared" si="18"/>
        <v>737881</v>
      </c>
      <c r="T314" s="5">
        <f t="shared" si="19"/>
        <v>-1303</v>
      </c>
      <c r="U314" s="19">
        <f t="shared" si="20"/>
        <v>0.3347893114</v>
      </c>
      <c r="V314" s="5">
        <f t="shared" si="21"/>
        <v>1697809</v>
      </c>
    </row>
    <row r="315">
      <c r="A315" s="2">
        <v>40990.0</v>
      </c>
      <c r="B315" s="5">
        <v>707.0</v>
      </c>
      <c r="C315" s="5">
        <f t="shared" si="25"/>
        <v>2849</v>
      </c>
      <c r="D315" s="5">
        <f t="shared" si="23"/>
        <v>3036</v>
      </c>
      <c r="E315" s="5">
        <f t="shared" si="24"/>
        <v>4153</v>
      </c>
      <c r="L315" s="5">
        <f t="shared" si="13"/>
        <v>-2142</v>
      </c>
      <c r="M315" s="19">
        <f t="shared" si="14"/>
        <v>3.02970297</v>
      </c>
      <c r="N315" s="5">
        <f t="shared" si="15"/>
        <v>4588164</v>
      </c>
      <c r="P315" s="5">
        <f t="shared" si="16"/>
        <v>-2329</v>
      </c>
      <c r="Q315" s="19">
        <f t="shared" si="17"/>
        <v>3.294200849</v>
      </c>
      <c r="R315" s="5">
        <f t="shared" si="18"/>
        <v>5424241</v>
      </c>
      <c r="T315" s="5">
        <f t="shared" si="19"/>
        <v>-3446</v>
      </c>
      <c r="U315" s="19">
        <f t="shared" si="20"/>
        <v>4.874115983</v>
      </c>
      <c r="V315" s="5">
        <f t="shared" si="21"/>
        <v>11874916</v>
      </c>
    </row>
    <row r="316">
      <c r="A316" s="2">
        <v>40991.0</v>
      </c>
      <c r="B316" s="5">
        <v>50.0</v>
      </c>
      <c r="C316" s="5">
        <f t="shared" si="25"/>
        <v>2718</v>
      </c>
      <c r="D316" s="5">
        <f t="shared" si="23"/>
        <v>3029</v>
      </c>
      <c r="E316" s="5">
        <f t="shared" si="24"/>
        <v>1396</v>
      </c>
      <c r="L316" s="5">
        <f t="shared" si="13"/>
        <v>-2668</v>
      </c>
      <c r="M316" s="19">
        <f t="shared" si="14"/>
        <v>53.36</v>
      </c>
      <c r="N316" s="5">
        <f t="shared" si="15"/>
        <v>7118224</v>
      </c>
      <c r="P316" s="5">
        <f t="shared" si="16"/>
        <v>-2979</v>
      </c>
      <c r="Q316" s="19">
        <f t="shared" si="17"/>
        <v>59.58</v>
      </c>
      <c r="R316" s="5">
        <f t="shared" si="18"/>
        <v>8874441</v>
      </c>
      <c r="T316" s="5">
        <f t="shared" si="19"/>
        <v>-1346</v>
      </c>
      <c r="U316" s="19">
        <f t="shared" si="20"/>
        <v>26.92</v>
      </c>
      <c r="V316" s="5">
        <f t="shared" si="21"/>
        <v>1811716</v>
      </c>
    </row>
    <row r="317">
      <c r="A317" s="2">
        <v>40994.0</v>
      </c>
      <c r="B317" s="5">
        <v>1100.0</v>
      </c>
      <c r="C317" s="5">
        <f t="shared" si="25"/>
        <v>2688</v>
      </c>
      <c r="D317" s="5">
        <f t="shared" si="23"/>
        <v>3019</v>
      </c>
      <c r="E317" s="5">
        <f t="shared" si="24"/>
        <v>319</v>
      </c>
      <c r="L317" s="5">
        <f t="shared" si="13"/>
        <v>-1588</v>
      </c>
      <c r="M317" s="19">
        <f t="shared" si="14"/>
        <v>1.443636364</v>
      </c>
      <c r="N317" s="5">
        <f t="shared" si="15"/>
        <v>2521744</v>
      </c>
      <c r="P317" s="5">
        <f t="shared" si="16"/>
        <v>-1919</v>
      </c>
      <c r="Q317" s="19">
        <f t="shared" si="17"/>
        <v>1.744545455</v>
      </c>
      <c r="R317" s="5">
        <f t="shared" si="18"/>
        <v>3682561</v>
      </c>
      <c r="T317" s="5">
        <f t="shared" si="19"/>
        <v>781</v>
      </c>
      <c r="U317" s="19">
        <f t="shared" si="20"/>
        <v>0.71</v>
      </c>
      <c r="V317" s="5">
        <f t="shared" si="21"/>
        <v>609961</v>
      </c>
    </row>
    <row r="318">
      <c r="A318" s="2">
        <v>40995.0</v>
      </c>
      <c r="B318" s="5">
        <v>8160.0</v>
      </c>
      <c r="C318" s="5">
        <f t="shared" si="25"/>
        <v>2327</v>
      </c>
      <c r="D318" s="5">
        <f t="shared" si="23"/>
        <v>3013</v>
      </c>
      <c r="E318" s="5">
        <f t="shared" si="24"/>
        <v>944</v>
      </c>
      <c r="L318" s="5">
        <f t="shared" si="13"/>
        <v>5833</v>
      </c>
      <c r="M318" s="19">
        <f t="shared" si="14"/>
        <v>0.7148284314</v>
      </c>
      <c r="N318" s="5">
        <f t="shared" si="15"/>
        <v>34023889</v>
      </c>
      <c r="P318" s="5">
        <f t="shared" si="16"/>
        <v>5147</v>
      </c>
      <c r="Q318" s="19">
        <f t="shared" si="17"/>
        <v>0.6307598039</v>
      </c>
      <c r="R318" s="5">
        <f t="shared" si="18"/>
        <v>26491609</v>
      </c>
      <c r="T318" s="5">
        <f t="shared" si="19"/>
        <v>7216</v>
      </c>
      <c r="U318" s="19">
        <f t="shared" si="20"/>
        <v>0.8843137255</v>
      </c>
      <c r="V318" s="5">
        <f t="shared" si="21"/>
        <v>52070656</v>
      </c>
    </row>
    <row r="319">
      <c r="A319" s="2">
        <v>40996.0</v>
      </c>
      <c r="B319" s="5">
        <v>2041.0</v>
      </c>
      <c r="C319" s="5">
        <f t="shared" si="25"/>
        <v>2782</v>
      </c>
      <c r="D319" s="5">
        <f t="shared" si="23"/>
        <v>3029</v>
      </c>
      <c r="E319" s="5">
        <f t="shared" si="24"/>
        <v>6717</v>
      </c>
      <c r="L319" s="5">
        <f t="shared" si="13"/>
        <v>-741</v>
      </c>
      <c r="M319" s="19">
        <f t="shared" si="14"/>
        <v>0.3630573248</v>
      </c>
      <c r="N319" s="5">
        <f t="shared" si="15"/>
        <v>549081</v>
      </c>
      <c r="P319" s="5">
        <f t="shared" si="16"/>
        <v>-988</v>
      </c>
      <c r="Q319" s="19">
        <f t="shared" si="17"/>
        <v>0.4840764331</v>
      </c>
      <c r="R319" s="5">
        <f t="shared" si="18"/>
        <v>976144</v>
      </c>
      <c r="T319" s="5">
        <f t="shared" si="19"/>
        <v>-4676</v>
      </c>
      <c r="U319" s="19">
        <f t="shared" si="20"/>
        <v>2.291033807</v>
      </c>
      <c r="V319" s="5">
        <f t="shared" si="21"/>
        <v>21864976</v>
      </c>
    </row>
    <row r="320">
      <c r="A320" s="2">
        <v>40997.0</v>
      </c>
      <c r="B320" s="5">
        <v>3582.0</v>
      </c>
      <c r="C320" s="5">
        <f t="shared" si="25"/>
        <v>2412</v>
      </c>
      <c r="D320" s="5">
        <f t="shared" si="23"/>
        <v>3026</v>
      </c>
      <c r="E320" s="5">
        <f t="shared" si="24"/>
        <v>2976</v>
      </c>
      <c r="L320" s="5">
        <f t="shared" si="13"/>
        <v>1170</v>
      </c>
      <c r="M320" s="19">
        <f t="shared" si="14"/>
        <v>0.3266331658</v>
      </c>
      <c r="N320" s="5">
        <f t="shared" si="15"/>
        <v>1368900</v>
      </c>
      <c r="P320" s="5">
        <f t="shared" si="16"/>
        <v>556</v>
      </c>
      <c r="Q320" s="19">
        <f t="shared" si="17"/>
        <v>0.1552205472</v>
      </c>
      <c r="R320" s="5">
        <f t="shared" si="18"/>
        <v>309136</v>
      </c>
      <c r="T320" s="5">
        <f t="shared" si="19"/>
        <v>606</v>
      </c>
      <c r="U320" s="19">
        <f t="shared" si="20"/>
        <v>0.1691792295</v>
      </c>
      <c r="V320" s="5">
        <f t="shared" si="21"/>
        <v>367236</v>
      </c>
    </row>
    <row r="321">
      <c r="A321" s="2">
        <v>40998.0</v>
      </c>
      <c r="B321" s="5">
        <v>705.0</v>
      </c>
      <c r="C321" s="5">
        <f t="shared" si="25"/>
        <v>2987</v>
      </c>
      <c r="D321" s="5">
        <f t="shared" si="23"/>
        <v>3028</v>
      </c>
      <c r="E321" s="5">
        <f t="shared" si="24"/>
        <v>3461</v>
      </c>
      <c r="L321" s="5">
        <f t="shared" si="13"/>
        <v>-2282</v>
      </c>
      <c r="M321" s="19">
        <f t="shared" si="14"/>
        <v>3.236879433</v>
      </c>
      <c r="N321" s="5">
        <f t="shared" si="15"/>
        <v>5207524</v>
      </c>
      <c r="P321" s="5">
        <f t="shared" si="16"/>
        <v>-2323</v>
      </c>
      <c r="Q321" s="19">
        <f t="shared" si="17"/>
        <v>3.295035461</v>
      </c>
      <c r="R321" s="5">
        <f t="shared" si="18"/>
        <v>5396329</v>
      </c>
      <c r="T321" s="5">
        <f t="shared" si="19"/>
        <v>-2756</v>
      </c>
      <c r="U321" s="19">
        <f t="shared" si="20"/>
        <v>3.909219858</v>
      </c>
      <c r="V321" s="5">
        <f t="shared" si="21"/>
        <v>7595536</v>
      </c>
    </row>
    <row r="322">
      <c r="A322" s="2">
        <v>41001.0</v>
      </c>
      <c r="B322" s="5">
        <v>1938.0</v>
      </c>
      <c r="C322" s="5">
        <f t="shared" si="25"/>
        <v>3118</v>
      </c>
      <c r="D322" s="5">
        <f t="shared" si="23"/>
        <v>3021</v>
      </c>
      <c r="E322" s="5">
        <f t="shared" si="24"/>
        <v>1256</v>
      </c>
      <c r="L322" s="5">
        <f t="shared" si="13"/>
        <v>-1180</v>
      </c>
      <c r="M322" s="19">
        <f t="shared" si="14"/>
        <v>0.608875129</v>
      </c>
      <c r="N322" s="5">
        <f t="shared" si="15"/>
        <v>1392400</v>
      </c>
      <c r="P322" s="5">
        <f t="shared" si="16"/>
        <v>-1083</v>
      </c>
      <c r="Q322" s="19">
        <f t="shared" si="17"/>
        <v>0.5588235294</v>
      </c>
      <c r="R322" s="5">
        <f t="shared" si="18"/>
        <v>1172889</v>
      </c>
      <c r="T322" s="5">
        <f t="shared" si="19"/>
        <v>682</v>
      </c>
      <c r="U322" s="19">
        <f t="shared" si="20"/>
        <v>0.3519091847</v>
      </c>
      <c r="V322" s="5">
        <f t="shared" si="21"/>
        <v>465124</v>
      </c>
    </row>
    <row r="323">
      <c r="A323" s="2">
        <v>41002.0</v>
      </c>
      <c r="B323" s="5">
        <v>9366.0</v>
      </c>
      <c r="C323" s="5">
        <f t="shared" si="25"/>
        <v>3285</v>
      </c>
      <c r="D323" s="5">
        <f t="shared" si="23"/>
        <v>3017</v>
      </c>
      <c r="E323" s="5">
        <f t="shared" si="24"/>
        <v>1802</v>
      </c>
      <c r="L323" s="5">
        <f t="shared" si="13"/>
        <v>6081</v>
      </c>
      <c r="M323" s="19">
        <f t="shared" si="14"/>
        <v>0.6492632928</v>
      </c>
      <c r="N323" s="5">
        <f t="shared" si="15"/>
        <v>36978561</v>
      </c>
      <c r="P323" s="5">
        <f t="shared" si="16"/>
        <v>6349</v>
      </c>
      <c r="Q323" s="19">
        <f t="shared" si="17"/>
        <v>0.677877429</v>
      </c>
      <c r="R323" s="5">
        <f t="shared" si="18"/>
        <v>40309801</v>
      </c>
      <c r="T323" s="5">
        <f t="shared" si="19"/>
        <v>7564</v>
      </c>
      <c r="U323" s="19">
        <f t="shared" si="20"/>
        <v>0.8076019646</v>
      </c>
      <c r="V323" s="5">
        <f t="shared" si="21"/>
        <v>57214096</v>
      </c>
    </row>
    <row r="324">
      <c r="A324" s="2">
        <v>41003.0</v>
      </c>
      <c r="B324" s="5">
        <v>5004.0</v>
      </c>
      <c r="C324" s="5">
        <f t="shared" si="25"/>
        <v>3526</v>
      </c>
      <c r="D324" s="5">
        <f t="shared" si="23"/>
        <v>3037</v>
      </c>
      <c r="E324" s="5">
        <f t="shared" si="24"/>
        <v>7853</v>
      </c>
      <c r="L324" s="5">
        <f t="shared" si="13"/>
        <v>1478</v>
      </c>
      <c r="M324" s="19">
        <f t="shared" si="14"/>
        <v>0.295363709</v>
      </c>
      <c r="N324" s="5">
        <f t="shared" si="15"/>
        <v>2184484</v>
      </c>
      <c r="P324" s="5">
        <f t="shared" si="16"/>
        <v>1967</v>
      </c>
      <c r="Q324" s="19">
        <f t="shared" si="17"/>
        <v>0.3930855316</v>
      </c>
      <c r="R324" s="5">
        <f t="shared" si="18"/>
        <v>3869089</v>
      </c>
      <c r="T324" s="5">
        <f t="shared" si="19"/>
        <v>-2849</v>
      </c>
      <c r="U324" s="19">
        <f t="shared" si="20"/>
        <v>0.5693445244</v>
      </c>
      <c r="V324" s="5">
        <f t="shared" si="21"/>
        <v>8116801</v>
      </c>
    </row>
    <row r="325">
      <c r="A325" s="2">
        <v>41004.0</v>
      </c>
      <c r="B325" s="5">
        <v>1306.0</v>
      </c>
      <c r="C325" s="5">
        <f t="shared" si="25"/>
        <v>4119</v>
      </c>
      <c r="D325" s="5">
        <f t="shared" si="23"/>
        <v>3043</v>
      </c>
      <c r="E325" s="5">
        <f t="shared" si="24"/>
        <v>5574</v>
      </c>
      <c r="L325" s="5">
        <f t="shared" si="13"/>
        <v>-2813</v>
      </c>
      <c r="M325" s="19">
        <f t="shared" si="14"/>
        <v>2.153905054</v>
      </c>
      <c r="N325" s="5">
        <f t="shared" si="15"/>
        <v>7912969</v>
      </c>
      <c r="P325" s="5">
        <f t="shared" si="16"/>
        <v>-1737</v>
      </c>
      <c r="Q325" s="19">
        <f t="shared" si="17"/>
        <v>1.330015314</v>
      </c>
      <c r="R325" s="5">
        <f t="shared" si="18"/>
        <v>3017169</v>
      </c>
      <c r="T325" s="5">
        <f t="shared" si="19"/>
        <v>-4268</v>
      </c>
      <c r="U325" s="19">
        <f t="shared" si="20"/>
        <v>3.267993874</v>
      </c>
      <c r="V325" s="5">
        <f t="shared" si="21"/>
        <v>18215824</v>
      </c>
    </row>
    <row r="326">
      <c r="A326" s="2">
        <v>41005.0</v>
      </c>
      <c r="B326" s="5">
        <v>1108.0</v>
      </c>
      <c r="C326" s="5">
        <f t="shared" si="25"/>
        <v>3664</v>
      </c>
      <c r="D326" s="5">
        <f t="shared" si="23"/>
        <v>3038</v>
      </c>
      <c r="E326" s="5">
        <f t="shared" si="24"/>
        <v>2160</v>
      </c>
      <c r="L326" s="5">
        <f t="shared" si="13"/>
        <v>-2556</v>
      </c>
      <c r="M326" s="19">
        <f t="shared" si="14"/>
        <v>2.306859206</v>
      </c>
      <c r="N326" s="5">
        <f t="shared" si="15"/>
        <v>6533136</v>
      </c>
      <c r="P326" s="5">
        <f t="shared" si="16"/>
        <v>-1930</v>
      </c>
      <c r="Q326" s="19">
        <f t="shared" si="17"/>
        <v>1.741877256</v>
      </c>
      <c r="R326" s="5">
        <f t="shared" si="18"/>
        <v>3724900</v>
      </c>
      <c r="T326" s="5">
        <f t="shared" si="19"/>
        <v>-1052</v>
      </c>
      <c r="U326" s="19">
        <f t="shared" si="20"/>
        <v>0.9494584838</v>
      </c>
      <c r="V326" s="5">
        <f t="shared" si="21"/>
        <v>1106704</v>
      </c>
    </row>
    <row r="327">
      <c r="A327" s="2">
        <v>41008.0</v>
      </c>
      <c r="B327" s="5">
        <v>1914.0</v>
      </c>
      <c r="C327" s="5">
        <f t="shared" si="25"/>
        <v>3744</v>
      </c>
      <c r="D327" s="5">
        <f t="shared" si="23"/>
        <v>3032</v>
      </c>
      <c r="E327" s="5">
        <f t="shared" si="24"/>
        <v>1318</v>
      </c>
      <c r="L327" s="5">
        <f t="shared" si="13"/>
        <v>-1830</v>
      </c>
      <c r="M327" s="19">
        <f t="shared" si="14"/>
        <v>0.9561128527</v>
      </c>
      <c r="N327" s="5">
        <f t="shared" si="15"/>
        <v>3348900</v>
      </c>
      <c r="P327" s="5">
        <f t="shared" si="16"/>
        <v>-1118</v>
      </c>
      <c r="Q327" s="19">
        <f t="shared" si="17"/>
        <v>0.5841170324</v>
      </c>
      <c r="R327" s="5">
        <f t="shared" si="18"/>
        <v>1249924</v>
      </c>
      <c r="T327" s="5">
        <f t="shared" si="19"/>
        <v>596</v>
      </c>
      <c r="U327" s="19">
        <f t="shared" si="20"/>
        <v>0.3113897597</v>
      </c>
      <c r="V327" s="5">
        <f t="shared" si="21"/>
        <v>355216</v>
      </c>
    </row>
    <row r="328">
      <c r="A328" s="2">
        <v>41009.0</v>
      </c>
      <c r="B328" s="5">
        <v>5248.0</v>
      </c>
      <c r="C328" s="5">
        <f t="shared" si="25"/>
        <v>3740</v>
      </c>
      <c r="D328" s="5">
        <f t="shared" si="23"/>
        <v>3028</v>
      </c>
      <c r="E328" s="5">
        <f t="shared" si="24"/>
        <v>1795</v>
      </c>
      <c r="L328" s="5">
        <f t="shared" si="13"/>
        <v>1508</v>
      </c>
      <c r="M328" s="19">
        <f t="shared" si="14"/>
        <v>0.287347561</v>
      </c>
      <c r="N328" s="5">
        <f t="shared" si="15"/>
        <v>2274064</v>
      </c>
      <c r="P328" s="5">
        <f t="shared" si="16"/>
        <v>2220</v>
      </c>
      <c r="Q328" s="19">
        <f t="shared" si="17"/>
        <v>0.4230182927</v>
      </c>
      <c r="R328" s="5">
        <f t="shared" si="18"/>
        <v>4928400</v>
      </c>
      <c r="T328" s="5">
        <f t="shared" si="19"/>
        <v>3453</v>
      </c>
      <c r="U328" s="19">
        <f t="shared" si="20"/>
        <v>0.657964939</v>
      </c>
      <c r="V328" s="5">
        <f t="shared" si="21"/>
        <v>11923209</v>
      </c>
    </row>
    <row r="329">
      <c r="A329" s="2">
        <v>41010.0</v>
      </c>
      <c r="B329" s="5">
        <v>2517.0</v>
      </c>
      <c r="C329" s="5">
        <f t="shared" si="25"/>
        <v>2916</v>
      </c>
      <c r="D329" s="5">
        <f t="shared" si="23"/>
        <v>3035</v>
      </c>
      <c r="E329" s="5">
        <f t="shared" si="24"/>
        <v>4557</v>
      </c>
      <c r="L329" s="5">
        <f t="shared" si="13"/>
        <v>-399</v>
      </c>
      <c r="M329" s="19">
        <f t="shared" si="14"/>
        <v>0.1585220501</v>
      </c>
      <c r="N329" s="5">
        <f t="shared" si="15"/>
        <v>159201</v>
      </c>
      <c r="P329" s="5">
        <f t="shared" si="16"/>
        <v>-518</v>
      </c>
      <c r="Q329" s="19">
        <f t="shared" si="17"/>
        <v>0.2058005562</v>
      </c>
      <c r="R329" s="5">
        <f t="shared" si="18"/>
        <v>268324</v>
      </c>
      <c r="T329" s="5">
        <f t="shared" si="19"/>
        <v>-2040</v>
      </c>
      <c r="U329" s="19">
        <f t="shared" si="20"/>
        <v>0.810488677</v>
      </c>
      <c r="V329" s="5">
        <f t="shared" si="21"/>
        <v>4161600</v>
      </c>
    </row>
    <row r="330">
      <c r="A330" s="2">
        <v>41011.0</v>
      </c>
      <c r="B330" s="5">
        <v>1043.0</v>
      </c>
      <c r="C330" s="5">
        <f t="shared" si="25"/>
        <v>2419</v>
      </c>
      <c r="D330" s="5">
        <f t="shared" si="23"/>
        <v>3034</v>
      </c>
      <c r="E330" s="5">
        <f t="shared" si="24"/>
        <v>2925</v>
      </c>
      <c r="L330" s="5">
        <f t="shared" si="13"/>
        <v>-1376</v>
      </c>
      <c r="M330" s="19">
        <f t="shared" si="14"/>
        <v>1.319271333</v>
      </c>
      <c r="N330" s="5">
        <f t="shared" si="15"/>
        <v>1893376</v>
      </c>
      <c r="P330" s="5">
        <f t="shared" si="16"/>
        <v>-1991</v>
      </c>
      <c r="Q330" s="19">
        <f t="shared" si="17"/>
        <v>1.908916587</v>
      </c>
      <c r="R330" s="5">
        <f t="shared" si="18"/>
        <v>3964081</v>
      </c>
      <c r="T330" s="5">
        <f t="shared" si="19"/>
        <v>-1882</v>
      </c>
      <c r="U330" s="19">
        <f t="shared" si="20"/>
        <v>1.804410355</v>
      </c>
      <c r="V330" s="5">
        <f t="shared" si="21"/>
        <v>3541924</v>
      </c>
    </row>
    <row r="331">
      <c r="A331" s="2">
        <v>41012.0</v>
      </c>
      <c r="B331" s="5">
        <v>200.0</v>
      </c>
      <c r="C331" s="5">
        <f t="shared" si="25"/>
        <v>2366</v>
      </c>
      <c r="D331" s="5">
        <f t="shared" si="23"/>
        <v>3027</v>
      </c>
      <c r="E331" s="5">
        <f t="shared" si="24"/>
        <v>1419</v>
      </c>
      <c r="L331" s="5">
        <f t="shared" si="13"/>
        <v>-2166</v>
      </c>
      <c r="M331" s="19">
        <f t="shared" si="14"/>
        <v>10.83</v>
      </c>
      <c r="N331" s="5">
        <f t="shared" si="15"/>
        <v>4691556</v>
      </c>
      <c r="P331" s="5">
        <f t="shared" si="16"/>
        <v>-2827</v>
      </c>
      <c r="Q331" s="19">
        <f t="shared" si="17"/>
        <v>14.135</v>
      </c>
      <c r="R331" s="5">
        <f t="shared" si="18"/>
        <v>7991929</v>
      </c>
      <c r="T331" s="5">
        <f t="shared" si="19"/>
        <v>-1219</v>
      </c>
      <c r="U331" s="19">
        <f t="shared" si="20"/>
        <v>6.095</v>
      </c>
      <c r="V331" s="5">
        <f t="shared" si="21"/>
        <v>1485961</v>
      </c>
    </row>
    <row r="332">
      <c r="A332" s="2">
        <v>41015.0</v>
      </c>
      <c r="B332" s="5">
        <v>2140.0</v>
      </c>
      <c r="C332" s="5">
        <f t="shared" si="25"/>
        <v>2184</v>
      </c>
      <c r="D332" s="5">
        <f t="shared" si="23"/>
        <v>3019</v>
      </c>
      <c r="E332" s="5">
        <f t="shared" si="24"/>
        <v>444</v>
      </c>
      <c r="L332" s="5">
        <f t="shared" si="13"/>
        <v>-44</v>
      </c>
      <c r="M332" s="19">
        <f t="shared" si="14"/>
        <v>0.02056074766</v>
      </c>
      <c r="N332" s="5">
        <f t="shared" si="15"/>
        <v>1936</v>
      </c>
      <c r="P332" s="5">
        <f t="shared" si="16"/>
        <v>-879</v>
      </c>
      <c r="Q332" s="19">
        <f t="shared" si="17"/>
        <v>0.4107476636</v>
      </c>
      <c r="R332" s="5">
        <f t="shared" si="18"/>
        <v>772641</v>
      </c>
      <c r="T332" s="5">
        <f t="shared" si="19"/>
        <v>1696</v>
      </c>
      <c r="U332" s="19">
        <f t="shared" si="20"/>
        <v>0.7925233645</v>
      </c>
      <c r="V332" s="5">
        <f t="shared" si="21"/>
        <v>2876416</v>
      </c>
    </row>
    <row r="333">
      <c r="A333" s="2">
        <v>41016.0</v>
      </c>
      <c r="B333" s="5">
        <v>2196.0</v>
      </c>
      <c r="C333" s="5">
        <f t="shared" si="25"/>
        <v>2230</v>
      </c>
      <c r="D333" s="5">
        <f t="shared" si="23"/>
        <v>3016</v>
      </c>
      <c r="E333" s="5">
        <f t="shared" si="24"/>
        <v>1801</v>
      </c>
      <c r="L333" s="5">
        <f t="shared" si="13"/>
        <v>-34</v>
      </c>
      <c r="M333" s="19">
        <f t="shared" si="14"/>
        <v>0.01548269581</v>
      </c>
      <c r="N333" s="5">
        <f t="shared" si="15"/>
        <v>1156</v>
      </c>
      <c r="P333" s="5">
        <f t="shared" si="16"/>
        <v>-820</v>
      </c>
      <c r="Q333" s="19">
        <f t="shared" si="17"/>
        <v>0.3734061931</v>
      </c>
      <c r="R333" s="5">
        <f t="shared" si="18"/>
        <v>672400</v>
      </c>
      <c r="T333" s="5">
        <f t="shared" si="19"/>
        <v>395</v>
      </c>
      <c r="U333" s="19">
        <f t="shared" si="20"/>
        <v>0.1798724954</v>
      </c>
      <c r="V333" s="5">
        <f t="shared" si="21"/>
        <v>156025</v>
      </c>
    </row>
    <row r="334">
      <c r="A334" s="2">
        <v>41017.0</v>
      </c>
      <c r="B334" s="5">
        <v>3175.0</v>
      </c>
      <c r="C334" s="5">
        <f t="shared" si="25"/>
        <v>1619</v>
      </c>
      <c r="D334" s="5">
        <f t="shared" si="23"/>
        <v>3014</v>
      </c>
      <c r="E334" s="5">
        <f t="shared" si="24"/>
        <v>2117</v>
      </c>
      <c r="L334" s="5">
        <f t="shared" si="13"/>
        <v>1556</v>
      </c>
      <c r="M334" s="19">
        <f t="shared" si="14"/>
        <v>0.4900787402</v>
      </c>
      <c r="N334" s="5">
        <f t="shared" si="15"/>
        <v>2421136</v>
      </c>
      <c r="P334" s="5">
        <f t="shared" si="16"/>
        <v>161</v>
      </c>
      <c r="Q334" s="19">
        <f t="shared" si="17"/>
        <v>0.05070866142</v>
      </c>
      <c r="R334" s="5">
        <f t="shared" si="18"/>
        <v>25921</v>
      </c>
      <c r="T334" s="5">
        <f t="shared" si="19"/>
        <v>1058</v>
      </c>
      <c r="U334" s="19">
        <f t="shared" si="20"/>
        <v>0.3332283465</v>
      </c>
      <c r="V334" s="5">
        <f t="shared" si="21"/>
        <v>1119364</v>
      </c>
    </row>
    <row r="335">
      <c r="A335" s="2">
        <v>41018.0</v>
      </c>
      <c r="B335" s="5">
        <v>1100.0</v>
      </c>
      <c r="C335" s="5">
        <f t="shared" si="25"/>
        <v>1751</v>
      </c>
      <c r="D335" s="5">
        <f t="shared" si="23"/>
        <v>3014</v>
      </c>
      <c r="E335" s="5">
        <f t="shared" si="24"/>
        <v>2963</v>
      </c>
      <c r="L335" s="5">
        <f t="shared" si="13"/>
        <v>-651</v>
      </c>
      <c r="M335" s="19">
        <f t="shared" si="14"/>
        <v>0.5918181818</v>
      </c>
      <c r="N335" s="5">
        <f t="shared" si="15"/>
        <v>423801</v>
      </c>
      <c r="P335" s="5">
        <f t="shared" si="16"/>
        <v>-1914</v>
      </c>
      <c r="Q335" s="19">
        <f t="shared" si="17"/>
        <v>1.74</v>
      </c>
      <c r="R335" s="5">
        <f t="shared" si="18"/>
        <v>3663396</v>
      </c>
      <c r="T335" s="5">
        <f t="shared" si="19"/>
        <v>-1863</v>
      </c>
      <c r="U335" s="19">
        <f t="shared" si="20"/>
        <v>1.693636364</v>
      </c>
      <c r="V335" s="5">
        <f t="shared" si="21"/>
        <v>3470769</v>
      </c>
    </row>
    <row r="336">
      <c r="A336" s="2">
        <v>41019.0</v>
      </c>
      <c r="B336" s="5">
        <v>100.0</v>
      </c>
      <c r="C336" s="5">
        <f t="shared" si="25"/>
        <v>1762</v>
      </c>
      <c r="D336" s="5">
        <f t="shared" si="23"/>
        <v>3008</v>
      </c>
      <c r="E336" s="5">
        <f t="shared" si="24"/>
        <v>1473</v>
      </c>
      <c r="L336" s="5">
        <f t="shared" si="13"/>
        <v>-1662</v>
      </c>
      <c r="M336" s="19">
        <f t="shared" si="14"/>
        <v>16.62</v>
      </c>
      <c r="N336" s="5">
        <f t="shared" si="15"/>
        <v>2762244</v>
      </c>
      <c r="P336" s="5">
        <f t="shared" si="16"/>
        <v>-2908</v>
      </c>
      <c r="Q336" s="19">
        <f t="shared" si="17"/>
        <v>29.08</v>
      </c>
      <c r="R336" s="5">
        <f t="shared" si="18"/>
        <v>8456464</v>
      </c>
      <c r="T336" s="5">
        <f t="shared" si="19"/>
        <v>-1373</v>
      </c>
      <c r="U336" s="19">
        <f t="shared" si="20"/>
        <v>13.73</v>
      </c>
      <c r="V336" s="5">
        <f t="shared" si="21"/>
        <v>1885129</v>
      </c>
    </row>
    <row r="337">
      <c r="A337" s="2">
        <v>41022.0</v>
      </c>
      <c r="B337" s="5">
        <v>1434.0</v>
      </c>
      <c r="C337" s="5">
        <f t="shared" si="25"/>
        <v>1742</v>
      </c>
      <c r="D337" s="5">
        <f t="shared" si="23"/>
        <v>3000</v>
      </c>
      <c r="E337" s="5">
        <f t="shared" si="24"/>
        <v>375</v>
      </c>
      <c r="L337" s="5">
        <f t="shared" si="13"/>
        <v>-308</v>
      </c>
      <c r="M337" s="19">
        <f t="shared" si="14"/>
        <v>0.2147838215</v>
      </c>
      <c r="N337" s="5">
        <f t="shared" si="15"/>
        <v>94864</v>
      </c>
      <c r="P337" s="5">
        <f t="shared" si="16"/>
        <v>-1566</v>
      </c>
      <c r="Q337" s="19">
        <f t="shared" si="17"/>
        <v>1.092050209</v>
      </c>
      <c r="R337" s="5">
        <f t="shared" si="18"/>
        <v>2452356</v>
      </c>
      <c r="T337" s="5">
        <f t="shared" si="19"/>
        <v>1059</v>
      </c>
      <c r="U337" s="19">
        <f t="shared" si="20"/>
        <v>0.7384937238</v>
      </c>
      <c r="V337" s="5">
        <f t="shared" si="21"/>
        <v>1121481</v>
      </c>
    </row>
    <row r="338">
      <c r="A338" s="2">
        <v>41023.0</v>
      </c>
      <c r="B338" s="5">
        <v>4741.0</v>
      </c>
      <c r="C338" s="5">
        <f t="shared" si="25"/>
        <v>1601</v>
      </c>
      <c r="D338" s="5">
        <f t="shared" si="23"/>
        <v>2995</v>
      </c>
      <c r="E338" s="5">
        <f t="shared" si="24"/>
        <v>1222</v>
      </c>
      <c r="L338" s="5">
        <f t="shared" si="13"/>
        <v>3140</v>
      </c>
      <c r="M338" s="19">
        <f t="shared" si="14"/>
        <v>0.6623075301</v>
      </c>
      <c r="N338" s="5">
        <f t="shared" si="15"/>
        <v>9859600</v>
      </c>
      <c r="P338" s="5">
        <f t="shared" si="16"/>
        <v>1746</v>
      </c>
      <c r="Q338" s="19">
        <f t="shared" si="17"/>
        <v>0.3682767349</v>
      </c>
      <c r="R338" s="5">
        <f t="shared" si="18"/>
        <v>3048516</v>
      </c>
      <c r="T338" s="5">
        <f t="shared" si="19"/>
        <v>3519</v>
      </c>
      <c r="U338" s="19">
        <f t="shared" si="20"/>
        <v>0.7422484708</v>
      </c>
      <c r="V338" s="5">
        <f t="shared" si="21"/>
        <v>12383361</v>
      </c>
    </row>
    <row r="339">
      <c r="A339" s="2">
        <v>41024.0</v>
      </c>
      <c r="B339" s="5">
        <v>3398.0</v>
      </c>
      <c r="C339" s="5">
        <f t="shared" si="25"/>
        <v>2110</v>
      </c>
      <c r="D339" s="5">
        <f t="shared" si="23"/>
        <v>3000</v>
      </c>
      <c r="E339" s="5">
        <f t="shared" si="24"/>
        <v>4037</v>
      </c>
      <c r="L339" s="5">
        <f t="shared" si="13"/>
        <v>1288</v>
      </c>
      <c r="M339" s="19">
        <f t="shared" si="14"/>
        <v>0.3790464979</v>
      </c>
      <c r="N339" s="5">
        <f t="shared" si="15"/>
        <v>1658944</v>
      </c>
      <c r="P339" s="5">
        <f t="shared" si="16"/>
        <v>398</v>
      </c>
      <c r="Q339" s="19">
        <f t="shared" si="17"/>
        <v>0.1171277222</v>
      </c>
      <c r="R339" s="5">
        <f t="shared" si="18"/>
        <v>158404</v>
      </c>
      <c r="T339" s="5">
        <f t="shared" si="19"/>
        <v>-639</v>
      </c>
      <c r="U339" s="19">
        <f t="shared" si="20"/>
        <v>0.1880517952</v>
      </c>
      <c r="V339" s="5">
        <f t="shared" si="21"/>
        <v>408321</v>
      </c>
    </row>
    <row r="340">
      <c r="A340" s="2">
        <v>41025.0</v>
      </c>
      <c r="B340" s="5">
        <v>289.0</v>
      </c>
      <c r="C340" s="5">
        <f t="shared" si="25"/>
        <v>2155</v>
      </c>
      <c r="D340" s="5">
        <f t="shared" si="23"/>
        <v>3001</v>
      </c>
      <c r="E340" s="5">
        <f t="shared" si="24"/>
        <v>3526</v>
      </c>
      <c r="L340" s="5">
        <f t="shared" si="13"/>
        <v>-1866</v>
      </c>
      <c r="M340" s="19">
        <f t="shared" si="14"/>
        <v>6.456747405</v>
      </c>
      <c r="N340" s="5">
        <f t="shared" si="15"/>
        <v>3481956</v>
      </c>
      <c r="P340" s="5">
        <f t="shared" si="16"/>
        <v>-2712</v>
      </c>
      <c r="Q340" s="19">
        <f t="shared" si="17"/>
        <v>9.384083045</v>
      </c>
      <c r="R340" s="5">
        <f t="shared" si="18"/>
        <v>7354944</v>
      </c>
      <c r="T340" s="5">
        <f t="shared" si="19"/>
        <v>-3237</v>
      </c>
      <c r="U340" s="19">
        <f t="shared" si="20"/>
        <v>11.20069204</v>
      </c>
      <c r="V340" s="5">
        <f t="shared" si="21"/>
        <v>10478169</v>
      </c>
    </row>
    <row r="341">
      <c r="A341" s="2">
        <v>41026.0</v>
      </c>
      <c r="B341" s="5">
        <v>0.0</v>
      </c>
      <c r="C341" s="5">
        <f t="shared" si="25"/>
        <v>1992</v>
      </c>
      <c r="D341" s="5">
        <f t="shared" si="23"/>
        <v>2993</v>
      </c>
      <c r="E341" s="5">
        <f t="shared" si="24"/>
        <v>936</v>
      </c>
      <c r="L341" s="5">
        <f t="shared" si="13"/>
        <v>-1992</v>
      </c>
      <c r="M341" s="19">
        <f t="shared" si="14"/>
        <v>1</v>
      </c>
      <c r="N341" s="5">
        <f t="shared" si="15"/>
        <v>3968064</v>
      </c>
      <c r="P341" s="5">
        <f t="shared" si="16"/>
        <v>-2993</v>
      </c>
      <c r="Q341" s="19">
        <f t="shared" si="17"/>
        <v>1</v>
      </c>
      <c r="R341" s="5">
        <f t="shared" si="18"/>
        <v>8958049</v>
      </c>
      <c r="T341" s="5">
        <f t="shared" si="19"/>
        <v>-936</v>
      </c>
      <c r="U341" s="19">
        <f t="shared" si="20"/>
        <v>1</v>
      </c>
      <c r="V341" s="5">
        <f t="shared" si="21"/>
        <v>876096</v>
      </c>
    </row>
    <row r="342">
      <c r="A342" s="2">
        <v>41029.0</v>
      </c>
      <c r="B342" s="5">
        <v>550.0</v>
      </c>
      <c r="C342" s="5">
        <f t="shared" si="25"/>
        <v>1972</v>
      </c>
      <c r="D342" s="5">
        <f t="shared" si="23"/>
        <v>2984</v>
      </c>
      <c r="E342" s="5">
        <f t="shared" si="24"/>
        <v>187</v>
      </c>
      <c r="L342" s="5">
        <f t="shared" si="13"/>
        <v>-1422</v>
      </c>
      <c r="M342" s="19">
        <f t="shared" si="14"/>
        <v>2.585454545</v>
      </c>
      <c r="N342" s="5">
        <f t="shared" si="15"/>
        <v>2022084</v>
      </c>
      <c r="P342" s="5">
        <f t="shared" si="16"/>
        <v>-2434</v>
      </c>
      <c r="Q342" s="19">
        <f t="shared" si="17"/>
        <v>4.425454545</v>
      </c>
      <c r="R342" s="5">
        <f t="shared" si="18"/>
        <v>5924356</v>
      </c>
      <c r="T342" s="5">
        <f t="shared" si="19"/>
        <v>363</v>
      </c>
      <c r="U342" s="19">
        <f t="shared" si="20"/>
        <v>0.66</v>
      </c>
      <c r="V342" s="5">
        <f t="shared" si="21"/>
        <v>131769</v>
      </c>
    </row>
    <row r="343">
      <c r="A343" s="4">
        <v>41030.0</v>
      </c>
      <c r="B343" s="5">
        <v>4820.0</v>
      </c>
      <c r="C343" s="5">
        <f t="shared" si="25"/>
        <v>1796</v>
      </c>
      <c r="D343" s="5">
        <f t="shared" si="23"/>
        <v>2977</v>
      </c>
      <c r="E343" s="5">
        <f t="shared" si="24"/>
        <v>477</v>
      </c>
      <c r="L343" s="5">
        <f t="shared" si="13"/>
        <v>3024</v>
      </c>
      <c r="M343" s="19">
        <f t="shared" si="14"/>
        <v>0.6273858921</v>
      </c>
      <c r="N343" s="5">
        <f t="shared" si="15"/>
        <v>9144576</v>
      </c>
      <c r="P343" s="5">
        <f t="shared" si="16"/>
        <v>1843</v>
      </c>
      <c r="Q343" s="19">
        <f t="shared" si="17"/>
        <v>0.3823651452</v>
      </c>
      <c r="R343" s="5">
        <f t="shared" si="18"/>
        <v>3396649</v>
      </c>
      <c r="T343" s="5">
        <f t="shared" si="19"/>
        <v>4343</v>
      </c>
      <c r="U343" s="19">
        <f t="shared" si="20"/>
        <v>0.9010373444</v>
      </c>
      <c r="V343" s="5">
        <f t="shared" si="21"/>
        <v>18861649</v>
      </c>
    </row>
    <row r="344">
      <c r="A344" s="4">
        <v>41031.0</v>
      </c>
      <c r="B344" s="5">
        <v>3622.0</v>
      </c>
      <c r="C344" s="5">
        <f t="shared" si="25"/>
        <v>1811</v>
      </c>
      <c r="D344" s="5">
        <f t="shared" si="23"/>
        <v>2983</v>
      </c>
      <c r="E344" s="5">
        <f t="shared" si="24"/>
        <v>3951</v>
      </c>
      <c r="L344" s="5">
        <f t="shared" si="13"/>
        <v>1811</v>
      </c>
      <c r="M344" s="19">
        <f t="shared" si="14"/>
        <v>0.5</v>
      </c>
      <c r="N344" s="5">
        <f t="shared" si="15"/>
        <v>3279721</v>
      </c>
      <c r="P344" s="5">
        <f t="shared" si="16"/>
        <v>639</v>
      </c>
      <c r="Q344" s="19">
        <f t="shared" si="17"/>
        <v>0.1764218664</v>
      </c>
      <c r="R344" s="5">
        <f t="shared" si="18"/>
        <v>408321</v>
      </c>
      <c r="T344" s="5">
        <f t="shared" si="19"/>
        <v>-329</v>
      </c>
      <c r="U344" s="19">
        <f t="shared" si="20"/>
        <v>0.09083379348</v>
      </c>
      <c r="V344" s="5">
        <f t="shared" si="21"/>
        <v>108241</v>
      </c>
    </row>
    <row r="345">
      <c r="A345" s="4">
        <v>41032.0</v>
      </c>
      <c r="B345" s="5">
        <v>1029.0</v>
      </c>
      <c r="C345" s="5">
        <f t="shared" si="25"/>
        <v>1856</v>
      </c>
      <c r="D345" s="5">
        <f t="shared" si="23"/>
        <v>2984</v>
      </c>
      <c r="E345" s="5">
        <f t="shared" si="24"/>
        <v>3688</v>
      </c>
      <c r="L345" s="5">
        <f t="shared" si="13"/>
        <v>-827</v>
      </c>
      <c r="M345" s="19">
        <f t="shared" si="14"/>
        <v>0.8036929057</v>
      </c>
      <c r="N345" s="5">
        <f t="shared" si="15"/>
        <v>683929</v>
      </c>
      <c r="P345" s="5">
        <f t="shared" si="16"/>
        <v>-1955</v>
      </c>
      <c r="Q345" s="19">
        <f t="shared" si="17"/>
        <v>1.899902818</v>
      </c>
      <c r="R345" s="5">
        <f t="shared" si="18"/>
        <v>3822025</v>
      </c>
      <c r="T345" s="5">
        <f t="shared" si="19"/>
        <v>-2659</v>
      </c>
      <c r="U345" s="19">
        <f t="shared" si="20"/>
        <v>2.584062196</v>
      </c>
      <c r="V345" s="5">
        <f t="shared" si="21"/>
        <v>7070281</v>
      </c>
    </row>
    <row r="346">
      <c r="A346" s="4">
        <v>41033.0</v>
      </c>
      <c r="B346" s="5">
        <v>312.0</v>
      </c>
      <c r="C346" s="5">
        <f t="shared" si="25"/>
        <v>2004</v>
      </c>
      <c r="D346" s="5">
        <f t="shared" si="23"/>
        <v>2979</v>
      </c>
      <c r="E346" s="5">
        <f t="shared" si="24"/>
        <v>1561</v>
      </c>
      <c r="L346" s="5">
        <f t="shared" si="13"/>
        <v>-1692</v>
      </c>
      <c r="M346" s="19">
        <f t="shared" si="14"/>
        <v>5.423076923</v>
      </c>
      <c r="N346" s="5">
        <f t="shared" si="15"/>
        <v>2862864</v>
      </c>
      <c r="P346" s="5">
        <f t="shared" si="16"/>
        <v>-2667</v>
      </c>
      <c r="Q346" s="19">
        <f t="shared" si="17"/>
        <v>8.548076923</v>
      </c>
      <c r="R346" s="5">
        <f t="shared" si="18"/>
        <v>7112889</v>
      </c>
      <c r="T346" s="5">
        <f t="shared" si="19"/>
        <v>-1249</v>
      </c>
      <c r="U346" s="19">
        <f t="shared" si="20"/>
        <v>4.003205128</v>
      </c>
      <c r="V346" s="5">
        <f t="shared" si="21"/>
        <v>1560001</v>
      </c>
    </row>
    <row r="347">
      <c r="A347" s="4">
        <v>41036.0</v>
      </c>
      <c r="B347" s="5">
        <v>2192.0</v>
      </c>
      <c r="C347" s="5">
        <f t="shared" si="25"/>
        <v>2067</v>
      </c>
      <c r="D347" s="5">
        <f t="shared" si="23"/>
        <v>2971</v>
      </c>
      <c r="E347" s="5">
        <f t="shared" si="24"/>
        <v>562</v>
      </c>
      <c r="L347" s="5">
        <f t="shared" si="13"/>
        <v>125</v>
      </c>
      <c r="M347" s="19">
        <f t="shared" si="14"/>
        <v>0.05702554745</v>
      </c>
      <c r="N347" s="5">
        <f t="shared" si="15"/>
        <v>15625</v>
      </c>
      <c r="P347" s="5">
        <f t="shared" si="16"/>
        <v>-779</v>
      </c>
      <c r="Q347" s="19">
        <f t="shared" si="17"/>
        <v>0.3553832117</v>
      </c>
      <c r="R347" s="5">
        <f t="shared" si="18"/>
        <v>606841</v>
      </c>
      <c r="T347" s="5">
        <f t="shared" si="19"/>
        <v>1630</v>
      </c>
      <c r="U347" s="19">
        <f t="shared" si="20"/>
        <v>0.7436131387</v>
      </c>
      <c r="V347" s="5">
        <f t="shared" si="21"/>
        <v>2656900</v>
      </c>
    </row>
    <row r="348">
      <c r="A348" s="4">
        <v>41037.0</v>
      </c>
      <c r="B348" s="5">
        <v>4551.0</v>
      </c>
      <c r="C348" s="5">
        <f t="shared" si="25"/>
        <v>2395</v>
      </c>
      <c r="D348" s="5">
        <f t="shared" si="23"/>
        <v>2969</v>
      </c>
      <c r="E348" s="5">
        <f t="shared" si="24"/>
        <v>1866</v>
      </c>
      <c r="L348" s="5">
        <f t="shared" si="13"/>
        <v>2156</v>
      </c>
      <c r="M348" s="19">
        <f t="shared" si="14"/>
        <v>0.4737420347</v>
      </c>
      <c r="N348" s="5">
        <f t="shared" si="15"/>
        <v>4648336</v>
      </c>
      <c r="P348" s="5">
        <f t="shared" si="16"/>
        <v>1582</v>
      </c>
      <c r="Q348" s="19">
        <f t="shared" si="17"/>
        <v>0.3476159086</v>
      </c>
      <c r="R348" s="5">
        <f t="shared" si="18"/>
        <v>2502724</v>
      </c>
      <c r="T348" s="5">
        <f t="shared" si="19"/>
        <v>2685</v>
      </c>
      <c r="U348" s="19">
        <f t="shared" si="20"/>
        <v>0.5899802241</v>
      </c>
      <c r="V348" s="5">
        <f t="shared" si="21"/>
        <v>7209225</v>
      </c>
    </row>
    <row r="349">
      <c r="A349" s="4">
        <v>41038.0</v>
      </c>
      <c r="B349" s="5">
        <v>5530.0</v>
      </c>
      <c r="C349" s="5">
        <f t="shared" si="25"/>
        <v>2341</v>
      </c>
      <c r="D349" s="5">
        <f t="shared" si="23"/>
        <v>2973</v>
      </c>
      <c r="E349" s="5">
        <f t="shared" si="24"/>
        <v>4014</v>
      </c>
      <c r="L349" s="5">
        <f t="shared" si="13"/>
        <v>3189</v>
      </c>
      <c r="M349" s="19">
        <f t="shared" si="14"/>
        <v>0.5766726944</v>
      </c>
      <c r="N349" s="5">
        <f t="shared" si="15"/>
        <v>10169721</v>
      </c>
      <c r="P349" s="5">
        <f t="shared" si="16"/>
        <v>2557</v>
      </c>
      <c r="Q349" s="19">
        <f t="shared" si="17"/>
        <v>0.4623869801</v>
      </c>
      <c r="R349" s="5">
        <f t="shared" si="18"/>
        <v>6538249</v>
      </c>
      <c r="T349" s="5">
        <f t="shared" si="19"/>
        <v>1516</v>
      </c>
      <c r="U349" s="19">
        <f t="shared" si="20"/>
        <v>0.2741410488</v>
      </c>
      <c r="V349" s="5">
        <f t="shared" si="21"/>
        <v>2298256</v>
      </c>
    </row>
    <row r="350">
      <c r="A350" s="4">
        <v>41039.0</v>
      </c>
      <c r="B350" s="5">
        <v>1485.0</v>
      </c>
      <c r="C350" s="5">
        <f t="shared" si="25"/>
        <v>2723</v>
      </c>
      <c r="D350" s="5">
        <f t="shared" si="23"/>
        <v>2981</v>
      </c>
      <c r="E350" s="5">
        <f t="shared" si="24"/>
        <v>5227</v>
      </c>
      <c r="L350" s="5">
        <f t="shared" si="13"/>
        <v>-1238</v>
      </c>
      <c r="M350" s="19">
        <f t="shared" si="14"/>
        <v>0.8336700337</v>
      </c>
      <c r="N350" s="5">
        <f t="shared" si="15"/>
        <v>1532644</v>
      </c>
      <c r="P350" s="5">
        <f t="shared" si="16"/>
        <v>-1496</v>
      </c>
      <c r="Q350" s="19">
        <f t="shared" si="17"/>
        <v>1.007407407</v>
      </c>
      <c r="R350" s="5">
        <f t="shared" si="18"/>
        <v>2238016</v>
      </c>
      <c r="T350" s="5">
        <f t="shared" si="19"/>
        <v>-3742</v>
      </c>
      <c r="U350" s="19">
        <f t="shared" si="20"/>
        <v>2.51986532</v>
      </c>
      <c r="V350" s="5">
        <f t="shared" si="21"/>
        <v>14002564</v>
      </c>
    </row>
    <row r="351">
      <c r="A351" s="4">
        <v>41040.0</v>
      </c>
      <c r="B351" s="5">
        <v>206.0</v>
      </c>
      <c r="C351" s="5">
        <f t="shared" si="25"/>
        <v>2814</v>
      </c>
      <c r="D351" s="5">
        <f t="shared" si="23"/>
        <v>2976</v>
      </c>
      <c r="E351" s="5">
        <f t="shared" si="24"/>
        <v>2233</v>
      </c>
      <c r="L351" s="5">
        <f t="shared" si="13"/>
        <v>-2608</v>
      </c>
      <c r="M351" s="19">
        <f t="shared" si="14"/>
        <v>12.66019417</v>
      </c>
      <c r="N351" s="5">
        <f t="shared" si="15"/>
        <v>6801664</v>
      </c>
      <c r="P351" s="5">
        <f t="shared" si="16"/>
        <v>-2770</v>
      </c>
      <c r="Q351" s="19">
        <f t="shared" si="17"/>
        <v>13.44660194</v>
      </c>
      <c r="R351" s="5">
        <f t="shared" si="18"/>
        <v>7672900</v>
      </c>
      <c r="T351" s="5">
        <f t="shared" si="19"/>
        <v>-2027</v>
      </c>
      <c r="U351" s="19">
        <f t="shared" si="20"/>
        <v>9.839805825</v>
      </c>
      <c r="V351" s="5">
        <f t="shared" si="21"/>
        <v>4108729</v>
      </c>
    </row>
    <row r="352">
      <c r="A352" s="4">
        <v>41043.0</v>
      </c>
      <c r="B352" s="5">
        <v>1878.0</v>
      </c>
      <c r="C352" s="5">
        <f t="shared" si="25"/>
        <v>2793</v>
      </c>
      <c r="D352" s="5">
        <f t="shared" si="23"/>
        <v>2968</v>
      </c>
      <c r="E352" s="5">
        <f t="shared" si="24"/>
        <v>611</v>
      </c>
      <c r="L352" s="5">
        <f t="shared" si="13"/>
        <v>-915</v>
      </c>
      <c r="M352" s="19">
        <f t="shared" si="14"/>
        <v>0.4872204473</v>
      </c>
      <c r="N352" s="5">
        <f t="shared" si="15"/>
        <v>837225</v>
      </c>
      <c r="P352" s="5">
        <f t="shared" si="16"/>
        <v>-1090</v>
      </c>
      <c r="Q352" s="19">
        <f t="shared" si="17"/>
        <v>0.5804046858</v>
      </c>
      <c r="R352" s="5">
        <f t="shared" si="18"/>
        <v>1188100</v>
      </c>
      <c r="T352" s="5">
        <f t="shared" si="19"/>
        <v>1267</v>
      </c>
      <c r="U352" s="19">
        <f t="shared" si="20"/>
        <v>0.6746538871</v>
      </c>
      <c r="V352" s="5">
        <f t="shared" si="21"/>
        <v>1605289</v>
      </c>
    </row>
    <row r="353">
      <c r="A353" s="4">
        <v>41044.0</v>
      </c>
      <c r="B353" s="5">
        <v>4892.0</v>
      </c>
      <c r="C353" s="5">
        <f t="shared" si="25"/>
        <v>2730</v>
      </c>
      <c r="D353" s="5">
        <f t="shared" si="23"/>
        <v>2965</v>
      </c>
      <c r="E353" s="5">
        <f t="shared" si="24"/>
        <v>1625</v>
      </c>
      <c r="L353" s="5">
        <f t="shared" si="13"/>
        <v>2162</v>
      </c>
      <c r="M353" s="19">
        <f t="shared" si="14"/>
        <v>0.4419460343</v>
      </c>
      <c r="N353" s="5">
        <f t="shared" si="15"/>
        <v>4674244</v>
      </c>
      <c r="P353" s="5">
        <f t="shared" si="16"/>
        <v>1927</v>
      </c>
      <c r="Q353" s="19">
        <f t="shared" si="17"/>
        <v>0.3939084219</v>
      </c>
      <c r="R353" s="5">
        <f t="shared" si="18"/>
        <v>3713329</v>
      </c>
      <c r="T353" s="5">
        <f t="shared" si="19"/>
        <v>3267</v>
      </c>
      <c r="U353" s="19">
        <f t="shared" si="20"/>
        <v>0.6678250204</v>
      </c>
      <c r="V353" s="5">
        <f t="shared" si="21"/>
        <v>10673289</v>
      </c>
    </row>
    <row r="354">
      <c r="A354" s="4">
        <v>41045.0</v>
      </c>
      <c r="B354" s="5">
        <v>4950.0</v>
      </c>
      <c r="C354" s="5">
        <f t="shared" si="25"/>
        <v>2798</v>
      </c>
      <c r="D354" s="5">
        <f t="shared" si="23"/>
        <v>2971</v>
      </c>
      <c r="E354" s="5">
        <f t="shared" si="24"/>
        <v>4239</v>
      </c>
      <c r="L354" s="5">
        <f t="shared" si="13"/>
        <v>2152</v>
      </c>
      <c r="M354" s="19">
        <f t="shared" si="14"/>
        <v>0.4347474747</v>
      </c>
      <c r="N354" s="5">
        <f t="shared" si="15"/>
        <v>4631104</v>
      </c>
      <c r="P354" s="5">
        <f t="shared" si="16"/>
        <v>1979</v>
      </c>
      <c r="Q354" s="19">
        <f t="shared" si="17"/>
        <v>0.3997979798</v>
      </c>
      <c r="R354" s="5">
        <f t="shared" si="18"/>
        <v>3916441</v>
      </c>
      <c r="T354" s="5">
        <f t="shared" si="19"/>
        <v>711</v>
      </c>
      <c r="U354" s="19">
        <f t="shared" si="20"/>
        <v>0.1436363636</v>
      </c>
      <c r="V354" s="5">
        <f t="shared" si="21"/>
        <v>505521</v>
      </c>
    </row>
    <row r="355">
      <c r="A355" s="4">
        <v>41046.0</v>
      </c>
      <c r="B355" s="5">
        <v>1349.0</v>
      </c>
      <c r="C355" s="5">
        <f t="shared" si="25"/>
        <v>2682</v>
      </c>
      <c r="D355" s="5">
        <f t="shared" si="23"/>
        <v>2976</v>
      </c>
      <c r="E355" s="5">
        <f t="shared" si="24"/>
        <v>4808</v>
      </c>
      <c r="L355" s="5">
        <f t="shared" si="13"/>
        <v>-1333</v>
      </c>
      <c r="M355" s="19">
        <f t="shared" si="14"/>
        <v>0.9881393625</v>
      </c>
      <c r="N355" s="5">
        <f t="shared" si="15"/>
        <v>1776889</v>
      </c>
      <c r="P355" s="5">
        <f t="shared" si="16"/>
        <v>-1627</v>
      </c>
      <c r="Q355" s="19">
        <f t="shared" si="17"/>
        <v>1.206078577</v>
      </c>
      <c r="R355" s="5">
        <f t="shared" si="18"/>
        <v>2647129</v>
      </c>
      <c r="T355" s="5">
        <f t="shared" si="19"/>
        <v>-3459</v>
      </c>
      <c r="U355" s="19">
        <f t="shared" si="20"/>
        <v>2.564121572</v>
      </c>
      <c r="V355" s="5">
        <f t="shared" si="21"/>
        <v>11964681</v>
      </c>
    </row>
    <row r="356">
      <c r="A356" s="4">
        <v>41047.0</v>
      </c>
      <c r="B356" s="5">
        <v>229.0</v>
      </c>
      <c r="C356" s="5">
        <f t="shared" si="25"/>
        <v>2655</v>
      </c>
      <c r="D356" s="5">
        <f t="shared" si="23"/>
        <v>2972</v>
      </c>
      <c r="E356" s="5">
        <f t="shared" si="24"/>
        <v>2041</v>
      </c>
      <c r="L356" s="5">
        <f t="shared" si="13"/>
        <v>-2426</v>
      </c>
      <c r="M356" s="19">
        <f t="shared" si="14"/>
        <v>10.59388646</v>
      </c>
      <c r="N356" s="5">
        <f t="shared" si="15"/>
        <v>5885476</v>
      </c>
      <c r="P356" s="5">
        <f t="shared" si="16"/>
        <v>-2743</v>
      </c>
      <c r="Q356" s="19">
        <f t="shared" si="17"/>
        <v>11.97816594</v>
      </c>
      <c r="R356" s="5">
        <f t="shared" si="18"/>
        <v>7524049</v>
      </c>
      <c r="T356" s="5">
        <f t="shared" si="19"/>
        <v>-1812</v>
      </c>
      <c r="U356" s="19">
        <f t="shared" si="20"/>
        <v>7.912663755</v>
      </c>
      <c r="V356" s="5">
        <f t="shared" si="21"/>
        <v>3283344</v>
      </c>
    </row>
    <row r="357">
      <c r="A357" s="4">
        <v>41050.0</v>
      </c>
      <c r="B357" s="5">
        <v>2072.0</v>
      </c>
      <c r="C357" s="5">
        <f t="shared" si="25"/>
        <v>2660</v>
      </c>
      <c r="D357" s="5">
        <f t="shared" si="23"/>
        <v>2964</v>
      </c>
      <c r="E357" s="5">
        <f t="shared" si="24"/>
        <v>591</v>
      </c>
      <c r="L357" s="5">
        <f t="shared" si="13"/>
        <v>-588</v>
      </c>
      <c r="M357" s="19">
        <f t="shared" si="14"/>
        <v>0.2837837838</v>
      </c>
      <c r="N357" s="5">
        <f t="shared" si="15"/>
        <v>345744</v>
      </c>
      <c r="P357" s="5">
        <f t="shared" si="16"/>
        <v>-892</v>
      </c>
      <c r="Q357" s="19">
        <f t="shared" si="17"/>
        <v>0.4305019305</v>
      </c>
      <c r="R357" s="5">
        <f t="shared" si="18"/>
        <v>795664</v>
      </c>
      <c r="T357" s="5">
        <f t="shared" si="19"/>
        <v>1481</v>
      </c>
      <c r="U357" s="19">
        <f t="shared" si="20"/>
        <v>0.7147683398</v>
      </c>
      <c r="V357" s="5">
        <f t="shared" si="21"/>
        <v>2193361</v>
      </c>
    </row>
    <row r="358">
      <c r="A358" s="4">
        <v>41051.0</v>
      </c>
      <c r="B358" s="5">
        <v>7720.0</v>
      </c>
      <c r="C358" s="5">
        <f t="shared" si="25"/>
        <v>2698</v>
      </c>
      <c r="D358" s="5">
        <f t="shared" si="23"/>
        <v>2961</v>
      </c>
      <c r="E358" s="5">
        <f t="shared" si="24"/>
        <v>1776</v>
      </c>
      <c r="L358" s="5">
        <f t="shared" si="13"/>
        <v>5022</v>
      </c>
      <c r="M358" s="19">
        <f t="shared" si="14"/>
        <v>0.6505181347</v>
      </c>
      <c r="N358" s="5">
        <f t="shared" si="15"/>
        <v>25220484</v>
      </c>
      <c r="P358" s="5">
        <f t="shared" si="16"/>
        <v>4759</v>
      </c>
      <c r="Q358" s="19">
        <f t="shared" si="17"/>
        <v>0.6164507772</v>
      </c>
      <c r="R358" s="5">
        <f t="shared" si="18"/>
        <v>22648081</v>
      </c>
      <c r="T358" s="5">
        <f t="shared" si="19"/>
        <v>5944</v>
      </c>
      <c r="U358" s="19">
        <f t="shared" si="20"/>
        <v>0.7699481865</v>
      </c>
      <c r="V358" s="5">
        <f t="shared" si="21"/>
        <v>35331136</v>
      </c>
    </row>
    <row r="359">
      <c r="A359" s="4">
        <v>41052.0</v>
      </c>
      <c r="B359" s="5">
        <v>1314.0</v>
      </c>
      <c r="C359" s="5">
        <f t="shared" si="25"/>
        <v>3264</v>
      </c>
      <c r="D359" s="5">
        <f t="shared" si="23"/>
        <v>2975</v>
      </c>
      <c r="E359" s="5">
        <f t="shared" si="24"/>
        <v>6531</v>
      </c>
      <c r="L359" s="5">
        <f t="shared" si="13"/>
        <v>-1950</v>
      </c>
      <c r="M359" s="19">
        <f t="shared" si="14"/>
        <v>1.484018265</v>
      </c>
      <c r="N359" s="5">
        <f t="shared" si="15"/>
        <v>3802500</v>
      </c>
      <c r="P359" s="5">
        <f t="shared" si="16"/>
        <v>-1661</v>
      </c>
      <c r="Q359" s="19">
        <f t="shared" si="17"/>
        <v>1.264079148</v>
      </c>
      <c r="R359" s="5">
        <f t="shared" si="18"/>
        <v>2758921</v>
      </c>
      <c r="T359" s="5">
        <f t="shared" si="19"/>
        <v>-5217</v>
      </c>
      <c r="U359" s="19">
        <f t="shared" si="20"/>
        <v>3.970319635</v>
      </c>
      <c r="V359" s="5">
        <f t="shared" si="21"/>
        <v>27217089</v>
      </c>
    </row>
    <row r="360">
      <c r="A360" s="4">
        <v>41053.0</v>
      </c>
      <c r="B360" s="5">
        <v>1364.0</v>
      </c>
      <c r="C360" s="5">
        <f t="shared" si="25"/>
        <v>2537</v>
      </c>
      <c r="D360" s="5">
        <f t="shared" si="23"/>
        <v>2970</v>
      </c>
      <c r="E360" s="5">
        <f t="shared" si="24"/>
        <v>2357</v>
      </c>
      <c r="L360" s="5">
        <f t="shared" si="13"/>
        <v>-1173</v>
      </c>
      <c r="M360" s="19">
        <f t="shared" si="14"/>
        <v>0.8599706745</v>
      </c>
      <c r="N360" s="5">
        <f t="shared" si="15"/>
        <v>1375929</v>
      </c>
      <c r="P360" s="5">
        <f t="shared" si="16"/>
        <v>-1606</v>
      </c>
      <c r="Q360" s="19">
        <f t="shared" si="17"/>
        <v>1.177419355</v>
      </c>
      <c r="R360" s="5">
        <f t="shared" si="18"/>
        <v>2579236</v>
      </c>
      <c r="T360" s="5">
        <f t="shared" si="19"/>
        <v>-993</v>
      </c>
      <c r="U360" s="19">
        <f t="shared" si="20"/>
        <v>0.7280058651</v>
      </c>
      <c r="V360" s="5">
        <f t="shared" si="21"/>
        <v>986049</v>
      </c>
    </row>
    <row r="361">
      <c r="A361" s="4">
        <v>41054.0</v>
      </c>
      <c r="B361" s="5">
        <v>1088.0</v>
      </c>
      <c r="C361" s="5">
        <f t="shared" si="25"/>
        <v>2540</v>
      </c>
      <c r="D361" s="5">
        <f t="shared" si="23"/>
        <v>2966</v>
      </c>
      <c r="E361" s="5">
        <f t="shared" si="24"/>
        <v>1563</v>
      </c>
      <c r="L361" s="5">
        <f t="shared" si="13"/>
        <v>-1452</v>
      </c>
      <c r="M361" s="19">
        <f t="shared" si="14"/>
        <v>1.334558824</v>
      </c>
      <c r="N361" s="5">
        <f t="shared" si="15"/>
        <v>2108304</v>
      </c>
      <c r="P361" s="5">
        <f t="shared" si="16"/>
        <v>-1878</v>
      </c>
      <c r="Q361" s="19">
        <f t="shared" si="17"/>
        <v>1.726102941</v>
      </c>
      <c r="R361" s="5">
        <f t="shared" si="18"/>
        <v>3526884</v>
      </c>
      <c r="T361" s="5">
        <f t="shared" si="19"/>
        <v>-475</v>
      </c>
      <c r="U361" s="19">
        <f t="shared" si="20"/>
        <v>0.4365808824</v>
      </c>
      <c r="V361" s="5">
        <f t="shared" si="21"/>
        <v>225625</v>
      </c>
    </row>
    <row r="362">
      <c r="A362" s="4">
        <v>41058.0</v>
      </c>
      <c r="B362" s="5">
        <v>4497.0</v>
      </c>
      <c r="C362" s="5">
        <f t="shared" si="25"/>
        <v>2712</v>
      </c>
      <c r="D362" s="5">
        <f t="shared" si="23"/>
        <v>2960</v>
      </c>
      <c r="E362" s="5">
        <f t="shared" si="24"/>
        <v>1183</v>
      </c>
      <c r="L362" s="5">
        <f t="shared" si="13"/>
        <v>1785</v>
      </c>
      <c r="M362" s="19">
        <f t="shared" si="14"/>
        <v>0.3969312875</v>
      </c>
      <c r="N362" s="5">
        <f t="shared" si="15"/>
        <v>3186225</v>
      </c>
      <c r="P362" s="5">
        <f t="shared" si="16"/>
        <v>1537</v>
      </c>
      <c r="Q362" s="19">
        <f t="shared" si="17"/>
        <v>0.3417834112</v>
      </c>
      <c r="R362" s="5">
        <f t="shared" si="18"/>
        <v>2362369</v>
      </c>
      <c r="T362" s="5">
        <f t="shared" si="19"/>
        <v>3314</v>
      </c>
      <c r="U362" s="19">
        <f t="shared" si="20"/>
        <v>0.7369357349</v>
      </c>
      <c r="V362" s="5">
        <f t="shared" si="21"/>
        <v>10982596</v>
      </c>
    </row>
    <row r="363">
      <c r="A363" s="4">
        <v>41059.0</v>
      </c>
      <c r="B363" s="5">
        <v>5332.0</v>
      </c>
      <c r="C363" s="5">
        <f t="shared" si="25"/>
        <v>3197</v>
      </c>
      <c r="D363" s="5">
        <f t="shared" si="23"/>
        <v>2965</v>
      </c>
      <c r="E363" s="5">
        <f t="shared" si="24"/>
        <v>3834</v>
      </c>
      <c r="L363" s="5">
        <f t="shared" si="13"/>
        <v>2135</v>
      </c>
      <c r="M363" s="19">
        <f t="shared" si="14"/>
        <v>0.4004126032</v>
      </c>
      <c r="N363" s="5">
        <f t="shared" si="15"/>
        <v>4558225</v>
      </c>
      <c r="P363" s="5">
        <f t="shared" si="16"/>
        <v>2367</v>
      </c>
      <c r="Q363" s="19">
        <f t="shared" si="17"/>
        <v>0.4439234809</v>
      </c>
      <c r="R363" s="5">
        <f t="shared" si="18"/>
        <v>5602689</v>
      </c>
      <c r="T363" s="5">
        <f t="shared" si="19"/>
        <v>1498</v>
      </c>
      <c r="U363" s="19">
        <f t="shared" si="20"/>
        <v>0.2809452363</v>
      </c>
      <c r="V363" s="5">
        <f t="shared" si="21"/>
        <v>2244004</v>
      </c>
    </row>
    <row r="364">
      <c r="A364" s="4">
        <v>41060.0</v>
      </c>
      <c r="B364" s="5">
        <v>0.0</v>
      </c>
      <c r="C364" s="5">
        <f t="shared" si="25"/>
        <v>2719</v>
      </c>
      <c r="D364" s="5">
        <f t="shared" si="23"/>
        <v>2971</v>
      </c>
      <c r="E364" s="5">
        <f t="shared" si="24"/>
        <v>5032</v>
      </c>
      <c r="L364" s="5">
        <f t="shared" si="13"/>
        <v>-2719</v>
      </c>
      <c r="M364" s="19">
        <f t="shared" si="14"/>
        <v>1</v>
      </c>
      <c r="N364" s="5">
        <f t="shared" si="15"/>
        <v>7392961</v>
      </c>
      <c r="P364" s="5">
        <f t="shared" si="16"/>
        <v>-2971</v>
      </c>
      <c r="Q364" s="19">
        <f t="shared" si="17"/>
        <v>1</v>
      </c>
      <c r="R364" s="5">
        <f t="shared" si="18"/>
        <v>8826841</v>
      </c>
      <c r="T364" s="5">
        <f t="shared" si="19"/>
        <v>-5032</v>
      </c>
      <c r="U364" s="19">
        <f t="shared" si="20"/>
        <v>1</v>
      </c>
      <c r="V364" s="5">
        <f t="shared" si="21"/>
        <v>25321024</v>
      </c>
    </row>
    <row r="365">
      <c r="A365" s="2">
        <v>41061.0</v>
      </c>
      <c r="B365" s="5">
        <v>463.0</v>
      </c>
      <c r="C365" s="5">
        <f t="shared" si="25"/>
        <v>2456</v>
      </c>
      <c r="D365" s="5">
        <f t="shared" si="23"/>
        <v>2963</v>
      </c>
      <c r="E365" s="5">
        <f t="shared" si="24"/>
        <v>1006</v>
      </c>
      <c r="L365" s="5">
        <f t="shared" si="13"/>
        <v>-1993</v>
      </c>
      <c r="M365" s="19">
        <f t="shared" si="14"/>
        <v>4.304535637</v>
      </c>
      <c r="N365" s="5">
        <f t="shared" si="15"/>
        <v>3972049</v>
      </c>
      <c r="P365" s="5">
        <f t="shared" si="16"/>
        <v>-2500</v>
      </c>
      <c r="Q365" s="19">
        <f t="shared" si="17"/>
        <v>5.399568035</v>
      </c>
      <c r="R365" s="5">
        <f t="shared" si="18"/>
        <v>6250000</v>
      </c>
      <c r="T365" s="5">
        <f t="shared" si="19"/>
        <v>-543</v>
      </c>
      <c r="U365" s="19">
        <f t="shared" si="20"/>
        <v>1.172786177</v>
      </c>
      <c r="V365" s="5">
        <f t="shared" si="21"/>
        <v>294849</v>
      </c>
    </row>
    <row r="366">
      <c r="A366" s="2">
        <v>41064.0</v>
      </c>
      <c r="B366" s="5">
        <v>1397.0</v>
      </c>
      <c r="C366" s="5">
        <f t="shared" si="25"/>
        <v>2276</v>
      </c>
      <c r="D366" s="5">
        <f t="shared" si="23"/>
        <v>2956</v>
      </c>
      <c r="E366" s="5">
        <f t="shared" si="24"/>
        <v>572</v>
      </c>
      <c r="L366" s="5">
        <f t="shared" si="13"/>
        <v>-879</v>
      </c>
      <c r="M366" s="19">
        <f t="shared" si="14"/>
        <v>0.6292054402</v>
      </c>
      <c r="N366" s="5">
        <f t="shared" si="15"/>
        <v>772641</v>
      </c>
      <c r="P366" s="5">
        <f t="shared" si="16"/>
        <v>-1559</v>
      </c>
      <c r="Q366" s="19">
        <f t="shared" si="17"/>
        <v>1.115962777</v>
      </c>
      <c r="R366" s="5">
        <f t="shared" si="18"/>
        <v>2430481</v>
      </c>
      <c r="T366" s="5">
        <f t="shared" si="19"/>
        <v>825</v>
      </c>
      <c r="U366" s="19">
        <f t="shared" si="20"/>
        <v>0.5905511811</v>
      </c>
      <c r="V366" s="5">
        <f t="shared" si="21"/>
        <v>680625</v>
      </c>
    </row>
    <row r="367">
      <c r="A367" s="2">
        <v>41065.0</v>
      </c>
      <c r="B367" s="5">
        <v>4046.0</v>
      </c>
      <c r="C367" s="5">
        <f t="shared" si="25"/>
        <v>2338</v>
      </c>
      <c r="D367" s="5">
        <f t="shared" si="23"/>
        <v>2952</v>
      </c>
      <c r="E367" s="5">
        <f t="shared" si="24"/>
        <v>1232</v>
      </c>
      <c r="L367" s="5">
        <f t="shared" si="13"/>
        <v>1708</v>
      </c>
      <c r="M367" s="19">
        <f t="shared" si="14"/>
        <v>0.4221453287</v>
      </c>
      <c r="N367" s="5">
        <f t="shared" si="15"/>
        <v>2917264</v>
      </c>
      <c r="P367" s="5">
        <f t="shared" si="16"/>
        <v>1094</v>
      </c>
      <c r="Q367" s="19">
        <f t="shared" si="17"/>
        <v>0.2703905091</v>
      </c>
      <c r="R367" s="5">
        <f t="shared" si="18"/>
        <v>1196836</v>
      </c>
      <c r="T367" s="5">
        <f t="shared" si="19"/>
        <v>2814</v>
      </c>
      <c r="U367" s="19">
        <f t="shared" si="20"/>
        <v>0.6955017301</v>
      </c>
      <c r="V367" s="5">
        <f t="shared" si="21"/>
        <v>7918596</v>
      </c>
    </row>
    <row r="368">
      <c r="A368" s="2">
        <v>41066.0</v>
      </c>
      <c r="B368" s="5">
        <v>3170.0</v>
      </c>
      <c r="C368" s="5">
        <f t="shared" si="25"/>
        <v>2248</v>
      </c>
      <c r="D368" s="5">
        <f t="shared" si="23"/>
        <v>2955</v>
      </c>
      <c r="E368" s="5">
        <f t="shared" si="24"/>
        <v>3483</v>
      </c>
      <c r="L368" s="5">
        <f t="shared" si="13"/>
        <v>922</v>
      </c>
      <c r="M368" s="19">
        <f t="shared" si="14"/>
        <v>0.290851735</v>
      </c>
      <c r="N368" s="5">
        <f t="shared" si="15"/>
        <v>850084</v>
      </c>
      <c r="P368" s="5">
        <f t="shared" si="16"/>
        <v>215</v>
      </c>
      <c r="Q368" s="19">
        <f t="shared" si="17"/>
        <v>0.06782334385</v>
      </c>
      <c r="R368" s="5">
        <f t="shared" si="18"/>
        <v>46225</v>
      </c>
      <c r="T368" s="5">
        <f t="shared" si="19"/>
        <v>-313</v>
      </c>
      <c r="U368" s="19">
        <f t="shared" si="20"/>
        <v>0.09873817035</v>
      </c>
      <c r="V368" s="5">
        <f t="shared" si="21"/>
        <v>97969</v>
      </c>
    </row>
    <row r="369">
      <c r="A369" s="2">
        <v>41067.0</v>
      </c>
      <c r="B369" s="5">
        <v>1233.0</v>
      </c>
      <c r="C369" s="5">
        <f t="shared" si="25"/>
        <v>1815</v>
      </c>
      <c r="D369" s="5">
        <f t="shared" si="23"/>
        <v>2955</v>
      </c>
      <c r="E369" s="5">
        <f t="shared" si="24"/>
        <v>3233</v>
      </c>
      <c r="L369" s="5">
        <f t="shared" si="13"/>
        <v>-582</v>
      </c>
      <c r="M369" s="19">
        <f t="shared" si="14"/>
        <v>0.4720194647</v>
      </c>
      <c r="N369" s="5">
        <f t="shared" si="15"/>
        <v>338724</v>
      </c>
      <c r="P369" s="5">
        <f t="shared" si="16"/>
        <v>-1722</v>
      </c>
      <c r="Q369" s="19">
        <f t="shared" si="17"/>
        <v>1.396593674</v>
      </c>
      <c r="R369" s="5">
        <f t="shared" si="18"/>
        <v>2965284</v>
      </c>
      <c r="T369" s="5">
        <f t="shared" si="19"/>
        <v>-2000</v>
      </c>
      <c r="U369" s="19">
        <f t="shared" si="20"/>
        <v>1.622060016</v>
      </c>
      <c r="V369" s="5">
        <f t="shared" si="21"/>
        <v>4000000</v>
      </c>
    </row>
    <row r="370">
      <c r="A370" s="2">
        <v>41068.0</v>
      </c>
      <c r="B370" s="5">
        <v>158.0</v>
      </c>
      <c r="C370" s="5">
        <f t="shared" si="25"/>
        <v>2062</v>
      </c>
      <c r="D370" s="5">
        <f t="shared" si="23"/>
        <v>2951</v>
      </c>
      <c r="E370" s="5">
        <f t="shared" si="24"/>
        <v>1633</v>
      </c>
      <c r="L370" s="5">
        <f t="shared" si="13"/>
        <v>-1904</v>
      </c>
      <c r="M370" s="19">
        <f t="shared" si="14"/>
        <v>12.05063291</v>
      </c>
      <c r="N370" s="5">
        <f t="shared" si="15"/>
        <v>3625216</v>
      </c>
      <c r="P370" s="5">
        <f t="shared" si="16"/>
        <v>-2793</v>
      </c>
      <c r="Q370" s="19">
        <f t="shared" si="17"/>
        <v>17.67721519</v>
      </c>
      <c r="R370" s="5">
        <f t="shared" si="18"/>
        <v>7800849</v>
      </c>
      <c r="T370" s="5">
        <f t="shared" si="19"/>
        <v>-1475</v>
      </c>
      <c r="U370" s="19">
        <f t="shared" si="20"/>
        <v>9.335443038</v>
      </c>
      <c r="V370" s="5">
        <f t="shared" si="21"/>
        <v>2175625</v>
      </c>
    </row>
    <row r="371">
      <c r="A371" s="2">
        <v>41071.0</v>
      </c>
      <c r="B371" s="5">
        <v>2654.0</v>
      </c>
      <c r="C371" s="5">
        <f t="shared" si="25"/>
        <v>2001</v>
      </c>
      <c r="D371" s="5">
        <f t="shared" si="23"/>
        <v>2943</v>
      </c>
      <c r="E371" s="5">
        <f t="shared" si="24"/>
        <v>453</v>
      </c>
      <c r="L371" s="5">
        <f t="shared" si="13"/>
        <v>653</v>
      </c>
      <c r="M371" s="19">
        <f t="shared" si="14"/>
        <v>0.2460437076</v>
      </c>
      <c r="N371" s="5">
        <f t="shared" si="15"/>
        <v>426409</v>
      </c>
      <c r="P371" s="5">
        <f t="shared" si="16"/>
        <v>-289</v>
      </c>
      <c r="Q371" s="19">
        <f t="shared" si="17"/>
        <v>0.1088922381</v>
      </c>
      <c r="R371" s="5">
        <f t="shared" si="18"/>
        <v>83521</v>
      </c>
      <c r="T371" s="5">
        <f t="shared" si="19"/>
        <v>2201</v>
      </c>
      <c r="U371" s="19">
        <f t="shared" si="20"/>
        <v>0.8293142427</v>
      </c>
      <c r="V371" s="5">
        <f t="shared" si="21"/>
        <v>4844401</v>
      </c>
    </row>
    <row r="372">
      <c r="A372" s="2">
        <v>41072.0</v>
      </c>
      <c r="B372" s="5">
        <v>5506.0</v>
      </c>
      <c r="C372" s="5">
        <f t="shared" si="25"/>
        <v>2252</v>
      </c>
      <c r="D372" s="5">
        <f t="shared" si="23"/>
        <v>2942</v>
      </c>
      <c r="E372" s="5">
        <f t="shared" si="24"/>
        <v>2214</v>
      </c>
      <c r="L372" s="5">
        <f t="shared" si="13"/>
        <v>3254</v>
      </c>
      <c r="M372" s="19">
        <f t="shared" si="14"/>
        <v>0.5909916455</v>
      </c>
      <c r="N372" s="5">
        <f t="shared" si="15"/>
        <v>10588516</v>
      </c>
      <c r="P372" s="5">
        <f t="shared" si="16"/>
        <v>2564</v>
      </c>
      <c r="Q372" s="19">
        <f t="shared" si="17"/>
        <v>0.4656738104</v>
      </c>
      <c r="R372" s="5">
        <f t="shared" si="18"/>
        <v>6574096</v>
      </c>
      <c r="T372" s="5">
        <f t="shared" si="19"/>
        <v>3292</v>
      </c>
      <c r="U372" s="19">
        <f t="shared" si="20"/>
        <v>0.5978932074</v>
      </c>
      <c r="V372" s="5">
        <f t="shared" si="21"/>
        <v>10837264</v>
      </c>
    </row>
    <row r="373">
      <c r="A373" s="2">
        <v>41073.0</v>
      </c>
      <c r="B373" s="5">
        <v>2990.0</v>
      </c>
      <c r="C373" s="5">
        <f t="shared" si="25"/>
        <v>2544</v>
      </c>
      <c r="D373" s="5">
        <f t="shared" si="23"/>
        <v>2949</v>
      </c>
      <c r="E373" s="5">
        <f t="shared" si="24"/>
        <v>4848</v>
      </c>
      <c r="L373" s="5">
        <f t="shared" si="13"/>
        <v>446</v>
      </c>
      <c r="M373" s="19">
        <f t="shared" si="14"/>
        <v>0.1491638796</v>
      </c>
      <c r="N373" s="5">
        <f t="shared" si="15"/>
        <v>198916</v>
      </c>
      <c r="P373" s="5">
        <f t="shared" si="16"/>
        <v>41</v>
      </c>
      <c r="Q373" s="19">
        <f t="shared" si="17"/>
        <v>0.01371237458</v>
      </c>
      <c r="R373" s="5">
        <f t="shared" si="18"/>
        <v>1681</v>
      </c>
      <c r="T373" s="5">
        <f t="shared" si="19"/>
        <v>-1858</v>
      </c>
      <c r="U373" s="19">
        <f t="shared" si="20"/>
        <v>0.6214046823</v>
      </c>
      <c r="V373" s="5">
        <f t="shared" si="21"/>
        <v>3452164</v>
      </c>
    </row>
    <row r="374">
      <c r="A374" s="2">
        <v>41074.0</v>
      </c>
      <c r="B374" s="5">
        <v>1196.0</v>
      </c>
      <c r="C374" s="5">
        <f t="shared" si="25"/>
        <v>2508</v>
      </c>
      <c r="D374" s="5">
        <f t="shared" si="23"/>
        <v>2949</v>
      </c>
      <c r="E374" s="5">
        <f t="shared" si="24"/>
        <v>3362</v>
      </c>
      <c r="L374" s="5">
        <f t="shared" si="13"/>
        <v>-1312</v>
      </c>
      <c r="M374" s="19">
        <f t="shared" si="14"/>
        <v>1.096989967</v>
      </c>
      <c r="N374" s="5">
        <f t="shared" si="15"/>
        <v>1721344</v>
      </c>
      <c r="P374" s="5">
        <f t="shared" si="16"/>
        <v>-1753</v>
      </c>
      <c r="Q374" s="19">
        <f t="shared" si="17"/>
        <v>1.465719064</v>
      </c>
      <c r="R374" s="5">
        <f t="shared" si="18"/>
        <v>3073009</v>
      </c>
      <c r="T374" s="5">
        <f t="shared" si="19"/>
        <v>-2166</v>
      </c>
      <c r="U374" s="19">
        <f t="shared" si="20"/>
        <v>1.811036789</v>
      </c>
      <c r="V374" s="5">
        <f t="shared" si="21"/>
        <v>4691556</v>
      </c>
    </row>
    <row r="375">
      <c r="A375" s="2">
        <v>41075.0</v>
      </c>
      <c r="B375" s="5">
        <v>307.0</v>
      </c>
      <c r="C375" s="5">
        <f t="shared" si="25"/>
        <v>2501</v>
      </c>
      <c r="D375" s="5">
        <f t="shared" si="23"/>
        <v>2945</v>
      </c>
      <c r="E375" s="5">
        <f t="shared" si="24"/>
        <v>1629</v>
      </c>
      <c r="L375" s="5">
        <f t="shared" si="13"/>
        <v>-2194</v>
      </c>
      <c r="M375" s="19">
        <f t="shared" si="14"/>
        <v>7.146579805</v>
      </c>
      <c r="N375" s="5">
        <f t="shared" si="15"/>
        <v>4813636</v>
      </c>
      <c r="P375" s="5">
        <f t="shared" si="16"/>
        <v>-2638</v>
      </c>
      <c r="Q375" s="19">
        <f t="shared" si="17"/>
        <v>8.592833876</v>
      </c>
      <c r="R375" s="5">
        <f t="shared" si="18"/>
        <v>6959044</v>
      </c>
      <c r="T375" s="5">
        <f t="shared" si="19"/>
        <v>-1322</v>
      </c>
      <c r="U375" s="19">
        <f t="shared" si="20"/>
        <v>4.306188925</v>
      </c>
      <c r="V375" s="5">
        <f t="shared" si="21"/>
        <v>1747684</v>
      </c>
    </row>
    <row r="376">
      <c r="A376" s="2">
        <v>41078.0</v>
      </c>
      <c r="B376" s="5">
        <v>1588.0</v>
      </c>
      <c r="C376" s="5">
        <f t="shared" si="25"/>
        <v>2531</v>
      </c>
      <c r="D376" s="5">
        <f t="shared" si="23"/>
        <v>2938</v>
      </c>
      <c r="E376" s="5">
        <f t="shared" si="24"/>
        <v>571</v>
      </c>
      <c r="L376" s="5">
        <f t="shared" si="13"/>
        <v>-943</v>
      </c>
      <c r="M376" s="19">
        <f t="shared" si="14"/>
        <v>0.5938287154</v>
      </c>
      <c r="N376" s="5">
        <f t="shared" si="15"/>
        <v>889249</v>
      </c>
      <c r="P376" s="5">
        <f t="shared" si="16"/>
        <v>-1350</v>
      </c>
      <c r="Q376" s="19">
        <f t="shared" si="17"/>
        <v>0.8501259446</v>
      </c>
      <c r="R376" s="5">
        <f t="shared" si="18"/>
        <v>1822500</v>
      </c>
      <c r="T376" s="5">
        <f t="shared" si="19"/>
        <v>1017</v>
      </c>
      <c r="U376" s="19">
        <f t="shared" si="20"/>
        <v>0.6404282116</v>
      </c>
      <c r="V376" s="5">
        <f t="shared" si="21"/>
        <v>1034289</v>
      </c>
    </row>
    <row r="377">
      <c r="A377" s="2">
        <v>41079.0</v>
      </c>
      <c r="B377" s="5">
        <v>4639.0</v>
      </c>
      <c r="C377" s="5">
        <f t="shared" si="25"/>
        <v>2317</v>
      </c>
      <c r="D377" s="5">
        <f t="shared" si="23"/>
        <v>2934</v>
      </c>
      <c r="E377" s="5">
        <f t="shared" si="24"/>
        <v>1385</v>
      </c>
      <c r="L377" s="5">
        <f t="shared" si="13"/>
        <v>2322</v>
      </c>
      <c r="M377" s="19">
        <f t="shared" si="14"/>
        <v>0.5005389092</v>
      </c>
      <c r="N377" s="5">
        <f t="shared" si="15"/>
        <v>5391684</v>
      </c>
      <c r="P377" s="5">
        <f t="shared" si="16"/>
        <v>1705</v>
      </c>
      <c r="Q377" s="19">
        <f t="shared" si="17"/>
        <v>0.3675361069</v>
      </c>
      <c r="R377" s="5">
        <f t="shared" si="18"/>
        <v>2907025</v>
      </c>
      <c r="T377" s="5">
        <f t="shared" si="19"/>
        <v>3254</v>
      </c>
      <c r="U377" s="19">
        <f t="shared" si="20"/>
        <v>0.7014442768</v>
      </c>
      <c r="V377" s="5">
        <f t="shared" si="21"/>
        <v>10588516</v>
      </c>
    </row>
    <row r="378">
      <c r="A378" s="2">
        <v>41080.0</v>
      </c>
      <c r="B378" s="5">
        <v>3559.0</v>
      </c>
      <c r="C378" s="5">
        <f t="shared" si="25"/>
        <v>2144</v>
      </c>
      <c r="D378" s="5">
        <f t="shared" si="23"/>
        <v>2938</v>
      </c>
      <c r="E378" s="5">
        <f t="shared" si="24"/>
        <v>3988</v>
      </c>
      <c r="L378" s="5">
        <f t="shared" si="13"/>
        <v>1415</v>
      </c>
      <c r="M378" s="19">
        <f t="shared" si="14"/>
        <v>0.3975835909</v>
      </c>
      <c r="N378" s="5">
        <f t="shared" si="15"/>
        <v>2002225</v>
      </c>
      <c r="P378" s="5">
        <f t="shared" si="16"/>
        <v>621</v>
      </c>
      <c r="Q378" s="19">
        <f t="shared" si="17"/>
        <v>0.1744872155</v>
      </c>
      <c r="R378" s="5">
        <f t="shared" si="18"/>
        <v>385641</v>
      </c>
      <c r="T378" s="5">
        <f t="shared" si="19"/>
        <v>-429</v>
      </c>
      <c r="U378" s="19">
        <f t="shared" si="20"/>
        <v>0.1205394774</v>
      </c>
      <c r="V378" s="5">
        <f t="shared" si="21"/>
        <v>184041</v>
      </c>
    </row>
    <row r="379">
      <c r="A379" s="2">
        <v>41081.0</v>
      </c>
      <c r="B379" s="5">
        <v>1015.0</v>
      </c>
      <c r="C379" s="5">
        <f t="shared" si="25"/>
        <v>2258</v>
      </c>
      <c r="D379" s="5">
        <f t="shared" si="23"/>
        <v>2940</v>
      </c>
      <c r="E379" s="5">
        <f t="shared" si="24"/>
        <v>3645</v>
      </c>
      <c r="L379" s="5">
        <f t="shared" si="13"/>
        <v>-1243</v>
      </c>
      <c r="M379" s="19">
        <f t="shared" si="14"/>
        <v>1.224630542</v>
      </c>
      <c r="N379" s="5">
        <f t="shared" si="15"/>
        <v>1545049</v>
      </c>
      <c r="P379" s="5">
        <f t="shared" si="16"/>
        <v>-1925</v>
      </c>
      <c r="Q379" s="19">
        <f t="shared" si="17"/>
        <v>1.896551724</v>
      </c>
      <c r="R379" s="5">
        <f t="shared" si="18"/>
        <v>3705625</v>
      </c>
      <c r="T379" s="5">
        <f t="shared" si="19"/>
        <v>-2630</v>
      </c>
      <c r="U379" s="19">
        <f t="shared" si="20"/>
        <v>2.591133005</v>
      </c>
      <c r="V379" s="5">
        <f t="shared" si="21"/>
        <v>6916900</v>
      </c>
    </row>
    <row r="380">
      <c r="A380" s="2">
        <v>41082.0</v>
      </c>
      <c r="B380" s="5">
        <v>207.0</v>
      </c>
      <c r="C380" s="5">
        <f t="shared" si="25"/>
        <v>2222</v>
      </c>
      <c r="D380" s="5">
        <f t="shared" si="23"/>
        <v>2935</v>
      </c>
      <c r="E380" s="5">
        <f t="shared" si="24"/>
        <v>1541</v>
      </c>
      <c r="L380" s="5">
        <f t="shared" si="13"/>
        <v>-2015</v>
      </c>
      <c r="M380" s="19">
        <f t="shared" si="14"/>
        <v>9.734299517</v>
      </c>
      <c r="N380" s="5">
        <f t="shared" si="15"/>
        <v>4060225</v>
      </c>
      <c r="P380" s="5">
        <f t="shared" si="16"/>
        <v>-2728</v>
      </c>
      <c r="Q380" s="19">
        <f t="shared" si="17"/>
        <v>13.17874396</v>
      </c>
      <c r="R380" s="5">
        <f t="shared" si="18"/>
        <v>7441984</v>
      </c>
      <c r="T380" s="5">
        <f t="shared" si="19"/>
        <v>-1334</v>
      </c>
      <c r="U380" s="19">
        <f t="shared" si="20"/>
        <v>6.444444444</v>
      </c>
      <c r="V380" s="5">
        <f t="shared" si="21"/>
        <v>1779556</v>
      </c>
    </row>
    <row r="381">
      <c r="A381" s="2">
        <v>41085.0</v>
      </c>
      <c r="B381" s="5">
        <v>5036.0</v>
      </c>
      <c r="C381" s="5">
        <f t="shared" si="25"/>
        <v>2202</v>
      </c>
      <c r="D381" s="5">
        <f t="shared" si="23"/>
        <v>2928</v>
      </c>
      <c r="E381" s="5">
        <f t="shared" si="24"/>
        <v>474</v>
      </c>
      <c r="L381" s="5">
        <f t="shared" si="13"/>
        <v>2834</v>
      </c>
      <c r="M381" s="19">
        <f t="shared" si="14"/>
        <v>0.5627482129</v>
      </c>
      <c r="N381" s="5">
        <f t="shared" si="15"/>
        <v>8031556</v>
      </c>
      <c r="P381" s="5">
        <f t="shared" si="16"/>
        <v>2108</v>
      </c>
      <c r="Q381" s="19">
        <f t="shared" si="17"/>
        <v>0.4185861795</v>
      </c>
      <c r="R381" s="5">
        <f t="shared" si="18"/>
        <v>4443664</v>
      </c>
      <c r="T381" s="5">
        <f t="shared" si="19"/>
        <v>4562</v>
      </c>
      <c r="U381" s="19">
        <f t="shared" si="20"/>
        <v>0.9058776807</v>
      </c>
      <c r="V381" s="5">
        <f t="shared" si="21"/>
        <v>20811844</v>
      </c>
    </row>
    <row r="382">
      <c r="A382" s="2">
        <v>41086.0</v>
      </c>
      <c r="B382" s="5">
        <v>7454.0</v>
      </c>
      <c r="C382" s="5">
        <f t="shared" si="25"/>
        <v>2891</v>
      </c>
      <c r="D382" s="5">
        <f t="shared" si="23"/>
        <v>2933</v>
      </c>
      <c r="E382" s="5">
        <f t="shared" si="24"/>
        <v>4124</v>
      </c>
      <c r="L382" s="5">
        <f t="shared" si="13"/>
        <v>4563</v>
      </c>
      <c r="M382" s="19">
        <f t="shared" si="14"/>
        <v>0.6121545479</v>
      </c>
      <c r="N382" s="5">
        <f t="shared" si="15"/>
        <v>20820969</v>
      </c>
      <c r="P382" s="5">
        <f t="shared" si="16"/>
        <v>4521</v>
      </c>
      <c r="Q382" s="19">
        <f t="shared" si="17"/>
        <v>0.6065199893</v>
      </c>
      <c r="R382" s="5">
        <f t="shared" si="18"/>
        <v>20439441</v>
      </c>
      <c r="T382" s="5">
        <f t="shared" si="19"/>
        <v>3330</v>
      </c>
      <c r="U382" s="19">
        <f t="shared" si="20"/>
        <v>0.4467400054</v>
      </c>
      <c r="V382" s="5">
        <f t="shared" si="21"/>
        <v>11088900</v>
      </c>
    </row>
    <row r="383">
      <c r="A383" s="2">
        <v>41087.0</v>
      </c>
      <c r="B383" s="5">
        <v>5668.0</v>
      </c>
      <c r="C383" s="5">
        <f t="shared" si="25"/>
        <v>3454</v>
      </c>
      <c r="D383" s="5">
        <f t="shared" si="23"/>
        <v>2945</v>
      </c>
      <c r="E383" s="5">
        <f t="shared" si="24"/>
        <v>6788</v>
      </c>
      <c r="L383" s="5">
        <f t="shared" si="13"/>
        <v>2214</v>
      </c>
      <c r="M383" s="19">
        <f t="shared" si="14"/>
        <v>0.3906139732</v>
      </c>
      <c r="N383" s="5">
        <f t="shared" si="15"/>
        <v>4901796</v>
      </c>
      <c r="P383" s="5">
        <f t="shared" si="16"/>
        <v>2723</v>
      </c>
      <c r="Q383" s="19">
        <f t="shared" si="17"/>
        <v>0.4804163726</v>
      </c>
      <c r="R383" s="5">
        <f t="shared" si="18"/>
        <v>7414729</v>
      </c>
      <c r="T383" s="5">
        <f t="shared" si="19"/>
        <v>-1120</v>
      </c>
      <c r="U383" s="19">
        <f t="shared" si="20"/>
        <v>0.1976005646</v>
      </c>
      <c r="V383" s="5">
        <f t="shared" si="21"/>
        <v>1254400</v>
      </c>
    </row>
    <row r="384">
      <c r="A384" s="2">
        <v>41088.0</v>
      </c>
      <c r="B384" s="5">
        <v>1219.0</v>
      </c>
      <c r="C384" s="5">
        <f t="shared" si="25"/>
        <v>3876</v>
      </c>
      <c r="D384" s="5">
        <f t="shared" si="23"/>
        <v>2952</v>
      </c>
      <c r="E384" s="5">
        <f t="shared" si="24"/>
        <v>5892</v>
      </c>
      <c r="L384" s="5">
        <f t="shared" si="13"/>
        <v>-2657</v>
      </c>
      <c r="M384" s="19">
        <f t="shared" si="14"/>
        <v>2.179655455</v>
      </c>
      <c r="N384" s="5">
        <f t="shared" si="15"/>
        <v>7059649</v>
      </c>
      <c r="P384" s="5">
        <f t="shared" si="16"/>
        <v>-1733</v>
      </c>
      <c r="Q384" s="19">
        <f t="shared" si="17"/>
        <v>1.421657096</v>
      </c>
      <c r="R384" s="5">
        <f t="shared" si="18"/>
        <v>3003289</v>
      </c>
      <c r="T384" s="5">
        <f t="shared" si="19"/>
        <v>-4673</v>
      </c>
      <c r="U384" s="19">
        <f t="shared" si="20"/>
        <v>3.833470057</v>
      </c>
      <c r="V384" s="5">
        <f t="shared" si="21"/>
        <v>21836929</v>
      </c>
    </row>
    <row r="385">
      <c r="A385" s="2">
        <v>41089.0</v>
      </c>
      <c r="B385" s="5">
        <v>52.0</v>
      </c>
      <c r="C385" s="5">
        <f t="shared" si="25"/>
        <v>3917</v>
      </c>
      <c r="D385" s="5">
        <f t="shared" si="23"/>
        <v>2948</v>
      </c>
      <c r="E385" s="5">
        <f t="shared" si="24"/>
        <v>2154</v>
      </c>
      <c r="L385" s="5">
        <f t="shared" si="13"/>
        <v>-3865</v>
      </c>
      <c r="M385" s="19">
        <f t="shared" si="14"/>
        <v>74.32692308</v>
      </c>
      <c r="N385" s="5">
        <f t="shared" si="15"/>
        <v>14938225</v>
      </c>
      <c r="P385" s="5">
        <f t="shared" si="16"/>
        <v>-2896</v>
      </c>
      <c r="Q385" s="19">
        <f t="shared" si="17"/>
        <v>55.69230769</v>
      </c>
      <c r="R385" s="5">
        <f t="shared" si="18"/>
        <v>8386816</v>
      </c>
      <c r="T385" s="5">
        <f t="shared" si="19"/>
        <v>-2102</v>
      </c>
      <c r="U385" s="19">
        <f t="shared" si="20"/>
        <v>40.42307692</v>
      </c>
      <c r="V385" s="5">
        <f t="shared" si="21"/>
        <v>4418404</v>
      </c>
    </row>
    <row r="386">
      <c r="A386" s="2">
        <v>41092.0</v>
      </c>
      <c r="B386" s="5">
        <v>6959.0</v>
      </c>
      <c r="C386" s="5">
        <f t="shared" si="25"/>
        <v>3886</v>
      </c>
      <c r="D386" s="5">
        <f t="shared" si="23"/>
        <v>2940</v>
      </c>
      <c r="E386" s="5">
        <f t="shared" si="24"/>
        <v>472</v>
      </c>
      <c r="L386" s="5">
        <f t="shared" si="13"/>
        <v>3073</v>
      </c>
      <c r="M386" s="19">
        <f t="shared" si="14"/>
        <v>0.4415864348</v>
      </c>
      <c r="N386" s="5">
        <f t="shared" si="15"/>
        <v>9443329</v>
      </c>
      <c r="P386" s="5">
        <f t="shared" si="16"/>
        <v>4019</v>
      </c>
      <c r="Q386" s="19">
        <f t="shared" si="17"/>
        <v>0.5775255065</v>
      </c>
      <c r="R386" s="5">
        <f t="shared" si="18"/>
        <v>16152361</v>
      </c>
      <c r="T386" s="5">
        <f t="shared" si="19"/>
        <v>6487</v>
      </c>
      <c r="U386" s="19">
        <f t="shared" si="20"/>
        <v>0.932174163</v>
      </c>
      <c r="V386" s="5">
        <f t="shared" si="21"/>
        <v>42081169</v>
      </c>
    </row>
    <row r="387">
      <c r="A387" s="2">
        <v>41093.0</v>
      </c>
      <c r="B387" s="5">
        <v>4963.0</v>
      </c>
      <c r="C387" s="5">
        <f t="shared" si="25"/>
        <v>4270</v>
      </c>
      <c r="D387" s="5">
        <f t="shared" si="23"/>
        <v>2951</v>
      </c>
      <c r="E387" s="5">
        <f t="shared" si="24"/>
        <v>5662</v>
      </c>
      <c r="L387" s="5">
        <f t="shared" si="13"/>
        <v>693</v>
      </c>
      <c r="M387" s="19">
        <f t="shared" si="14"/>
        <v>0.1396332863</v>
      </c>
      <c r="N387" s="5">
        <f t="shared" si="15"/>
        <v>480249</v>
      </c>
      <c r="P387" s="5">
        <f t="shared" si="16"/>
        <v>2012</v>
      </c>
      <c r="Q387" s="19">
        <f t="shared" si="17"/>
        <v>0.4053999597</v>
      </c>
      <c r="R387" s="5">
        <f t="shared" si="18"/>
        <v>4048144</v>
      </c>
      <c r="T387" s="5">
        <f t="shared" si="19"/>
        <v>-699</v>
      </c>
      <c r="U387" s="19">
        <f t="shared" si="20"/>
        <v>0.1408422325</v>
      </c>
      <c r="V387" s="5">
        <f t="shared" si="21"/>
        <v>488601</v>
      </c>
    </row>
    <row r="388">
      <c r="A388" s="2">
        <v>41095.0</v>
      </c>
      <c r="B388" s="5">
        <v>2176.0</v>
      </c>
      <c r="C388" s="5">
        <f t="shared" si="25"/>
        <v>3772</v>
      </c>
      <c r="D388" s="5">
        <f t="shared" si="23"/>
        <v>2956</v>
      </c>
      <c r="E388" s="5">
        <f t="shared" si="24"/>
        <v>5103</v>
      </c>
      <c r="L388" s="5">
        <f t="shared" si="13"/>
        <v>-1596</v>
      </c>
      <c r="M388" s="19">
        <f t="shared" si="14"/>
        <v>0.7334558824</v>
      </c>
      <c r="N388" s="5">
        <f t="shared" si="15"/>
        <v>2547216</v>
      </c>
      <c r="P388" s="5">
        <f t="shared" si="16"/>
        <v>-780</v>
      </c>
      <c r="Q388" s="19">
        <f t="shared" si="17"/>
        <v>0.3584558824</v>
      </c>
      <c r="R388" s="5">
        <f t="shared" si="18"/>
        <v>608400</v>
      </c>
      <c r="T388" s="5">
        <f t="shared" si="19"/>
        <v>-2927</v>
      </c>
      <c r="U388" s="19">
        <f t="shared" si="20"/>
        <v>1.345128676</v>
      </c>
      <c r="V388" s="5">
        <f t="shared" si="21"/>
        <v>8567329</v>
      </c>
    </row>
    <row r="389">
      <c r="A389" s="2">
        <v>41096.0</v>
      </c>
      <c r="B389" s="5">
        <v>50.0</v>
      </c>
      <c r="C389" s="5">
        <f t="shared" si="25"/>
        <v>3074</v>
      </c>
      <c r="D389" s="5">
        <f t="shared" si="23"/>
        <v>2954</v>
      </c>
      <c r="E389" s="5">
        <f t="shared" si="24"/>
        <v>2761</v>
      </c>
      <c r="L389" s="5">
        <f t="shared" si="13"/>
        <v>-3024</v>
      </c>
      <c r="M389" s="19">
        <f t="shared" si="14"/>
        <v>60.48</v>
      </c>
      <c r="N389" s="5">
        <f t="shared" si="15"/>
        <v>9144576</v>
      </c>
      <c r="P389" s="5">
        <f t="shared" si="16"/>
        <v>-2904</v>
      </c>
      <c r="Q389" s="19">
        <f t="shared" si="17"/>
        <v>58.08</v>
      </c>
      <c r="R389" s="5">
        <f t="shared" si="18"/>
        <v>8433216</v>
      </c>
      <c r="T389" s="5">
        <f t="shared" si="19"/>
        <v>-2711</v>
      </c>
      <c r="U389" s="19">
        <f t="shared" si="20"/>
        <v>54.22</v>
      </c>
      <c r="V389" s="5">
        <f t="shared" si="21"/>
        <v>7349521</v>
      </c>
    </row>
    <row r="390">
      <c r="A390" s="2">
        <v>41099.0</v>
      </c>
      <c r="B390" s="5">
        <v>1432.0</v>
      </c>
      <c r="C390" s="5">
        <f t="shared" si="25"/>
        <v>2840</v>
      </c>
      <c r="D390" s="5">
        <f t="shared" si="23"/>
        <v>2947</v>
      </c>
      <c r="E390" s="5">
        <f t="shared" si="24"/>
        <v>592</v>
      </c>
      <c r="L390" s="5">
        <f t="shared" si="13"/>
        <v>-1408</v>
      </c>
      <c r="M390" s="19">
        <f t="shared" si="14"/>
        <v>0.9832402235</v>
      </c>
      <c r="N390" s="5">
        <f t="shared" si="15"/>
        <v>1982464</v>
      </c>
      <c r="P390" s="5">
        <f t="shared" si="16"/>
        <v>-1515</v>
      </c>
      <c r="Q390" s="19">
        <f t="shared" si="17"/>
        <v>1.057960894</v>
      </c>
      <c r="R390" s="5">
        <f t="shared" si="18"/>
        <v>2295225</v>
      </c>
      <c r="T390" s="5">
        <f t="shared" si="19"/>
        <v>840</v>
      </c>
      <c r="U390" s="19">
        <f t="shared" si="20"/>
        <v>0.5865921788</v>
      </c>
      <c r="V390" s="5">
        <f t="shared" si="21"/>
        <v>705600</v>
      </c>
    </row>
    <row r="391">
      <c r="A391" s="2">
        <v>41100.0</v>
      </c>
      <c r="B391" s="5">
        <v>3352.0</v>
      </c>
      <c r="C391" s="5">
        <f t="shared" si="25"/>
        <v>3116</v>
      </c>
      <c r="D391" s="5">
        <f t="shared" si="23"/>
        <v>2943</v>
      </c>
      <c r="E391" s="5">
        <f t="shared" si="24"/>
        <v>1264</v>
      </c>
      <c r="L391" s="5">
        <f t="shared" si="13"/>
        <v>236</v>
      </c>
      <c r="M391" s="19">
        <f t="shared" si="14"/>
        <v>0.07040572792</v>
      </c>
      <c r="N391" s="5">
        <f t="shared" si="15"/>
        <v>55696</v>
      </c>
      <c r="P391" s="5">
        <f t="shared" si="16"/>
        <v>409</v>
      </c>
      <c r="Q391" s="19">
        <f t="shared" si="17"/>
        <v>0.1220167064</v>
      </c>
      <c r="R391" s="5">
        <f t="shared" si="18"/>
        <v>167281</v>
      </c>
      <c r="T391" s="5">
        <f t="shared" si="19"/>
        <v>2088</v>
      </c>
      <c r="U391" s="19">
        <f t="shared" si="20"/>
        <v>0.6229116945</v>
      </c>
      <c r="V391" s="5">
        <f t="shared" si="21"/>
        <v>4359744</v>
      </c>
    </row>
    <row r="392">
      <c r="A392" s="2">
        <v>41101.0</v>
      </c>
      <c r="B392" s="5">
        <v>4383.0</v>
      </c>
      <c r="C392" s="5">
        <f t="shared" si="25"/>
        <v>2395</v>
      </c>
      <c r="D392" s="5">
        <f t="shared" si="23"/>
        <v>2944</v>
      </c>
      <c r="E392" s="5">
        <f t="shared" si="24"/>
        <v>2934</v>
      </c>
      <c r="L392" s="5">
        <f t="shared" si="13"/>
        <v>1988</v>
      </c>
      <c r="M392" s="19">
        <f t="shared" si="14"/>
        <v>0.4535706137</v>
      </c>
      <c r="N392" s="5">
        <f t="shared" si="15"/>
        <v>3952144</v>
      </c>
      <c r="P392" s="5">
        <f t="shared" si="16"/>
        <v>1439</v>
      </c>
      <c r="Q392" s="19">
        <f t="shared" si="17"/>
        <v>0.3283139402</v>
      </c>
      <c r="R392" s="5">
        <f t="shared" si="18"/>
        <v>2070721</v>
      </c>
      <c r="T392" s="5">
        <f t="shared" si="19"/>
        <v>1449</v>
      </c>
      <c r="U392" s="19">
        <f t="shared" si="20"/>
        <v>0.3305954825</v>
      </c>
      <c r="V392" s="5">
        <f t="shared" si="21"/>
        <v>2099601</v>
      </c>
    </row>
    <row r="393">
      <c r="A393" s="2">
        <v>41102.0</v>
      </c>
      <c r="B393" s="5">
        <v>982.0</v>
      </c>
      <c r="C393" s="5">
        <f t="shared" si="25"/>
        <v>2279</v>
      </c>
      <c r="D393" s="5">
        <f t="shared" si="23"/>
        <v>2947</v>
      </c>
      <c r="E393" s="5">
        <f t="shared" si="24"/>
        <v>4093</v>
      </c>
      <c r="L393" s="5">
        <f t="shared" si="13"/>
        <v>-1297</v>
      </c>
      <c r="M393" s="19">
        <f t="shared" si="14"/>
        <v>1.320773931</v>
      </c>
      <c r="N393" s="5">
        <f t="shared" si="15"/>
        <v>1682209</v>
      </c>
      <c r="P393" s="5">
        <f t="shared" si="16"/>
        <v>-1965</v>
      </c>
      <c r="Q393" s="19">
        <f t="shared" si="17"/>
        <v>2.00101833</v>
      </c>
      <c r="R393" s="5">
        <f t="shared" si="18"/>
        <v>3861225</v>
      </c>
      <c r="T393" s="5">
        <f t="shared" si="19"/>
        <v>-3111</v>
      </c>
      <c r="U393" s="19">
        <f t="shared" si="20"/>
        <v>3.16802444</v>
      </c>
      <c r="V393" s="5">
        <f t="shared" si="21"/>
        <v>9678321</v>
      </c>
    </row>
    <row r="394">
      <c r="A394" s="2">
        <v>41103.0</v>
      </c>
      <c r="B394" s="5">
        <v>256.0</v>
      </c>
      <c r="C394" s="5">
        <f t="shared" si="25"/>
        <v>2040</v>
      </c>
      <c r="D394" s="5">
        <f t="shared" si="23"/>
        <v>2942</v>
      </c>
      <c r="E394" s="5">
        <f t="shared" si="24"/>
        <v>1604</v>
      </c>
      <c r="L394" s="5">
        <f t="shared" si="13"/>
        <v>-1784</v>
      </c>
      <c r="M394" s="19">
        <f t="shared" si="14"/>
        <v>6.96875</v>
      </c>
      <c r="N394" s="5">
        <f t="shared" si="15"/>
        <v>3182656</v>
      </c>
      <c r="P394" s="5">
        <f t="shared" si="16"/>
        <v>-2686</v>
      </c>
      <c r="Q394" s="19">
        <f t="shared" si="17"/>
        <v>10.4921875</v>
      </c>
      <c r="R394" s="5">
        <f t="shared" si="18"/>
        <v>7214596</v>
      </c>
      <c r="T394" s="5">
        <f t="shared" si="19"/>
        <v>-1348</v>
      </c>
      <c r="U394" s="19">
        <f t="shared" si="20"/>
        <v>5.265625</v>
      </c>
      <c r="V394" s="5">
        <f t="shared" si="21"/>
        <v>1817104</v>
      </c>
    </row>
    <row r="395">
      <c r="A395" s="2">
        <v>41106.0</v>
      </c>
      <c r="B395" s="5">
        <v>1683.0</v>
      </c>
      <c r="C395" s="5">
        <f t="shared" si="25"/>
        <v>2081</v>
      </c>
      <c r="D395" s="5">
        <f t="shared" si="23"/>
        <v>2935</v>
      </c>
      <c r="E395" s="5">
        <f t="shared" si="24"/>
        <v>526</v>
      </c>
      <c r="L395" s="5">
        <f t="shared" si="13"/>
        <v>-398</v>
      </c>
      <c r="M395" s="19">
        <f t="shared" si="14"/>
        <v>0.2364824718</v>
      </c>
      <c r="N395" s="5">
        <f t="shared" si="15"/>
        <v>158404</v>
      </c>
      <c r="P395" s="5">
        <f t="shared" si="16"/>
        <v>-1252</v>
      </c>
      <c r="Q395" s="19">
        <f t="shared" si="17"/>
        <v>0.7439096851</v>
      </c>
      <c r="R395" s="5">
        <f t="shared" si="18"/>
        <v>1567504</v>
      </c>
      <c r="T395" s="5">
        <f t="shared" si="19"/>
        <v>1157</v>
      </c>
      <c r="U395" s="19">
        <f t="shared" si="20"/>
        <v>0.6874628639</v>
      </c>
      <c r="V395" s="5">
        <f t="shared" si="21"/>
        <v>1338649</v>
      </c>
    </row>
    <row r="396">
      <c r="A396" s="2">
        <v>41107.0</v>
      </c>
      <c r="B396" s="5">
        <v>50.0</v>
      </c>
      <c r="C396" s="5">
        <f t="shared" si="25"/>
        <v>2131</v>
      </c>
      <c r="D396" s="5">
        <f t="shared" si="23"/>
        <v>2932</v>
      </c>
      <c r="E396" s="5">
        <f t="shared" si="24"/>
        <v>1452</v>
      </c>
      <c r="L396" s="5">
        <f t="shared" si="13"/>
        <v>-2081</v>
      </c>
      <c r="M396" s="19">
        <f t="shared" si="14"/>
        <v>41.62</v>
      </c>
      <c r="N396" s="5">
        <f t="shared" si="15"/>
        <v>4330561</v>
      </c>
      <c r="P396" s="5">
        <f t="shared" si="16"/>
        <v>-2882</v>
      </c>
      <c r="Q396" s="19">
        <f t="shared" si="17"/>
        <v>57.64</v>
      </c>
      <c r="R396" s="5">
        <f t="shared" si="18"/>
        <v>8305924</v>
      </c>
      <c r="T396" s="5">
        <f t="shared" si="19"/>
        <v>-1402</v>
      </c>
      <c r="U396" s="19">
        <f t="shared" si="20"/>
        <v>28.04</v>
      </c>
      <c r="V396" s="5">
        <f t="shared" si="21"/>
        <v>1965604</v>
      </c>
    </row>
    <row r="397">
      <c r="A397" s="2">
        <v>41108.0</v>
      </c>
      <c r="B397" s="5">
        <v>4453.0</v>
      </c>
      <c r="C397" s="5">
        <f t="shared" si="25"/>
        <v>1471</v>
      </c>
      <c r="D397" s="5">
        <f t="shared" si="23"/>
        <v>2925</v>
      </c>
      <c r="E397" s="5">
        <f t="shared" si="24"/>
        <v>330</v>
      </c>
      <c r="L397" s="5">
        <f t="shared" si="13"/>
        <v>2982</v>
      </c>
      <c r="M397" s="19">
        <f t="shared" si="14"/>
        <v>0.6696609028</v>
      </c>
      <c r="N397" s="5">
        <f t="shared" si="15"/>
        <v>8892324</v>
      </c>
      <c r="P397" s="5">
        <f t="shared" si="16"/>
        <v>1528</v>
      </c>
      <c r="Q397" s="19">
        <f t="shared" si="17"/>
        <v>0.3431394565</v>
      </c>
      <c r="R397" s="5">
        <f t="shared" si="18"/>
        <v>2334784</v>
      </c>
      <c r="T397" s="5">
        <f t="shared" si="19"/>
        <v>4123</v>
      </c>
      <c r="U397" s="19">
        <f t="shared" si="20"/>
        <v>0.9258926566</v>
      </c>
      <c r="V397" s="5">
        <f t="shared" si="21"/>
        <v>16999129</v>
      </c>
    </row>
    <row r="398">
      <c r="A398" s="2">
        <v>41109.0</v>
      </c>
      <c r="B398" s="5">
        <v>1163.0</v>
      </c>
      <c r="C398" s="5">
        <f t="shared" si="25"/>
        <v>1485</v>
      </c>
      <c r="D398" s="5">
        <f t="shared" si="23"/>
        <v>2929</v>
      </c>
      <c r="E398" s="5">
        <f t="shared" si="24"/>
        <v>3628</v>
      </c>
      <c r="L398" s="5">
        <f t="shared" si="13"/>
        <v>-322</v>
      </c>
      <c r="M398" s="19">
        <f t="shared" si="14"/>
        <v>0.2768701634</v>
      </c>
      <c r="N398" s="5">
        <f t="shared" si="15"/>
        <v>103684</v>
      </c>
      <c r="P398" s="5">
        <f t="shared" si="16"/>
        <v>-1766</v>
      </c>
      <c r="Q398" s="19">
        <f t="shared" si="17"/>
        <v>1.518486672</v>
      </c>
      <c r="R398" s="5">
        <f t="shared" si="18"/>
        <v>3118756</v>
      </c>
      <c r="T398" s="5">
        <f t="shared" si="19"/>
        <v>-2465</v>
      </c>
      <c r="U398" s="19">
        <f t="shared" si="20"/>
        <v>2.119518487</v>
      </c>
      <c r="V398" s="5">
        <f t="shared" si="21"/>
        <v>6076225</v>
      </c>
    </row>
    <row r="399">
      <c r="A399" s="2">
        <v>41110.0</v>
      </c>
      <c r="B399" s="5">
        <v>1300.0</v>
      </c>
      <c r="C399" s="5">
        <f t="shared" si="25"/>
        <v>1521</v>
      </c>
      <c r="D399" s="5">
        <f t="shared" si="23"/>
        <v>2924</v>
      </c>
      <c r="E399" s="5">
        <f t="shared" si="24"/>
        <v>1656</v>
      </c>
      <c r="L399" s="5">
        <f t="shared" si="13"/>
        <v>-221</v>
      </c>
      <c r="M399" s="19">
        <f t="shared" si="14"/>
        <v>0.17</v>
      </c>
      <c r="N399" s="5">
        <f t="shared" si="15"/>
        <v>48841</v>
      </c>
      <c r="P399" s="5">
        <f t="shared" si="16"/>
        <v>-1624</v>
      </c>
      <c r="Q399" s="19">
        <f t="shared" si="17"/>
        <v>1.249230769</v>
      </c>
      <c r="R399" s="5">
        <f t="shared" si="18"/>
        <v>2637376</v>
      </c>
      <c r="T399" s="5">
        <f t="shared" si="19"/>
        <v>-356</v>
      </c>
      <c r="U399" s="19">
        <f t="shared" si="20"/>
        <v>0.2738461538</v>
      </c>
      <c r="V399" s="5">
        <f t="shared" si="21"/>
        <v>126736</v>
      </c>
    </row>
    <row r="400">
      <c r="A400" s="2">
        <v>41113.0</v>
      </c>
      <c r="B400" s="5">
        <v>1937.0</v>
      </c>
      <c r="C400" s="5">
        <f t="shared" si="25"/>
        <v>1730</v>
      </c>
      <c r="D400" s="5">
        <f t="shared" si="23"/>
        <v>2920</v>
      </c>
      <c r="E400" s="5">
        <f t="shared" si="24"/>
        <v>1371</v>
      </c>
      <c r="L400" s="5">
        <f t="shared" si="13"/>
        <v>207</v>
      </c>
      <c r="M400" s="19">
        <f t="shared" si="14"/>
        <v>0.1068662881</v>
      </c>
      <c r="N400" s="5">
        <f t="shared" si="15"/>
        <v>42849</v>
      </c>
      <c r="P400" s="5">
        <f t="shared" si="16"/>
        <v>-983</v>
      </c>
      <c r="Q400" s="19">
        <f t="shared" si="17"/>
        <v>0.5074858028</v>
      </c>
      <c r="R400" s="5">
        <f t="shared" si="18"/>
        <v>966289</v>
      </c>
      <c r="T400" s="5">
        <f t="shared" si="19"/>
        <v>566</v>
      </c>
      <c r="U400" s="19">
        <f t="shared" si="20"/>
        <v>0.2922044399</v>
      </c>
      <c r="V400" s="5">
        <f t="shared" si="21"/>
        <v>320356</v>
      </c>
    </row>
    <row r="401">
      <c r="A401" s="2">
        <v>41114.0</v>
      </c>
      <c r="B401" s="5">
        <v>4333.0</v>
      </c>
      <c r="C401" s="5">
        <f t="shared" si="25"/>
        <v>1781</v>
      </c>
      <c r="D401" s="5">
        <f t="shared" si="23"/>
        <v>2918</v>
      </c>
      <c r="E401" s="5">
        <f t="shared" si="24"/>
        <v>1824</v>
      </c>
      <c r="L401" s="5">
        <f t="shared" si="13"/>
        <v>2552</v>
      </c>
      <c r="M401" s="19">
        <f t="shared" si="14"/>
        <v>0.5889683822</v>
      </c>
      <c r="N401" s="5">
        <f t="shared" si="15"/>
        <v>6512704</v>
      </c>
      <c r="P401" s="5">
        <f t="shared" si="16"/>
        <v>1415</v>
      </c>
      <c r="Q401" s="19">
        <f t="shared" si="17"/>
        <v>0.3265635818</v>
      </c>
      <c r="R401" s="5">
        <f t="shared" si="18"/>
        <v>2002225</v>
      </c>
      <c r="T401" s="5">
        <f t="shared" si="19"/>
        <v>2509</v>
      </c>
      <c r="U401" s="19">
        <f t="shared" si="20"/>
        <v>0.5790445419</v>
      </c>
      <c r="V401" s="5">
        <f t="shared" si="21"/>
        <v>6295081</v>
      </c>
    </row>
    <row r="402">
      <c r="A402" s="2">
        <v>41115.0</v>
      </c>
      <c r="B402" s="5">
        <v>2844.0</v>
      </c>
      <c r="C402" s="5">
        <f t="shared" si="25"/>
        <v>2637</v>
      </c>
      <c r="D402" s="5">
        <f t="shared" si="23"/>
        <v>2921</v>
      </c>
      <c r="E402" s="5">
        <f t="shared" si="24"/>
        <v>3831</v>
      </c>
      <c r="L402" s="5">
        <f t="shared" si="13"/>
        <v>207</v>
      </c>
      <c r="M402" s="19">
        <f t="shared" si="14"/>
        <v>0.07278481013</v>
      </c>
      <c r="N402" s="5">
        <f t="shared" si="15"/>
        <v>42849</v>
      </c>
      <c r="P402" s="5">
        <f t="shared" si="16"/>
        <v>-77</v>
      </c>
      <c r="Q402" s="19">
        <f t="shared" si="17"/>
        <v>0.0270745429</v>
      </c>
      <c r="R402" s="5">
        <f t="shared" si="18"/>
        <v>5929</v>
      </c>
      <c r="T402" s="5">
        <f t="shared" si="19"/>
        <v>-987</v>
      </c>
      <c r="U402" s="19">
        <f t="shared" si="20"/>
        <v>0.3470464135</v>
      </c>
      <c r="V402" s="5">
        <f t="shared" si="21"/>
        <v>974169</v>
      </c>
    </row>
    <row r="403">
      <c r="A403" s="2">
        <v>41116.0</v>
      </c>
      <c r="B403" s="5">
        <v>2085.0</v>
      </c>
      <c r="C403" s="5">
        <f t="shared" si="25"/>
        <v>2315</v>
      </c>
      <c r="D403" s="5">
        <f t="shared" si="23"/>
        <v>2921</v>
      </c>
      <c r="E403" s="5">
        <f t="shared" si="24"/>
        <v>3041</v>
      </c>
      <c r="L403" s="5">
        <f t="shared" si="13"/>
        <v>-230</v>
      </c>
      <c r="M403" s="19">
        <f t="shared" si="14"/>
        <v>0.1103117506</v>
      </c>
      <c r="N403" s="5">
        <f t="shared" si="15"/>
        <v>52900</v>
      </c>
      <c r="P403" s="5">
        <f t="shared" si="16"/>
        <v>-836</v>
      </c>
      <c r="Q403" s="19">
        <f t="shared" si="17"/>
        <v>0.4009592326</v>
      </c>
      <c r="R403" s="5">
        <f t="shared" si="18"/>
        <v>698896</v>
      </c>
      <c r="T403" s="5">
        <f t="shared" si="19"/>
        <v>-956</v>
      </c>
      <c r="U403" s="19">
        <f t="shared" si="20"/>
        <v>0.4585131894</v>
      </c>
      <c r="V403" s="5">
        <f t="shared" si="21"/>
        <v>913936</v>
      </c>
    </row>
    <row r="404">
      <c r="A404" s="2">
        <v>41117.0</v>
      </c>
      <c r="B404" s="5">
        <v>50.0</v>
      </c>
      <c r="C404" s="5">
        <f t="shared" si="25"/>
        <v>2500</v>
      </c>
      <c r="D404" s="5">
        <f t="shared" si="23"/>
        <v>2919</v>
      </c>
      <c r="E404" s="5">
        <f t="shared" si="24"/>
        <v>2276</v>
      </c>
      <c r="L404" s="5">
        <f t="shared" si="13"/>
        <v>-2450</v>
      </c>
      <c r="M404" s="19">
        <f t="shared" si="14"/>
        <v>49</v>
      </c>
      <c r="N404" s="5">
        <f t="shared" si="15"/>
        <v>6002500</v>
      </c>
      <c r="P404" s="5">
        <f t="shared" si="16"/>
        <v>-2869</v>
      </c>
      <c r="Q404" s="19">
        <f t="shared" si="17"/>
        <v>57.38</v>
      </c>
      <c r="R404" s="5">
        <f t="shared" si="18"/>
        <v>8231161</v>
      </c>
      <c r="T404" s="5">
        <f t="shared" si="19"/>
        <v>-2226</v>
      </c>
      <c r="U404" s="19">
        <f t="shared" si="20"/>
        <v>44.52</v>
      </c>
      <c r="V404" s="5">
        <f t="shared" si="21"/>
        <v>4955076</v>
      </c>
    </row>
    <row r="405">
      <c r="A405" s="2">
        <v>41120.0</v>
      </c>
      <c r="B405" s="5">
        <v>2206.0</v>
      </c>
      <c r="C405" s="5">
        <f t="shared" si="25"/>
        <v>2250</v>
      </c>
      <c r="D405" s="5">
        <f t="shared" si="23"/>
        <v>2912</v>
      </c>
      <c r="E405" s="5">
        <f t="shared" si="24"/>
        <v>495</v>
      </c>
      <c r="L405" s="5">
        <f t="shared" si="13"/>
        <v>-44</v>
      </c>
      <c r="M405" s="19">
        <f t="shared" si="14"/>
        <v>0.0199456029</v>
      </c>
      <c r="N405" s="5">
        <f t="shared" si="15"/>
        <v>1936</v>
      </c>
      <c r="P405" s="5">
        <f t="shared" si="16"/>
        <v>-706</v>
      </c>
      <c r="Q405" s="19">
        <f t="shared" si="17"/>
        <v>0.3200362647</v>
      </c>
      <c r="R405" s="5">
        <f t="shared" si="18"/>
        <v>498436</v>
      </c>
      <c r="T405" s="5">
        <f t="shared" si="19"/>
        <v>1711</v>
      </c>
      <c r="U405" s="19">
        <f t="shared" si="20"/>
        <v>0.7756119674</v>
      </c>
      <c r="V405" s="5">
        <f t="shared" si="21"/>
        <v>2927521</v>
      </c>
    </row>
    <row r="406">
      <c r="A406" s="2">
        <v>41121.0</v>
      </c>
      <c r="B406" s="5">
        <v>3282.0</v>
      </c>
      <c r="C406" s="5">
        <f t="shared" si="25"/>
        <v>2304</v>
      </c>
      <c r="D406" s="5">
        <f t="shared" si="23"/>
        <v>2910</v>
      </c>
      <c r="E406" s="5">
        <f t="shared" si="24"/>
        <v>1864</v>
      </c>
      <c r="L406" s="5">
        <f t="shared" si="13"/>
        <v>978</v>
      </c>
      <c r="M406" s="19">
        <f t="shared" si="14"/>
        <v>0.2979890311</v>
      </c>
      <c r="N406" s="5">
        <f t="shared" si="15"/>
        <v>956484</v>
      </c>
      <c r="P406" s="5">
        <f t="shared" si="16"/>
        <v>372</v>
      </c>
      <c r="Q406" s="19">
        <f t="shared" si="17"/>
        <v>0.113345521</v>
      </c>
      <c r="R406" s="5">
        <f t="shared" si="18"/>
        <v>138384</v>
      </c>
      <c r="T406" s="5">
        <f t="shared" si="19"/>
        <v>1418</v>
      </c>
      <c r="U406" s="19">
        <f t="shared" si="20"/>
        <v>0.4320536258</v>
      </c>
      <c r="V406" s="5">
        <f t="shared" si="21"/>
        <v>2010724</v>
      </c>
    </row>
    <row r="407">
      <c r="A407" s="2">
        <v>41122.0</v>
      </c>
      <c r="B407" s="5">
        <v>3892.0</v>
      </c>
      <c r="C407" s="5">
        <f t="shared" si="25"/>
        <v>2093</v>
      </c>
      <c r="D407" s="5">
        <f t="shared" si="23"/>
        <v>2911</v>
      </c>
      <c r="E407" s="5">
        <f t="shared" si="24"/>
        <v>2998</v>
      </c>
      <c r="L407" s="5">
        <f t="shared" si="13"/>
        <v>1799</v>
      </c>
      <c r="M407" s="19">
        <f t="shared" si="14"/>
        <v>0.4622302158</v>
      </c>
      <c r="N407" s="5">
        <f t="shared" si="15"/>
        <v>3236401</v>
      </c>
      <c r="P407" s="5">
        <f t="shared" si="16"/>
        <v>981</v>
      </c>
      <c r="Q407" s="19">
        <f t="shared" si="17"/>
        <v>0.2520554985</v>
      </c>
      <c r="R407" s="5">
        <f t="shared" si="18"/>
        <v>962361</v>
      </c>
      <c r="T407" s="5">
        <f t="shared" si="19"/>
        <v>894</v>
      </c>
      <c r="U407" s="19">
        <f t="shared" si="20"/>
        <v>0.2297019527</v>
      </c>
      <c r="V407" s="5">
        <f t="shared" si="21"/>
        <v>799236</v>
      </c>
    </row>
    <row r="408">
      <c r="A408" s="2">
        <v>41123.0</v>
      </c>
      <c r="B408" s="5">
        <v>1030.0</v>
      </c>
      <c r="C408" s="5">
        <f t="shared" si="25"/>
        <v>2303</v>
      </c>
      <c r="D408" s="5">
        <f t="shared" si="23"/>
        <v>2913</v>
      </c>
      <c r="E408" s="5">
        <f t="shared" si="24"/>
        <v>3713</v>
      </c>
      <c r="L408" s="5">
        <f t="shared" si="13"/>
        <v>-1273</v>
      </c>
      <c r="M408" s="19">
        <f t="shared" si="14"/>
        <v>1.23592233</v>
      </c>
      <c r="N408" s="5">
        <f t="shared" si="15"/>
        <v>1620529</v>
      </c>
      <c r="P408" s="5">
        <f t="shared" si="16"/>
        <v>-1883</v>
      </c>
      <c r="Q408" s="19">
        <f t="shared" si="17"/>
        <v>1.82815534</v>
      </c>
      <c r="R408" s="5">
        <f t="shared" si="18"/>
        <v>3545689</v>
      </c>
      <c r="T408" s="5">
        <f t="shared" si="19"/>
        <v>-2683</v>
      </c>
      <c r="U408" s="19">
        <f t="shared" si="20"/>
        <v>2.604854369</v>
      </c>
      <c r="V408" s="5">
        <f t="shared" si="21"/>
        <v>7198489</v>
      </c>
    </row>
    <row r="409">
      <c r="A409" s="2">
        <v>41124.0</v>
      </c>
      <c r="B409" s="5">
        <v>102.0</v>
      </c>
      <c r="C409" s="5">
        <f t="shared" si="25"/>
        <v>2092</v>
      </c>
      <c r="D409" s="5">
        <f t="shared" si="23"/>
        <v>2909</v>
      </c>
      <c r="E409" s="5">
        <f t="shared" si="24"/>
        <v>1567</v>
      </c>
      <c r="L409" s="5">
        <f t="shared" si="13"/>
        <v>-1990</v>
      </c>
      <c r="M409" s="19">
        <f t="shared" si="14"/>
        <v>19.50980392</v>
      </c>
      <c r="N409" s="5">
        <f t="shared" si="15"/>
        <v>3960100</v>
      </c>
      <c r="P409" s="5">
        <f t="shared" si="16"/>
        <v>-2807</v>
      </c>
      <c r="Q409" s="19">
        <f t="shared" si="17"/>
        <v>27.51960784</v>
      </c>
      <c r="R409" s="5">
        <f t="shared" si="18"/>
        <v>7879249</v>
      </c>
      <c r="T409" s="5">
        <f t="shared" si="19"/>
        <v>-1465</v>
      </c>
      <c r="U409" s="19">
        <f t="shared" si="20"/>
        <v>14.3627451</v>
      </c>
      <c r="V409" s="5">
        <f t="shared" si="21"/>
        <v>2146225</v>
      </c>
    </row>
    <row r="410">
      <c r="A410" s="2">
        <v>41127.0</v>
      </c>
      <c r="B410" s="5">
        <v>1651.0</v>
      </c>
      <c r="C410" s="5">
        <f t="shared" si="25"/>
        <v>2102</v>
      </c>
      <c r="D410" s="5">
        <f t="shared" si="23"/>
        <v>2902</v>
      </c>
      <c r="E410" s="5">
        <f t="shared" si="24"/>
        <v>395</v>
      </c>
      <c r="L410" s="5">
        <f t="shared" si="13"/>
        <v>-451</v>
      </c>
      <c r="M410" s="19">
        <f t="shared" si="14"/>
        <v>0.2731677771</v>
      </c>
      <c r="N410" s="5">
        <f t="shared" si="15"/>
        <v>203401</v>
      </c>
      <c r="P410" s="5">
        <f t="shared" si="16"/>
        <v>-1251</v>
      </c>
      <c r="Q410" s="19">
        <f t="shared" si="17"/>
        <v>0.7577225924</v>
      </c>
      <c r="R410" s="5">
        <f t="shared" si="18"/>
        <v>1565001</v>
      </c>
      <c r="T410" s="5">
        <f t="shared" si="19"/>
        <v>1256</v>
      </c>
      <c r="U410" s="19">
        <f t="shared" si="20"/>
        <v>0.76075106</v>
      </c>
      <c r="V410" s="5">
        <f t="shared" si="21"/>
        <v>1577536</v>
      </c>
    </row>
    <row r="411">
      <c r="A411" s="2">
        <v>41128.0</v>
      </c>
      <c r="B411" s="5">
        <v>2610.0</v>
      </c>
      <c r="C411" s="5">
        <f t="shared" si="25"/>
        <v>1991</v>
      </c>
      <c r="D411" s="5">
        <f t="shared" si="23"/>
        <v>2899</v>
      </c>
      <c r="E411" s="5">
        <f t="shared" si="24"/>
        <v>1400</v>
      </c>
      <c r="L411" s="5">
        <f t="shared" si="13"/>
        <v>619</v>
      </c>
      <c r="M411" s="19">
        <f t="shared" si="14"/>
        <v>0.237164751</v>
      </c>
      <c r="N411" s="5">
        <f t="shared" si="15"/>
        <v>383161</v>
      </c>
      <c r="P411" s="5">
        <f t="shared" si="16"/>
        <v>-289</v>
      </c>
      <c r="Q411" s="19">
        <f t="shared" si="17"/>
        <v>0.1107279693</v>
      </c>
      <c r="R411" s="5">
        <f t="shared" si="18"/>
        <v>83521</v>
      </c>
      <c r="T411" s="5">
        <f t="shared" si="19"/>
        <v>1210</v>
      </c>
      <c r="U411" s="19">
        <f t="shared" si="20"/>
        <v>0.4636015326</v>
      </c>
      <c r="V411" s="5">
        <f t="shared" si="21"/>
        <v>1464100</v>
      </c>
    </row>
    <row r="412">
      <c r="A412" s="2">
        <v>41129.0</v>
      </c>
      <c r="B412" s="5">
        <v>2641.0</v>
      </c>
      <c r="C412" s="5">
        <f t="shared" si="25"/>
        <v>1857</v>
      </c>
      <c r="D412" s="5">
        <f t="shared" si="23"/>
        <v>2898</v>
      </c>
      <c r="E412" s="5">
        <f t="shared" si="24"/>
        <v>2368</v>
      </c>
      <c r="L412" s="5">
        <f t="shared" si="13"/>
        <v>784</v>
      </c>
      <c r="M412" s="19">
        <f t="shared" si="14"/>
        <v>0.296857251</v>
      </c>
      <c r="N412" s="5">
        <f t="shared" si="15"/>
        <v>614656</v>
      </c>
      <c r="P412" s="5">
        <f t="shared" si="16"/>
        <v>-257</v>
      </c>
      <c r="Q412" s="19">
        <f t="shared" si="17"/>
        <v>0.09731162438</v>
      </c>
      <c r="R412" s="5">
        <f t="shared" si="18"/>
        <v>66049</v>
      </c>
      <c r="T412" s="5">
        <f t="shared" si="19"/>
        <v>273</v>
      </c>
      <c r="U412" s="19">
        <f t="shared" si="20"/>
        <v>0.1033699356</v>
      </c>
      <c r="V412" s="5">
        <f t="shared" si="21"/>
        <v>74529</v>
      </c>
    </row>
    <row r="413">
      <c r="A413" s="2">
        <v>41130.0</v>
      </c>
      <c r="B413" s="5">
        <v>1002.0</v>
      </c>
      <c r="C413" s="5">
        <f t="shared" si="25"/>
        <v>1607</v>
      </c>
      <c r="D413" s="5">
        <f t="shared" si="23"/>
        <v>2897</v>
      </c>
      <c r="E413" s="5">
        <f t="shared" si="24"/>
        <v>2586</v>
      </c>
      <c r="L413" s="5">
        <f t="shared" si="13"/>
        <v>-605</v>
      </c>
      <c r="M413" s="19">
        <f t="shared" si="14"/>
        <v>0.6037924152</v>
      </c>
      <c r="N413" s="5">
        <f t="shared" si="15"/>
        <v>366025</v>
      </c>
      <c r="P413" s="5">
        <f t="shared" si="16"/>
        <v>-1895</v>
      </c>
      <c r="Q413" s="19">
        <f t="shared" si="17"/>
        <v>1.891217565</v>
      </c>
      <c r="R413" s="5">
        <f t="shared" si="18"/>
        <v>3591025</v>
      </c>
      <c r="T413" s="5">
        <f t="shared" si="19"/>
        <v>-1584</v>
      </c>
      <c r="U413" s="19">
        <f t="shared" si="20"/>
        <v>1.580838323</v>
      </c>
      <c r="V413" s="5">
        <f t="shared" si="21"/>
        <v>2509056</v>
      </c>
    </row>
    <row r="414">
      <c r="A414" s="2">
        <v>41131.0</v>
      </c>
      <c r="B414" s="5">
        <v>113.0</v>
      </c>
      <c r="C414" s="5">
        <f t="shared" si="25"/>
        <v>1601</v>
      </c>
      <c r="D414" s="5">
        <f t="shared" si="23"/>
        <v>2893</v>
      </c>
      <c r="E414" s="5">
        <f t="shared" si="24"/>
        <v>1319</v>
      </c>
      <c r="L414" s="5">
        <f t="shared" si="13"/>
        <v>-1488</v>
      </c>
      <c r="M414" s="19">
        <f t="shared" si="14"/>
        <v>13.16814159</v>
      </c>
      <c r="N414" s="5">
        <f t="shared" si="15"/>
        <v>2214144</v>
      </c>
      <c r="P414" s="5">
        <f t="shared" si="16"/>
        <v>-2780</v>
      </c>
      <c r="Q414" s="19">
        <f t="shared" si="17"/>
        <v>24.60176991</v>
      </c>
      <c r="R414" s="5">
        <f t="shared" si="18"/>
        <v>7728400</v>
      </c>
      <c r="T414" s="5">
        <f t="shared" si="19"/>
        <v>-1206</v>
      </c>
      <c r="U414" s="19">
        <f t="shared" si="20"/>
        <v>10.67256637</v>
      </c>
      <c r="V414" s="5">
        <f t="shared" si="21"/>
        <v>1454436</v>
      </c>
    </row>
    <row r="415">
      <c r="A415" s="2">
        <v>41134.0</v>
      </c>
      <c r="B415" s="5">
        <v>2038.0</v>
      </c>
      <c r="C415" s="5">
        <f t="shared" si="25"/>
        <v>1603</v>
      </c>
      <c r="D415" s="5">
        <f t="shared" si="23"/>
        <v>2886</v>
      </c>
      <c r="E415" s="5">
        <f t="shared" si="24"/>
        <v>354</v>
      </c>
      <c r="L415" s="5">
        <f t="shared" si="13"/>
        <v>435</v>
      </c>
      <c r="M415" s="19">
        <f t="shared" si="14"/>
        <v>0.2134445535</v>
      </c>
      <c r="N415" s="5">
        <f t="shared" si="15"/>
        <v>189225</v>
      </c>
      <c r="P415" s="5">
        <f t="shared" si="16"/>
        <v>-848</v>
      </c>
      <c r="Q415" s="19">
        <f t="shared" si="17"/>
        <v>0.41609421</v>
      </c>
      <c r="R415" s="5">
        <f t="shared" si="18"/>
        <v>719104</v>
      </c>
      <c r="T415" s="5">
        <f t="shared" si="19"/>
        <v>1684</v>
      </c>
      <c r="U415" s="19">
        <f t="shared" si="20"/>
        <v>0.8263002944</v>
      </c>
      <c r="V415" s="5">
        <f t="shared" si="21"/>
        <v>2835856</v>
      </c>
    </row>
    <row r="416">
      <c r="A416" s="2">
        <v>41135.0</v>
      </c>
      <c r="B416" s="5">
        <v>4156.0</v>
      </c>
      <c r="C416" s="5">
        <f t="shared" si="25"/>
        <v>1681</v>
      </c>
      <c r="D416" s="5">
        <f t="shared" si="23"/>
        <v>2884</v>
      </c>
      <c r="E416" s="5">
        <f t="shared" si="24"/>
        <v>1701</v>
      </c>
      <c r="L416" s="5">
        <f t="shared" si="13"/>
        <v>2475</v>
      </c>
      <c r="M416" s="19">
        <f t="shared" si="14"/>
        <v>0.5955245428</v>
      </c>
      <c r="N416" s="5">
        <f t="shared" si="15"/>
        <v>6125625</v>
      </c>
      <c r="P416" s="5">
        <f t="shared" si="16"/>
        <v>1272</v>
      </c>
      <c r="Q416" s="19">
        <f t="shared" si="17"/>
        <v>0.3060635226</v>
      </c>
      <c r="R416" s="5">
        <f t="shared" si="18"/>
        <v>1617984</v>
      </c>
      <c r="T416" s="5">
        <f t="shared" si="19"/>
        <v>2455</v>
      </c>
      <c r="U416" s="19">
        <f t="shared" si="20"/>
        <v>0.5907122233</v>
      </c>
      <c r="V416" s="5">
        <f t="shared" si="21"/>
        <v>6027025</v>
      </c>
    </row>
    <row r="417">
      <c r="A417" s="2">
        <v>41136.0</v>
      </c>
      <c r="B417" s="5">
        <v>3483.0</v>
      </c>
      <c r="C417" s="5">
        <f t="shared" si="25"/>
        <v>1990</v>
      </c>
      <c r="D417" s="5">
        <f t="shared" si="23"/>
        <v>2887</v>
      </c>
      <c r="E417" s="5">
        <f t="shared" si="24"/>
        <v>3665</v>
      </c>
      <c r="L417" s="5">
        <f t="shared" si="13"/>
        <v>1493</v>
      </c>
      <c r="M417" s="19">
        <f t="shared" si="14"/>
        <v>0.4286534597</v>
      </c>
      <c r="N417" s="5">
        <f t="shared" si="15"/>
        <v>2229049</v>
      </c>
      <c r="P417" s="5">
        <f t="shared" si="16"/>
        <v>596</v>
      </c>
      <c r="Q417" s="19">
        <f t="shared" si="17"/>
        <v>0.1711168533</v>
      </c>
      <c r="R417" s="5">
        <f t="shared" si="18"/>
        <v>355216</v>
      </c>
      <c r="T417" s="5">
        <f t="shared" si="19"/>
        <v>-182</v>
      </c>
      <c r="U417" s="19">
        <f t="shared" si="20"/>
        <v>0.05225380419</v>
      </c>
      <c r="V417" s="5">
        <f t="shared" si="21"/>
        <v>33124</v>
      </c>
    </row>
    <row r="418">
      <c r="A418" s="2">
        <v>41137.0</v>
      </c>
      <c r="B418" s="5">
        <v>1317.0</v>
      </c>
      <c r="C418" s="5">
        <f t="shared" si="25"/>
        <v>2158</v>
      </c>
      <c r="D418" s="5">
        <f t="shared" si="23"/>
        <v>2888</v>
      </c>
      <c r="E418" s="5">
        <f t="shared" si="24"/>
        <v>3519</v>
      </c>
      <c r="L418" s="5">
        <f t="shared" si="13"/>
        <v>-841</v>
      </c>
      <c r="M418" s="19">
        <f t="shared" si="14"/>
        <v>0.6385725133</v>
      </c>
      <c r="N418" s="5">
        <f t="shared" si="15"/>
        <v>707281</v>
      </c>
      <c r="P418" s="5">
        <f t="shared" si="16"/>
        <v>-1571</v>
      </c>
      <c r="Q418" s="19">
        <f t="shared" si="17"/>
        <v>1.192862566</v>
      </c>
      <c r="R418" s="5">
        <f t="shared" si="18"/>
        <v>2468041</v>
      </c>
      <c r="T418" s="5">
        <f t="shared" si="19"/>
        <v>-2202</v>
      </c>
      <c r="U418" s="19">
        <f t="shared" si="20"/>
        <v>1.671981777</v>
      </c>
      <c r="V418" s="5">
        <f t="shared" si="21"/>
        <v>4848804</v>
      </c>
    </row>
    <row r="419">
      <c r="A419" s="2">
        <v>41138.0</v>
      </c>
      <c r="B419" s="5">
        <v>200.0</v>
      </c>
      <c r="C419" s="5">
        <f t="shared" si="25"/>
        <v>2221</v>
      </c>
      <c r="D419" s="5">
        <f t="shared" si="23"/>
        <v>2885</v>
      </c>
      <c r="E419" s="5">
        <f t="shared" si="24"/>
        <v>1757</v>
      </c>
      <c r="L419" s="5">
        <f t="shared" si="13"/>
        <v>-2021</v>
      </c>
      <c r="M419" s="19">
        <f t="shared" si="14"/>
        <v>10.105</v>
      </c>
      <c r="N419" s="5">
        <f t="shared" si="15"/>
        <v>4084441</v>
      </c>
      <c r="P419" s="5">
        <f t="shared" si="16"/>
        <v>-2685</v>
      </c>
      <c r="Q419" s="19">
        <f t="shared" si="17"/>
        <v>13.425</v>
      </c>
      <c r="R419" s="5">
        <f t="shared" si="18"/>
        <v>7209225</v>
      </c>
      <c r="T419" s="5">
        <f t="shared" si="19"/>
        <v>-1557</v>
      </c>
      <c r="U419" s="19">
        <f t="shared" si="20"/>
        <v>7.785</v>
      </c>
      <c r="V419" s="5">
        <f t="shared" si="21"/>
        <v>2424249</v>
      </c>
    </row>
    <row r="420">
      <c r="A420" s="2">
        <v>41141.0</v>
      </c>
      <c r="B420" s="5">
        <v>2657.0</v>
      </c>
      <c r="C420" s="5">
        <f t="shared" si="25"/>
        <v>2239</v>
      </c>
      <c r="D420" s="5">
        <f t="shared" si="23"/>
        <v>2878</v>
      </c>
      <c r="E420" s="5">
        <f t="shared" si="24"/>
        <v>511</v>
      </c>
      <c r="L420" s="5">
        <f t="shared" si="13"/>
        <v>418</v>
      </c>
      <c r="M420" s="19">
        <f t="shared" si="14"/>
        <v>0.157320286</v>
      </c>
      <c r="N420" s="5">
        <f t="shared" si="15"/>
        <v>174724</v>
      </c>
      <c r="P420" s="5">
        <f t="shared" si="16"/>
        <v>-221</v>
      </c>
      <c r="Q420" s="19">
        <f t="shared" si="17"/>
        <v>0.08317651487</v>
      </c>
      <c r="R420" s="5">
        <f t="shared" si="18"/>
        <v>48841</v>
      </c>
      <c r="T420" s="5">
        <f t="shared" si="19"/>
        <v>2146</v>
      </c>
      <c r="U420" s="19">
        <f t="shared" si="20"/>
        <v>0.8076778321</v>
      </c>
      <c r="V420" s="5">
        <f t="shared" si="21"/>
        <v>4605316</v>
      </c>
    </row>
    <row r="421">
      <c r="A421" s="2">
        <v>41142.0</v>
      </c>
      <c r="B421" s="5">
        <v>3510.0</v>
      </c>
      <c r="C421" s="5">
        <f t="shared" si="25"/>
        <v>2363</v>
      </c>
      <c r="D421" s="5">
        <f t="shared" si="23"/>
        <v>2878</v>
      </c>
      <c r="E421" s="5">
        <f t="shared" si="24"/>
        <v>2228</v>
      </c>
      <c r="L421" s="5">
        <f t="shared" si="13"/>
        <v>1147</v>
      </c>
      <c r="M421" s="19">
        <f t="shared" si="14"/>
        <v>0.3267806268</v>
      </c>
      <c r="N421" s="5">
        <f t="shared" si="15"/>
        <v>1315609</v>
      </c>
      <c r="P421" s="5">
        <f t="shared" si="16"/>
        <v>632</v>
      </c>
      <c r="Q421" s="19">
        <f t="shared" si="17"/>
        <v>0.1800569801</v>
      </c>
      <c r="R421" s="5">
        <f t="shared" si="18"/>
        <v>399424</v>
      </c>
      <c r="T421" s="5">
        <f t="shared" si="19"/>
        <v>1282</v>
      </c>
      <c r="U421" s="19">
        <f t="shared" si="20"/>
        <v>0.3652421652</v>
      </c>
      <c r="V421" s="5">
        <f t="shared" si="21"/>
        <v>1643524</v>
      </c>
    </row>
    <row r="422">
      <c r="A422" s="2">
        <v>41143.0</v>
      </c>
      <c r="B422" s="5">
        <v>3524.0</v>
      </c>
      <c r="C422" s="5">
        <f t="shared" si="25"/>
        <v>2233</v>
      </c>
      <c r="D422" s="5">
        <f t="shared" si="23"/>
        <v>2879</v>
      </c>
      <c r="E422" s="5">
        <f t="shared" si="24"/>
        <v>3254</v>
      </c>
      <c r="L422" s="5">
        <f t="shared" si="13"/>
        <v>1291</v>
      </c>
      <c r="M422" s="19">
        <f t="shared" si="14"/>
        <v>0.3663450624</v>
      </c>
      <c r="N422" s="5">
        <f t="shared" si="15"/>
        <v>1666681</v>
      </c>
      <c r="P422" s="5">
        <f t="shared" si="16"/>
        <v>645</v>
      </c>
      <c r="Q422" s="19">
        <f t="shared" si="17"/>
        <v>0.183030647</v>
      </c>
      <c r="R422" s="5">
        <f t="shared" si="18"/>
        <v>416025</v>
      </c>
      <c r="T422" s="5">
        <f t="shared" si="19"/>
        <v>270</v>
      </c>
      <c r="U422" s="19">
        <f t="shared" si="20"/>
        <v>0.07661748014</v>
      </c>
      <c r="V422" s="5">
        <f t="shared" si="21"/>
        <v>72900</v>
      </c>
    </row>
    <row r="423">
      <c r="A423" s="2">
        <v>41144.0</v>
      </c>
      <c r="B423" s="5">
        <v>992.0</v>
      </c>
      <c r="C423" s="5">
        <f t="shared" si="25"/>
        <v>2242</v>
      </c>
      <c r="D423" s="5">
        <f t="shared" si="23"/>
        <v>2881</v>
      </c>
      <c r="E423" s="5">
        <f t="shared" si="24"/>
        <v>3470</v>
      </c>
      <c r="L423" s="5">
        <f t="shared" si="13"/>
        <v>-1250</v>
      </c>
      <c r="M423" s="19">
        <f t="shared" si="14"/>
        <v>1.260080645</v>
      </c>
      <c r="N423" s="5">
        <f t="shared" si="15"/>
        <v>1562500</v>
      </c>
      <c r="P423" s="5">
        <f t="shared" si="16"/>
        <v>-1889</v>
      </c>
      <c r="Q423" s="19">
        <f t="shared" si="17"/>
        <v>1.904233871</v>
      </c>
      <c r="R423" s="5">
        <f t="shared" si="18"/>
        <v>3568321</v>
      </c>
      <c r="T423" s="5">
        <f t="shared" si="19"/>
        <v>-2478</v>
      </c>
      <c r="U423" s="19">
        <f t="shared" si="20"/>
        <v>2.497983871</v>
      </c>
      <c r="V423" s="5">
        <f t="shared" si="21"/>
        <v>6140484</v>
      </c>
    </row>
    <row r="424">
      <c r="A424" s="2">
        <v>41145.0</v>
      </c>
      <c r="B424" s="5">
        <v>464.0</v>
      </c>
      <c r="C424" s="5">
        <f t="shared" si="25"/>
        <v>2177</v>
      </c>
      <c r="D424" s="5">
        <f t="shared" si="23"/>
        <v>2876</v>
      </c>
      <c r="E424" s="5">
        <f t="shared" si="24"/>
        <v>1488</v>
      </c>
      <c r="L424" s="5">
        <f t="shared" si="13"/>
        <v>-1713</v>
      </c>
      <c r="M424" s="19">
        <f t="shared" si="14"/>
        <v>3.691810345</v>
      </c>
      <c r="N424" s="5">
        <f t="shared" si="15"/>
        <v>2934369</v>
      </c>
      <c r="P424" s="5">
        <f t="shared" si="16"/>
        <v>-2412</v>
      </c>
      <c r="Q424" s="19">
        <f t="shared" si="17"/>
        <v>5.198275862</v>
      </c>
      <c r="R424" s="5">
        <f t="shared" si="18"/>
        <v>5817744</v>
      </c>
      <c r="T424" s="5">
        <f t="shared" si="19"/>
        <v>-1024</v>
      </c>
      <c r="U424" s="19">
        <f t="shared" si="20"/>
        <v>2.206896552</v>
      </c>
      <c r="V424" s="5">
        <f t="shared" si="21"/>
        <v>1048576</v>
      </c>
    </row>
    <row r="425">
      <c r="A425" s="2">
        <v>41148.0</v>
      </c>
      <c r="B425" s="5">
        <v>2898.0</v>
      </c>
      <c r="C425" s="5">
        <f t="shared" si="25"/>
        <v>2229</v>
      </c>
      <c r="D425" s="5">
        <f t="shared" si="23"/>
        <v>2870</v>
      </c>
      <c r="E425" s="5">
        <f t="shared" si="24"/>
        <v>669</v>
      </c>
      <c r="L425" s="5">
        <f t="shared" si="13"/>
        <v>669</v>
      </c>
      <c r="M425" s="19">
        <f t="shared" si="14"/>
        <v>0.2308488613</v>
      </c>
      <c r="N425" s="5">
        <f t="shared" si="15"/>
        <v>447561</v>
      </c>
      <c r="P425" s="5">
        <f t="shared" si="16"/>
        <v>28</v>
      </c>
      <c r="Q425" s="19">
        <f t="shared" si="17"/>
        <v>0.009661835749</v>
      </c>
      <c r="R425" s="5">
        <f t="shared" si="18"/>
        <v>784</v>
      </c>
      <c r="T425" s="5">
        <f t="shared" si="19"/>
        <v>2229</v>
      </c>
      <c r="U425" s="19">
        <f t="shared" si="20"/>
        <v>0.7691511387</v>
      </c>
      <c r="V425" s="5">
        <f t="shared" si="21"/>
        <v>4968441</v>
      </c>
    </row>
    <row r="426">
      <c r="A426" s="2">
        <v>41149.0</v>
      </c>
      <c r="B426" s="5">
        <v>4814.0</v>
      </c>
      <c r="C426" s="5">
        <f t="shared" si="25"/>
        <v>2278</v>
      </c>
      <c r="D426" s="5">
        <f t="shared" si="23"/>
        <v>2871</v>
      </c>
      <c r="E426" s="5">
        <f t="shared" si="24"/>
        <v>2452</v>
      </c>
      <c r="L426" s="5">
        <f t="shared" si="13"/>
        <v>2536</v>
      </c>
      <c r="M426" s="19">
        <f t="shared" si="14"/>
        <v>0.5267968425</v>
      </c>
      <c r="N426" s="5">
        <f t="shared" si="15"/>
        <v>6431296</v>
      </c>
      <c r="P426" s="5">
        <f t="shared" si="16"/>
        <v>1943</v>
      </c>
      <c r="Q426" s="19">
        <f t="shared" si="17"/>
        <v>0.4036144578</v>
      </c>
      <c r="R426" s="5">
        <f t="shared" si="18"/>
        <v>3775249</v>
      </c>
      <c r="T426" s="5">
        <f t="shared" si="19"/>
        <v>2362</v>
      </c>
      <c r="U426" s="19">
        <f t="shared" si="20"/>
        <v>0.4906522642</v>
      </c>
      <c r="V426" s="5">
        <f t="shared" si="21"/>
        <v>5579044</v>
      </c>
    </row>
    <row r="427">
      <c r="A427" s="2">
        <v>41150.0</v>
      </c>
      <c r="B427" s="5">
        <v>2961.0</v>
      </c>
      <c r="C427" s="5">
        <f t="shared" si="25"/>
        <v>2538</v>
      </c>
      <c r="D427" s="5">
        <f t="shared" si="23"/>
        <v>2875</v>
      </c>
      <c r="E427" s="5">
        <f t="shared" si="24"/>
        <v>4342</v>
      </c>
      <c r="L427" s="5">
        <f t="shared" si="13"/>
        <v>423</v>
      </c>
      <c r="M427" s="19">
        <f t="shared" si="14"/>
        <v>0.1428571429</v>
      </c>
      <c r="N427" s="5">
        <f t="shared" si="15"/>
        <v>178929</v>
      </c>
      <c r="P427" s="5">
        <f t="shared" si="16"/>
        <v>86</v>
      </c>
      <c r="Q427" s="19">
        <f t="shared" si="17"/>
        <v>0.02904424181</v>
      </c>
      <c r="R427" s="5">
        <f t="shared" si="18"/>
        <v>7396</v>
      </c>
      <c r="T427" s="5">
        <f t="shared" si="19"/>
        <v>-1381</v>
      </c>
      <c r="U427" s="19">
        <f t="shared" si="20"/>
        <v>0.4663964877</v>
      </c>
      <c r="V427" s="5">
        <f t="shared" si="21"/>
        <v>1907161</v>
      </c>
    </row>
    <row r="428">
      <c r="A428" s="2">
        <v>41151.0</v>
      </c>
      <c r="B428" s="5">
        <v>2180.0</v>
      </c>
      <c r="C428" s="5">
        <f t="shared" si="25"/>
        <v>2426</v>
      </c>
      <c r="D428" s="5">
        <f t="shared" si="23"/>
        <v>2875</v>
      </c>
      <c r="E428" s="5">
        <f t="shared" si="24"/>
        <v>3237</v>
      </c>
      <c r="L428" s="5">
        <f t="shared" si="13"/>
        <v>-246</v>
      </c>
      <c r="M428" s="19">
        <f t="shared" si="14"/>
        <v>0.1128440367</v>
      </c>
      <c r="N428" s="5">
        <f t="shared" si="15"/>
        <v>60516</v>
      </c>
      <c r="P428" s="5">
        <f t="shared" si="16"/>
        <v>-695</v>
      </c>
      <c r="Q428" s="19">
        <f t="shared" si="17"/>
        <v>0.3188073394</v>
      </c>
      <c r="R428" s="5">
        <f t="shared" si="18"/>
        <v>483025</v>
      </c>
      <c r="T428" s="5">
        <f t="shared" si="19"/>
        <v>-1057</v>
      </c>
      <c r="U428" s="19">
        <f t="shared" si="20"/>
        <v>0.4848623853</v>
      </c>
      <c r="V428" s="5">
        <f t="shared" si="21"/>
        <v>1117249</v>
      </c>
    </row>
    <row r="429">
      <c r="A429" s="2">
        <v>41152.0</v>
      </c>
      <c r="B429" s="5">
        <v>137.0</v>
      </c>
      <c r="C429" s="5">
        <f t="shared" si="25"/>
        <v>2663</v>
      </c>
      <c r="D429" s="5">
        <f t="shared" si="23"/>
        <v>2874</v>
      </c>
      <c r="E429" s="5">
        <f t="shared" si="24"/>
        <v>2391</v>
      </c>
      <c r="L429" s="5">
        <f t="shared" si="13"/>
        <v>-2526</v>
      </c>
      <c r="M429" s="19">
        <f t="shared" si="14"/>
        <v>18.4379562</v>
      </c>
      <c r="N429" s="5">
        <f t="shared" si="15"/>
        <v>6380676</v>
      </c>
      <c r="P429" s="5">
        <f t="shared" si="16"/>
        <v>-2737</v>
      </c>
      <c r="Q429" s="19">
        <f t="shared" si="17"/>
        <v>19.97810219</v>
      </c>
      <c r="R429" s="5">
        <f t="shared" si="18"/>
        <v>7491169</v>
      </c>
      <c r="T429" s="5">
        <f t="shared" si="19"/>
        <v>-2254</v>
      </c>
      <c r="U429" s="19">
        <f t="shared" si="20"/>
        <v>16.45255474</v>
      </c>
      <c r="V429" s="5">
        <f t="shared" si="21"/>
        <v>5080516</v>
      </c>
    </row>
    <row r="430">
      <c r="A430" s="2">
        <v>41156.0</v>
      </c>
      <c r="B430" s="5">
        <v>5148.0</v>
      </c>
      <c r="C430" s="5">
        <f t="shared" si="25"/>
        <v>2598</v>
      </c>
      <c r="D430" s="5">
        <f t="shared" si="23"/>
        <v>2867</v>
      </c>
      <c r="E430" s="5">
        <f t="shared" si="24"/>
        <v>588</v>
      </c>
      <c r="L430" s="5">
        <f t="shared" si="13"/>
        <v>2550</v>
      </c>
      <c r="M430" s="19">
        <f t="shared" si="14"/>
        <v>0.4953379953</v>
      </c>
      <c r="N430" s="5">
        <f t="shared" si="15"/>
        <v>6502500</v>
      </c>
      <c r="P430" s="5">
        <f t="shared" si="16"/>
        <v>2281</v>
      </c>
      <c r="Q430" s="19">
        <f t="shared" si="17"/>
        <v>0.4430846931</v>
      </c>
      <c r="R430" s="5">
        <f t="shared" si="18"/>
        <v>5202961</v>
      </c>
      <c r="T430" s="5">
        <f t="shared" si="19"/>
        <v>4560</v>
      </c>
      <c r="U430" s="19">
        <f t="shared" si="20"/>
        <v>0.8857808858</v>
      </c>
      <c r="V430" s="5">
        <f t="shared" si="21"/>
        <v>20793600</v>
      </c>
    </row>
    <row r="431">
      <c r="A431" s="2">
        <v>41157.0</v>
      </c>
      <c r="B431" s="5">
        <v>3374.0</v>
      </c>
      <c r="C431" s="5">
        <f t="shared" si="25"/>
        <v>3048</v>
      </c>
      <c r="D431" s="5">
        <f t="shared" si="23"/>
        <v>2873</v>
      </c>
      <c r="E431" s="5">
        <f t="shared" si="24"/>
        <v>4236</v>
      </c>
      <c r="L431" s="5">
        <f t="shared" si="13"/>
        <v>326</v>
      </c>
      <c r="M431" s="19">
        <f t="shared" si="14"/>
        <v>0.0966212211</v>
      </c>
      <c r="N431" s="5">
        <f t="shared" si="15"/>
        <v>106276</v>
      </c>
      <c r="P431" s="5">
        <f t="shared" si="16"/>
        <v>501</v>
      </c>
      <c r="Q431" s="19">
        <f t="shared" si="17"/>
        <v>0.148488441</v>
      </c>
      <c r="R431" s="5">
        <f t="shared" si="18"/>
        <v>251001</v>
      </c>
      <c r="T431" s="5">
        <f t="shared" si="19"/>
        <v>-862</v>
      </c>
      <c r="U431" s="19">
        <f t="shared" si="20"/>
        <v>0.2554831061</v>
      </c>
      <c r="V431" s="5">
        <f t="shared" si="21"/>
        <v>743044</v>
      </c>
    </row>
    <row r="432">
      <c r="A432" s="2">
        <v>41158.0</v>
      </c>
      <c r="B432" s="5">
        <v>889.0</v>
      </c>
      <c r="C432" s="5">
        <f t="shared" si="25"/>
        <v>2760</v>
      </c>
      <c r="D432" s="5">
        <f t="shared" si="23"/>
        <v>2874</v>
      </c>
      <c r="E432" s="5">
        <f t="shared" si="24"/>
        <v>3546</v>
      </c>
      <c r="L432" s="5">
        <f t="shared" si="13"/>
        <v>-1871</v>
      </c>
      <c r="M432" s="19">
        <f t="shared" si="14"/>
        <v>2.104611924</v>
      </c>
      <c r="N432" s="5">
        <f t="shared" si="15"/>
        <v>3500641</v>
      </c>
      <c r="P432" s="5">
        <f t="shared" si="16"/>
        <v>-1985</v>
      </c>
      <c r="Q432" s="19">
        <f t="shared" si="17"/>
        <v>2.232845894</v>
      </c>
      <c r="R432" s="5">
        <f t="shared" si="18"/>
        <v>3940225</v>
      </c>
      <c r="T432" s="5">
        <f t="shared" si="19"/>
        <v>-2657</v>
      </c>
      <c r="U432" s="19">
        <f t="shared" si="20"/>
        <v>2.988751406</v>
      </c>
      <c r="V432" s="5">
        <f t="shared" si="21"/>
        <v>7059649</v>
      </c>
    </row>
    <row r="433">
      <c r="A433" s="2">
        <v>41159.0</v>
      </c>
      <c r="B433" s="5">
        <v>60.0</v>
      </c>
      <c r="C433" s="5">
        <f t="shared" si="25"/>
        <v>2346</v>
      </c>
      <c r="D433" s="5">
        <f t="shared" si="23"/>
        <v>2869</v>
      </c>
      <c r="E433" s="5">
        <f t="shared" si="24"/>
        <v>1420</v>
      </c>
      <c r="L433" s="5">
        <f t="shared" si="13"/>
        <v>-2286</v>
      </c>
      <c r="M433" s="19">
        <f t="shared" si="14"/>
        <v>38.1</v>
      </c>
      <c r="N433" s="5">
        <f t="shared" si="15"/>
        <v>5225796</v>
      </c>
      <c r="P433" s="5">
        <f t="shared" si="16"/>
        <v>-2809</v>
      </c>
      <c r="Q433" s="19">
        <f t="shared" si="17"/>
        <v>46.81666667</v>
      </c>
      <c r="R433" s="5">
        <f t="shared" si="18"/>
        <v>7890481</v>
      </c>
      <c r="T433" s="5">
        <f t="shared" si="19"/>
        <v>-1360</v>
      </c>
      <c r="U433" s="19">
        <f t="shared" si="20"/>
        <v>22.66666667</v>
      </c>
      <c r="V433" s="5">
        <f t="shared" si="21"/>
        <v>1849600</v>
      </c>
    </row>
    <row r="434">
      <c r="A434" s="2">
        <v>41162.0</v>
      </c>
      <c r="B434" s="5">
        <v>2266.0</v>
      </c>
      <c r="C434" s="5">
        <f t="shared" si="25"/>
        <v>1922</v>
      </c>
      <c r="D434" s="5">
        <f t="shared" si="23"/>
        <v>2863</v>
      </c>
      <c r="E434" s="5">
        <f t="shared" si="24"/>
        <v>332</v>
      </c>
      <c r="L434" s="5">
        <f t="shared" si="13"/>
        <v>344</v>
      </c>
      <c r="M434" s="19">
        <f t="shared" si="14"/>
        <v>0.1518093557</v>
      </c>
      <c r="N434" s="5">
        <f t="shared" si="15"/>
        <v>118336</v>
      </c>
      <c r="P434" s="5">
        <f t="shared" si="16"/>
        <v>-597</v>
      </c>
      <c r="Q434" s="19">
        <f t="shared" si="17"/>
        <v>0.2634598411</v>
      </c>
      <c r="R434" s="5">
        <f t="shared" si="18"/>
        <v>356409</v>
      </c>
      <c r="T434" s="5">
        <f t="shared" si="19"/>
        <v>1934</v>
      </c>
      <c r="U434" s="19">
        <f t="shared" si="20"/>
        <v>0.8534863195</v>
      </c>
      <c r="V434" s="5">
        <f t="shared" si="21"/>
        <v>3740356</v>
      </c>
    </row>
    <row r="435">
      <c r="A435" s="2">
        <v>41163.0</v>
      </c>
      <c r="B435" s="5">
        <v>3073.0</v>
      </c>
      <c r="C435" s="5">
        <f t="shared" si="25"/>
        <v>2347</v>
      </c>
      <c r="D435" s="5">
        <f t="shared" si="23"/>
        <v>2861</v>
      </c>
      <c r="E435" s="5">
        <f t="shared" si="24"/>
        <v>1879</v>
      </c>
      <c r="L435" s="5">
        <f t="shared" si="13"/>
        <v>726</v>
      </c>
      <c r="M435" s="19">
        <f t="shared" si="14"/>
        <v>0.2362512203</v>
      </c>
      <c r="N435" s="5">
        <f t="shared" si="15"/>
        <v>527076</v>
      </c>
      <c r="P435" s="5">
        <f t="shared" si="16"/>
        <v>212</v>
      </c>
      <c r="Q435" s="19">
        <f t="shared" si="17"/>
        <v>0.06898795965</v>
      </c>
      <c r="R435" s="5">
        <f t="shared" si="18"/>
        <v>44944</v>
      </c>
      <c r="T435" s="5">
        <f t="shared" si="19"/>
        <v>1194</v>
      </c>
      <c r="U435" s="19">
        <f t="shared" si="20"/>
        <v>0.3885453954</v>
      </c>
      <c r="V435" s="5">
        <f t="shared" si="21"/>
        <v>1425636</v>
      </c>
    </row>
    <row r="436">
      <c r="A436" s="2">
        <v>41164.0</v>
      </c>
      <c r="B436" s="5">
        <v>4458.0</v>
      </c>
      <c r="C436" s="5">
        <f t="shared" si="25"/>
        <v>1932</v>
      </c>
      <c r="D436" s="5">
        <f t="shared" si="23"/>
        <v>2862</v>
      </c>
      <c r="E436" s="5">
        <f t="shared" si="24"/>
        <v>2834</v>
      </c>
      <c r="L436" s="5">
        <f t="shared" si="13"/>
        <v>2526</v>
      </c>
      <c r="M436" s="19">
        <f t="shared" si="14"/>
        <v>0.5666218035</v>
      </c>
      <c r="N436" s="5">
        <f t="shared" si="15"/>
        <v>6380676</v>
      </c>
      <c r="P436" s="5">
        <f t="shared" si="16"/>
        <v>1596</v>
      </c>
      <c r="Q436" s="19">
        <f t="shared" si="17"/>
        <v>0.3580080754</v>
      </c>
      <c r="R436" s="5">
        <f t="shared" si="18"/>
        <v>2547216</v>
      </c>
      <c r="T436" s="5">
        <f t="shared" si="19"/>
        <v>1624</v>
      </c>
      <c r="U436" s="19">
        <f t="shared" si="20"/>
        <v>0.3642889188</v>
      </c>
      <c r="V436" s="5">
        <f t="shared" si="21"/>
        <v>2637376</v>
      </c>
    </row>
    <row r="437">
      <c r="A437" s="2">
        <v>41165.0</v>
      </c>
      <c r="B437" s="5">
        <v>1220.0</v>
      </c>
      <c r="C437" s="5">
        <f t="shared" si="25"/>
        <v>2149</v>
      </c>
      <c r="D437" s="5">
        <f t="shared" si="23"/>
        <v>2865</v>
      </c>
      <c r="E437" s="5">
        <f t="shared" si="24"/>
        <v>4133</v>
      </c>
      <c r="L437" s="5">
        <f t="shared" si="13"/>
        <v>-929</v>
      </c>
      <c r="M437" s="19">
        <f t="shared" si="14"/>
        <v>0.7614754098</v>
      </c>
      <c r="N437" s="5">
        <f t="shared" si="15"/>
        <v>863041</v>
      </c>
      <c r="P437" s="5">
        <f t="shared" si="16"/>
        <v>-1645</v>
      </c>
      <c r="Q437" s="19">
        <f t="shared" si="17"/>
        <v>1.348360656</v>
      </c>
      <c r="R437" s="5">
        <f t="shared" si="18"/>
        <v>2706025</v>
      </c>
      <c r="T437" s="5">
        <f t="shared" si="19"/>
        <v>-2913</v>
      </c>
      <c r="U437" s="19">
        <f t="shared" si="20"/>
        <v>2.387704918</v>
      </c>
      <c r="V437" s="5">
        <f t="shared" si="21"/>
        <v>8485569</v>
      </c>
    </row>
    <row r="438">
      <c r="A438" s="2">
        <v>41166.0</v>
      </c>
      <c r="B438" s="5">
        <v>250.0</v>
      </c>
      <c r="C438" s="5">
        <f t="shared" si="25"/>
        <v>2215</v>
      </c>
      <c r="D438" s="5">
        <f t="shared" si="23"/>
        <v>2862</v>
      </c>
      <c r="E438" s="5">
        <f t="shared" si="24"/>
        <v>1803</v>
      </c>
      <c r="L438" s="5">
        <f t="shared" si="13"/>
        <v>-1965</v>
      </c>
      <c r="M438" s="19">
        <f t="shared" si="14"/>
        <v>7.86</v>
      </c>
      <c r="N438" s="5">
        <f t="shared" si="15"/>
        <v>3861225</v>
      </c>
      <c r="P438" s="5">
        <f t="shared" si="16"/>
        <v>-2612</v>
      </c>
      <c r="Q438" s="19">
        <f t="shared" si="17"/>
        <v>10.448</v>
      </c>
      <c r="R438" s="5">
        <f t="shared" si="18"/>
        <v>6822544</v>
      </c>
      <c r="T438" s="5">
        <f t="shared" si="19"/>
        <v>-1553</v>
      </c>
      <c r="U438" s="19">
        <f t="shared" si="20"/>
        <v>6.212</v>
      </c>
      <c r="V438" s="5">
        <f t="shared" si="21"/>
        <v>2411809</v>
      </c>
    </row>
    <row r="439">
      <c r="A439" s="2">
        <v>41169.0</v>
      </c>
      <c r="B439" s="5">
        <v>1640.0</v>
      </c>
      <c r="C439" s="5">
        <f t="shared" si="25"/>
        <v>2253</v>
      </c>
      <c r="D439" s="5">
        <f t="shared" si="23"/>
        <v>2856</v>
      </c>
      <c r="E439" s="5">
        <f t="shared" si="24"/>
        <v>561</v>
      </c>
      <c r="L439" s="5">
        <f t="shared" si="13"/>
        <v>-613</v>
      </c>
      <c r="M439" s="19">
        <f t="shared" si="14"/>
        <v>0.3737804878</v>
      </c>
      <c r="N439" s="5">
        <f t="shared" si="15"/>
        <v>375769</v>
      </c>
      <c r="P439" s="5">
        <f t="shared" si="16"/>
        <v>-1216</v>
      </c>
      <c r="Q439" s="19">
        <f t="shared" si="17"/>
        <v>0.7414634146</v>
      </c>
      <c r="R439" s="5">
        <f t="shared" si="18"/>
        <v>1478656</v>
      </c>
      <c r="T439" s="5">
        <f t="shared" si="19"/>
        <v>1079</v>
      </c>
      <c r="U439" s="19">
        <f t="shared" si="20"/>
        <v>0.6579268293</v>
      </c>
      <c r="V439" s="5">
        <f t="shared" si="21"/>
        <v>1164241</v>
      </c>
    </row>
    <row r="440">
      <c r="A440" s="2">
        <v>41170.0</v>
      </c>
      <c r="B440" s="5">
        <v>5618.0</v>
      </c>
      <c r="C440" s="5">
        <f t="shared" si="25"/>
        <v>2128</v>
      </c>
      <c r="D440" s="5">
        <f t="shared" si="23"/>
        <v>2853</v>
      </c>
      <c r="E440" s="5">
        <f t="shared" si="24"/>
        <v>1424</v>
      </c>
      <c r="L440" s="5">
        <f t="shared" si="13"/>
        <v>3490</v>
      </c>
      <c r="M440" s="19">
        <f t="shared" si="14"/>
        <v>0.6212175151</v>
      </c>
      <c r="N440" s="5">
        <f t="shared" si="15"/>
        <v>12180100</v>
      </c>
      <c r="P440" s="5">
        <f t="shared" si="16"/>
        <v>2765</v>
      </c>
      <c r="Q440" s="19">
        <f t="shared" si="17"/>
        <v>0.4921680313</v>
      </c>
      <c r="R440" s="5">
        <f t="shared" si="18"/>
        <v>7645225</v>
      </c>
      <c r="T440" s="5">
        <f t="shared" si="19"/>
        <v>4194</v>
      </c>
      <c r="U440" s="19">
        <f t="shared" si="20"/>
        <v>0.7465290139</v>
      </c>
      <c r="V440" s="5">
        <f t="shared" si="21"/>
        <v>17589636</v>
      </c>
    </row>
    <row r="441">
      <c r="A441" s="2">
        <v>41171.0</v>
      </c>
      <c r="B441" s="5">
        <v>3942.0</v>
      </c>
      <c r="C441" s="5">
        <f t="shared" si="25"/>
        <v>2637</v>
      </c>
      <c r="D441" s="5">
        <f t="shared" si="23"/>
        <v>2859</v>
      </c>
      <c r="E441" s="5">
        <f t="shared" si="24"/>
        <v>4779</v>
      </c>
      <c r="L441" s="5">
        <f t="shared" si="13"/>
        <v>1305</v>
      </c>
      <c r="M441" s="19">
        <f t="shared" si="14"/>
        <v>0.3310502283</v>
      </c>
      <c r="N441" s="5">
        <f t="shared" si="15"/>
        <v>1703025</v>
      </c>
      <c r="P441" s="5">
        <f t="shared" si="16"/>
        <v>1083</v>
      </c>
      <c r="Q441" s="19">
        <f t="shared" si="17"/>
        <v>0.2747336377</v>
      </c>
      <c r="R441" s="5">
        <f t="shared" si="18"/>
        <v>1172889</v>
      </c>
      <c r="T441" s="5">
        <f t="shared" si="19"/>
        <v>-837</v>
      </c>
      <c r="U441" s="19">
        <f t="shared" si="20"/>
        <v>0.2123287671</v>
      </c>
      <c r="V441" s="5">
        <f t="shared" si="21"/>
        <v>700569</v>
      </c>
    </row>
    <row r="442">
      <c r="A442" s="2">
        <v>41172.0</v>
      </c>
      <c r="B442" s="5">
        <v>1311.0</v>
      </c>
      <c r="C442" s="5">
        <f t="shared" si="25"/>
        <v>2534</v>
      </c>
      <c r="D442" s="5">
        <f t="shared" si="23"/>
        <v>2862</v>
      </c>
      <c r="E442" s="5">
        <f t="shared" si="24"/>
        <v>4109</v>
      </c>
      <c r="L442" s="5">
        <f t="shared" si="13"/>
        <v>-1223</v>
      </c>
      <c r="M442" s="19">
        <f t="shared" si="14"/>
        <v>0.9328756674</v>
      </c>
      <c r="N442" s="5">
        <f t="shared" si="15"/>
        <v>1495729</v>
      </c>
      <c r="P442" s="5">
        <f t="shared" si="16"/>
        <v>-1551</v>
      </c>
      <c r="Q442" s="19">
        <f t="shared" si="17"/>
        <v>1.183066362</v>
      </c>
      <c r="R442" s="5">
        <f t="shared" si="18"/>
        <v>2405601</v>
      </c>
      <c r="T442" s="5">
        <f t="shared" si="19"/>
        <v>-2798</v>
      </c>
      <c r="U442" s="19">
        <f t="shared" si="20"/>
        <v>2.134248665</v>
      </c>
      <c r="V442" s="5">
        <f t="shared" si="21"/>
        <v>7828804</v>
      </c>
    </row>
    <row r="443">
      <c r="A443" s="2">
        <v>41173.0</v>
      </c>
      <c r="B443" s="5">
        <v>150.0</v>
      </c>
      <c r="C443" s="5">
        <f t="shared" si="25"/>
        <v>2552</v>
      </c>
      <c r="D443" s="5">
        <f t="shared" si="23"/>
        <v>2858</v>
      </c>
      <c r="E443" s="5">
        <f t="shared" si="24"/>
        <v>1871</v>
      </c>
      <c r="L443" s="5">
        <f t="shared" si="13"/>
        <v>-2402</v>
      </c>
      <c r="M443" s="19">
        <f t="shared" si="14"/>
        <v>16.01333333</v>
      </c>
      <c r="N443" s="5">
        <f t="shared" si="15"/>
        <v>5769604</v>
      </c>
      <c r="P443" s="5">
        <f t="shared" si="16"/>
        <v>-2708</v>
      </c>
      <c r="Q443" s="19">
        <f t="shared" si="17"/>
        <v>18.05333333</v>
      </c>
      <c r="R443" s="5">
        <f t="shared" si="18"/>
        <v>7333264</v>
      </c>
      <c r="T443" s="5">
        <f t="shared" si="19"/>
        <v>-1721</v>
      </c>
      <c r="U443" s="19">
        <f t="shared" si="20"/>
        <v>11.47333333</v>
      </c>
      <c r="V443" s="5">
        <f t="shared" si="21"/>
        <v>2961841</v>
      </c>
    </row>
    <row r="444">
      <c r="A444" s="2">
        <v>41176.0</v>
      </c>
      <c r="B444" s="5">
        <v>5476.0</v>
      </c>
      <c r="C444" s="5">
        <f t="shared" si="25"/>
        <v>2532</v>
      </c>
      <c r="D444" s="5">
        <f t="shared" si="23"/>
        <v>2852</v>
      </c>
      <c r="E444" s="5">
        <f t="shared" si="24"/>
        <v>494</v>
      </c>
      <c r="L444" s="5">
        <f t="shared" si="13"/>
        <v>2944</v>
      </c>
      <c r="M444" s="19">
        <f t="shared" si="14"/>
        <v>0.5376186998</v>
      </c>
      <c r="N444" s="5">
        <f t="shared" si="15"/>
        <v>8667136</v>
      </c>
      <c r="P444" s="5">
        <f t="shared" si="16"/>
        <v>2624</v>
      </c>
      <c r="Q444" s="19">
        <f t="shared" si="17"/>
        <v>0.4791818846</v>
      </c>
      <c r="R444" s="5">
        <f t="shared" si="18"/>
        <v>6885376</v>
      </c>
      <c r="T444" s="5">
        <f t="shared" si="19"/>
        <v>4982</v>
      </c>
      <c r="U444" s="19">
        <f t="shared" si="20"/>
        <v>0.9097881665</v>
      </c>
      <c r="V444" s="5">
        <f t="shared" si="21"/>
        <v>24820324</v>
      </c>
    </row>
    <row r="445">
      <c r="A445" s="2">
        <v>41177.0</v>
      </c>
      <c r="B445" s="5">
        <v>5724.0</v>
      </c>
      <c r="C445" s="5">
        <f t="shared" si="25"/>
        <v>3299</v>
      </c>
      <c r="D445" s="5">
        <f t="shared" si="23"/>
        <v>2858</v>
      </c>
      <c r="E445" s="5">
        <f t="shared" si="24"/>
        <v>4480</v>
      </c>
      <c r="L445" s="5">
        <f t="shared" si="13"/>
        <v>2425</v>
      </c>
      <c r="M445" s="19">
        <f t="shared" si="14"/>
        <v>0.4236547869</v>
      </c>
      <c r="N445" s="5">
        <f t="shared" si="15"/>
        <v>5880625</v>
      </c>
      <c r="P445" s="5">
        <f t="shared" si="16"/>
        <v>2866</v>
      </c>
      <c r="Q445" s="19">
        <f t="shared" si="17"/>
        <v>0.500698812</v>
      </c>
      <c r="R445" s="5">
        <f t="shared" si="18"/>
        <v>8213956</v>
      </c>
      <c r="T445" s="5">
        <f t="shared" si="19"/>
        <v>1244</v>
      </c>
      <c r="U445" s="19">
        <f t="shared" si="20"/>
        <v>0.2173305381</v>
      </c>
      <c r="V445" s="5">
        <f t="shared" si="21"/>
        <v>1547536</v>
      </c>
    </row>
    <row r="446">
      <c r="A446" s="2">
        <v>41178.0</v>
      </c>
      <c r="B446" s="5">
        <v>3058.0</v>
      </c>
      <c r="C446" s="5">
        <f t="shared" si="25"/>
        <v>3321</v>
      </c>
      <c r="D446" s="5">
        <f t="shared" si="23"/>
        <v>2864</v>
      </c>
      <c r="E446" s="5">
        <f t="shared" si="24"/>
        <v>5475</v>
      </c>
      <c r="L446" s="5">
        <f t="shared" si="13"/>
        <v>-263</v>
      </c>
      <c r="M446" s="19">
        <f t="shared" si="14"/>
        <v>0.08600392413</v>
      </c>
      <c r="N446" s="5">
        <f t="shared" si="15"/>
        <v>69169</v>
      </c>
      <c r="P446" s="5">
        <f t="shared" si="16"/>
        <v>194</v>
      </c>
      <c r="Q446" s="19">
        <f t="shared" si="17"/>
        <v>0.06344015697</v>
      </c>
      <c r="R446" s="5">
        <f t="shared" si="18"/>
        <v>37636</v>
      </c>
      <c r="T446" s="5">
        <f t="shared" si="19"/>
        <v>-2417</v>
      </c>
      <c r="U446" s="19">
        <f t="shared" si="20"/>
        <v>0.7903858731</v>
      </c>
      <c r="V446" s="5">
        <f t="shared" si="21"/>
        <v>5841889</v>
      </c>
    </row>
    <row r="447">
      <c r="A447" s="2">
        <v>41179.0</v>
      </c>
      <c r="B447" s="5">
        <v>2304.0</v>
      </c>
      <c r="C447" s="5">
        <f t="shared" si="25"/>
        <v>3144</v>
      </c>
      <c r="D447" s="5">
        <f t="shared" si="23"/>
        <v>2865</v>
      </c>
      <c r="E447" s="5">
        <f t="shared" si="24"/>
        <v>3541</v>
      </c>
      <c r="L447" s="5">
        <f t="shared" si="13"/>
        <v>-840</v>
      </c>
      <c r="M447" s="19">
        <f t="shared" si="14"/>
        <v>0.3645833333</v>
      </c>
      <c r="N447" s="5">
        <f t="shared" si="15"/>
        <v>705600</v>
      </c>
      <c r="P447" s="5">
        <f t="shared" si="16"/>
        <v>-561</v>
      </c>
      <c r="Q447" s="19">
        <f t="shared" si="17"/>
        <v>0.2434895833</v>
      </c>
      <c r="R447" s="5">
        <f t="shared" si="18"/>
        <v>314721</v>
      </c>
      <c r="T447" s="5">
        <f t="shared" si="19"/>
        <v>-1237</v>
      </c>
      <c r="U447" s="19">
        <f t="shared" si="20"/>
        <v>0.5368923611</v>
      </c>
      <c r="V447" s="5">
        <f t="shared" si="21"/>
        <v>1530169</v>
      </c>
    </row>
    <row r="448">
      <c r="A448" s="2">
        <v>41180.0</v>
      </c>
      <c r="B448" s="5">
        <v>210.0</v>
      </c>
      <c r="C448" s="5">
        <f t="shared" si="25"/>
        <v>3342</v>
      </c>
      <c r="D448" s="5">
        <f t="shared" si="23"/>
        <v>2864</v>
      </c>
      <c r="E448" s="5">
        <f t="shared" si="24"/>
        <v>2551</v>
      </c>
      <c r="L448" s="5">
        <f t="shared" si="13"/>
        <v>-3132</v>
      </c>
      <c r="M448" s="19">
        <f t="shared" si="14"/>
        <v>14.91428571</v>
      </c>
      <c r="N448" s="5">
        <f t="shared" si="15"/>
        <v>9809424</v>
      </c>
      <c r="P448" s="5">
        <f t="shared" si="16"/>
        <v>-2654</v>
      </c>
      <c r="Q448" s="19">
        <f t="shared" si="17"/>
        <v>12.63809524</v>
      </c>
      <c r="R448" s="5">
        <f t="shared" si="18"/>
        <v>7043716</v>
      </c>
      <c r="T448" s="5">
        <f t="shared" si="19"/>
        <v>-2341</v>
      </c>
      <c r="U448" s="19">
        <f t="shared" si="20"/>
        <v>11.14761905</v>
      </c>
      <c r="V448" s="5">
        <f t="shared" si="21"/>
        <v>5480281</v>
      </c>
    </row>
    <row r="449">
      <c r="A449" s="2">
        <v>41183.0</v>
      </c>
      <c r="B449" s="5">
        <v>3194.0</v>
      </c>
      <c r="C449" s="5">
        <f t="shared" si="25"/>
        <v>3354</v>
      </c>
      <c r="D449" s="5">
        <f t="shared" si="23"/>
        <v>2858</v>
      </c>
      <c r="E449" s="5">
        <f t="shared" si="24"/>
        <v>678</v>
      </c>
      <c r="L449" s="5">
        <f t="shared" si="13"/>
        <v>-160</v>
      </c>
      <c r="M449" s="19">
        <f t="shared" si="14"/>
        <v>0.05009392611</v>
      </c>
      <c r="N449" s="5">
        <f t="shared" si="15"/>
        <v>25600</v>
      </c>
      <c r="P449" s="5">
        <f t="shared" si="16"/>
        <v>336</v>
      </c>
      <c r="Q449" s="19">
        <f t="shared" si="17"/>
        <v>0.1051972448</v>
      </c>
      <c r="R449" s="5">
        <f t="shared" si="18"/>
        <v>112896</v>
      </c>
      <c r="T449" s="5">
        <f t="shared" si="19"/>
        <v>2516</v>
      </c>
      <c r="U449" s="19">
        <f t="shared" si="20"/>
        <v>0.7877269881</v>
      </c>
      <c r="V449" s="5">
        <f t="shared" si="21"/>
        <v>6330256</v>
      </c>
    </row>
    <row r="450">
      <c r="A450" s="2">
        <v>41184.0</v>
      </c>
      <c r="B450" s="5">
        <v>7383.0</v>
      </c>
      <c r="C450" s="5">
        <f t="shared" si="25"/>
        <v>2898</v>
      </c>
      <c r="D450" s="5">
        <f t="shared" si="23"/>
        <v>2858</v>
      </c>
      <c r="E450" s="5">
        <f t="shared" si="24"/>
        <v>2691</v>
      </c>
      <c r="L450" s="5">
        <f t="shared" si="13"/>
        <v>4485</v>
      </c>
      <c r="M450" s="19">
        <f t="shared" si="14"/>
        <v>0.6074766355</v>
      </c>
      <c r="N450" s="5">
        <f t="shared" si="15"/>
        <v>20115225</v>
      </c>
      <c r="P450" s="5">
        <f t="shared" si="16"/>
        <v>4525</v>
      </c>
      <c r="Q450" s="19">
        <f t="shared" si="17"/>
        <v>0.6128944873</v>
      </c>
      <c r="R450" s="5">
        <f t="shared" si="18"/>
        <v>20475625</v>
      </c>
      <c r="T450" s="5">
        <f t="shared" si="19"/>
        <v>4692</v>
      </c>
      <c r="U450" s="19">
        <f t="shared" si="20"/>
        <v>0.6355140187</v>
      </c>
      <c r="V450" s="5">
        <f t="shared" si="21"/>
        <v>22014864</v>
      </c>
    </row>
    <row r="451">
      <c r="A451" s="2">
        <v>41185.0</v>
      </c>
      <c r="B451" s="5">
        <v>2484.0</v>
      </c>
      <c r="C451" s="5">
        <f t="shared" si="25"/>
        <v>3230</v>
      </c>
      <c r="D451" s="5">
        <f t="shared" si="23"/>
        <v>2868</v>
      </c>
      <c r="E451" s="5">
        <f t="shared" si="24"/>
        <v>6445</v>
      </c>
      <c r="L451" s="5">
        <f t="shared" si="13"/>
        <v>-746</v>
      </c>
      <c r="M451" s="19">
        <f t="shared" si="14"/>
        <v>0.3003220612</v>
      </c>
      <c r="N451" s="5">
        <f t="shared" si="15"/>
        <v>556516</v>
      </c>
      <c r="P451" s="5">
        <f t="shared" si="16"/>
        <v>-384</v>
      </c>
      <c r="Q451" s="19">
        <f t="shared" si="17"/>
        <v>0.154589372</v>
      </c>
      <c r="R451" s="5">
        <f t="shared" si="18"/>
        <v>147456</v>
      </c>
      <c r="T451" s="5">
        <f t="shared" si="19"/>
        <v>-3961</v>
      </c>
      <c r="U451" s="19">
        <f t="shared" si="20"/>
        <v>1.594605475</v>
      </c>
      <c r="V451" s="5">
        <f t="shared" si="21"/>
        <v>15689521</v>
      </c>
    </row>
    <row r="452">
      <c r="A452" s="2">
        <v>41186.0</v>
      </c>
      <c r="B452" s="5">
        <v>1162.0</v>
      </c>
      <c r="C452" s="5">
        <f t="shared" si="25"/>
        <v>3115</v>
      </c>
      <c r="D452" s="5">
        <f t="shared" si="23"/>
        <v>2868</v>
      </c>
      <c r="E452" s="5">
        <f t="shared" si="24"/>
        <v>3276</v>
      </c>
      <c r="L452" s="5">
        <f t="shared" si="13"/>
        <v>-1953</v>
      </c>
      <c r="M452" s="19">
        <f t="shared" si="14"/>
        <v>1.680722892</v>
      </c>
      <c r="N452" s="5">
        <f t="shared" si="15"/>
        <v>3814209</v>
      </c>
      <c r="P452" s="5">
        <f t="shared" si="16"/>
        <v>-1706</v>
      </c>
      <c r="Q452" s="19">
        <f t="shared" si="17"/>
        <v>1.468158348</v>
      </c>
      <c r="R452" s="5">
        <f t="shared" si="18"/>
        <v>2910436</v>
      </c>
      <c r="T452" s="5">
        <f t="shared" si="19"/>
        <v>-2114</v>
      </c>
      <c r="U452" s="19">
        <f t="shared" si="20"/>
        <v>1.819277108</v>
      </c>
      <c r="V452" s="5">
        <f t="shared" si="21"/>
        <v>4468996</v>
      </c>
    </row>
    <row r="453">
      <c r="A453" s="2">
        <v>41187.0</v>
      </c>
      <c r="B453" s="5">
        <v>326.0</v>
      </c>
      <c r="C453" s="5">
        <f t="shared" si="25"/>
        <v>2887</v>
      </c>
      <c r="D453" s="5">
        <f t="shared" si="23"/>
        <v>2864</v>
      </c>
      <c r="E453" s="5">
        <f t="shared" si="24"/>
        <v>1585</v>
      </c>
      <c r="L453" s="5">
        <f t="shared" si="13"/>
        <v>-2561</v>
      </c>
      <c r="M453" s="19">
        <f t="shared" si="14"/>
        <v>7.855828221</v>
      </c>
      <c r="N453" s="5">
        <f t="shared" si="15"/>
        <v>6558721</v>
      </c>
      <c r="P453" s="5">
        <f t="shared" si="16"/>
        <v>-2538</v>
      </c>
      <c r="Q453" s="19">
        <f t="shared" si="17"/>
        <v>7.785276074</v>
      </c>
      <c r="R453" s="5">
        <f t="shared" si="18"/>
        <v>6441444</v>
      </c>
      <c r="T453" s="5">
        <f t="shared" si="19"/>
        <v>-1259</v>
      </c>
      <c r="U453" s="19">
        <f t="shared" si="20"/>
        <v>3.86196319</v>
      </c>
      <c r="V453" s="5">
        <f t="shared" si="21"/>
        <v>1585081</v>
      </c>
    </row>
    <row r="454">
      <c r="A454" s="2">
        <v>41190.0</v>
      </c>
      <c r="B454" s="5">
        <v>1290.0</v>
      </c>
      <c r="C454" s="5">
        <f t="shared" si="25"/>
        <v>2910</v>
      </c>
      <c r="D454" s="5">
        <f t="shared" si="23"/>
        <v>2858</v>
      </c>
      <c r="E454" s="5">
        <f t="shared" si="24"/>
        <v>578</v>
      </c>
      <c r="L454" s="5">
        <f t="shared" si="13"/>
        <v>-1620</v>
      </c>
      <c r="M454" s="19">
        <f t="shared" si="14"/>
        <v>1.255813953</v>
      </c>
      <c r="N454" s="5">
        <f t="shared" si="15"/>
        <v>2624400</v>
      </c>
      <c r="P454" s="5">
        <f t="shared" si="16"/>
        <v>-1568</v>
      </c>
      <c r="Q454" s="19">
        <f t="shared" si="17"/>
        <v>1.215503876</v>
      </c>
      <c r="R454" s="5">
        <f t="shared" si="18"/>
        <v>2458624</v>
      </c>
      <c r="T454" s="5">
        <f t="shared" si="19"/>
        <v>712</v>
      </c>
      <c r="U454" s="19">
        <f t="shared" si="20"/>
        <v>0.5519379845</v>
      </c>
      <c r="V454" s="5">
        <f t="shared" si="21"/>
        <v>506944</v>
      </c>
    </row>
    <row r="455">
      <c r="A455" s="2">
        <v>41191.0</v>
      </c>
      <c r="B455" s="5">
        <v>3434.0</v>
      </c>
      <c r="C455" s="5">
        <f t="shared" si="25"/>
        <v>2529</v>
      </c>
      <c r="D455" s="5">
        <f t="shared" si="23"/>
        <v>2855</v>
      </c>
      <c r="E455" s="5">
        <f t="shared" si="24"/>
        <v>1148</v>
      </c>
      <c r="L455" s="5">
        <f t="shared" si="13"/>
        <v>905</v>
      </c>
      <c r="M455" s="19">
        <f t="shared" si="14"/>
        <v>0.26354106</v>
      </c>
      <c r="N455" s="5">
        <f t="shared" si="15"/>
        <v>819025</v>
      </c>
      <c r="P455" s="5">
        <f t="shared" si="16"/>
        <v>579</v>
      </c>
      <c r="Q455" s="19">
        <f t="shared" si="17"/>
        <v>0.1686080373</v>
      </c>
      <c r="R455" s="5">
        <f t="shared" si="18"/>
        <v>335241</v>
      </c>
      <c r="T455" s="5">
        <f t="shared" si="19"/>
        <v>2286</v>
      </c>
      <c r="U455" s="19">
        <f t="shared" si="20"/>
        <v>0.6656959814</v>
      </c>
      <c r="V455" s="5">
        <f t="shared" si="21"/>
        <v>5225796</v>
      </c>
    </row>
    <row r="456">
      <c r="A456" s="2">
        <v>41192.0</v>
      </c>
      <c r="B456" s="5">
        <v>3329.0</v>
      </c>
      <c r="C456" s="5">
        <f t="shared" si="25"/>
        <v>1739</v>
      </c>
      <c r="D456" s="5">
        <f t="shared" si="23"/>
        <v>2856</v>
      </c>
      <c r="E456" s="5">
        <f t="shared" si="24"/>
        <v>2977</v>
      </c>
      <c r="L456" s="5">
        <f t="shared" si="13"/>
        <v>1590</v>
      </c>
      <c r="M456" s="19">
        <f t="shared" si="14"/>
        <v>0.4776209072</v>
      </c>
      <c r="N456" s="5">
        <f t="shared" si="15"/>
        <v>2528100</v>
      </c>
      <c r="P456" s="5">
        <f t="shared" si="16"/>
        <v>473</v>
      </c>
      <c r="Q456" s="19">
        <f t="shared" si="17"/>
        <v>0.1420847101</v>
      </c>
      <c r="R456" s="5">
        <f t="shared" si="18"/>
        <v>223729</v>
      </c>
      <c r="T456" s="5">
        <f t="shared" si="19"/>
        <v>352</v>
      </c>
      <c r="U456" s="19">
        <f t="shared" si="20"/>
        <v>0.1057374587</v>
      </c>
      <c r="V456" s="5">
        <f t="shared" si="21"/>
        <v>123904</v>
      </c>
    </row>
    <row r="457">
      <c r="A457" s="2">
        <v>41193.0</v>
      </c>
      <c r="B457" s="5">
        <v>1000.0</v>
      </c>
      <c r="C457" s="5">
        <f t="shared" si="25"/>
        <v>1908</v>
      </c>
      <c r="D457" s="5">
        <f t="shared" si="23"/>
        <v>2857</v>
      </c>
      <c r="E457" s="5">
        <f t="shared" si="24"/>
        <v>3259</v>
      </c>
      <c r="L457" s="5">
        <f t="shared" si="13"/>
        <v>-908</v>
      </c>
      <c r="M457" s="19">
        <f t="shared" si="14"/>
        <v>0.908</v>
      </c>
      <c r="N457" s="5">
        <f t="shared" si="15"/>
        <v>824464</v>
      </c>
      <c r="P457" s="5">
        <f t="shared" si="16"/>
        <v>-1857</v>
      </c>
      <c r="Q457" s="19">
        <f t="shared" si="17"/>
        <v>1.857</v>
      </c>
      <c r="R457" s="5">
        <f t="shared" si="18"/>
        <v>3448449</v>
      </c>
      <c r="T457" s="5">
        <f t="shared" si="19"/>
        <v>-2259</v>
      </c>
      <c r="U457" s="19">
        <f t="shared" si="20"/>
        <v>2.259</v>
      </c>
      <c r="V457" s="5">
        <f t="shared" si="21"/>
        <v>5103081</v>
      </c>
    </row>
    <row r="458">
      <c r="A458" s="2">
        <v>41194.0</v>
      </c>
      <c r="B458" s="5">
        <v>251.0</v>
      </c>
      <c r="C458" s="5">
        <f t="shared" si="25"/>
        <v>1876</v>
      </c>
      <c r="D458" s="5">
        <f t="shared" si="23"/>
        <v>2853</v>
      </c>
      <c r="E458" s="5">
        <f t="shared" si="24"/>
        <v>1452</v>
      </c>
      <c r="L458" s="5">
        <f t="shared" si="13"/>
        <v>-1625</v>
      </c>
      <c r="M458" s="19">
        <f t="shared" si="14"/>
        <v>6.474103586</v>
      </c>
      <c r="N458" s="5">
        <f t="shared" si="15"/>
        <v>2640625</v>
      </c>
      <c r="P458" s="5">
        <f t="shared" si="16"/>
        <v>-2602</v>
      </c>
      <c r="Q458" s="19">
        <f t="shared" si="17"/>
        <v>10.36653386</v>
      </c>
      <c r="R458" s="5">
        <f t="shared" si="18"/>
        <v>6770404</v>
      </c>
      <c r="T458" s="5">
        <f t="shared" si="19"/>
        <v>-1201</v>
      </c>
      <c r="U458" s="19">
        <f t="shared" si="20"/>
        <v>4.784860558</v>
      </c>
      <c r="V458" s="5">
        <f t="shared" si="21"/>
        <v>1442401</v>
      </c>
    </row>
    <row r="459">
      <c r="A459" s="2">
        <v>41197.0</v>
      </c>
      <c r="B459" s="5">
        <v>1809.0</v>
      </c>
      <c r="C459" s="5">
        <f t="shared" si="25"/>
        <v>1861</v>
      </c>
      <c r="D459" s="5">
        <f t="shared" si="23"/>
        <v>2847</v>
      </c>
      <c r="E459" s="5">
        <f t="shared" si="24"/>
        <v>491</v>
      </c>
      <c r="L459" s="5">
        <f t="shared" si="13"/>
        <v>-52</v>
      </c>
      <c r="M459" s="19">
        <f t="shared" si="14"/>
        <v>0.02874516307</v>
      </c>
      <c r="N459" s="5">
        <f t="shared" si="15"/>
        <v>2704</v>
      </c>
      <c r="P459" s="5">
        <f t="shared" si="16"/>
        <v>-1038</v>
      </c>
      <c r="Q459" s="19">
        <f t="shared" si="17"/>
        <v>0.5737976783</v>
      </c>
      <c r="R459" s="5">
        <f t="shared" si="18"/>
        <v>1077444</v>
      </c>
      <c r="T459" s="5">
        <f t="shared" si="19"/>
        <v>1318</v>
      </c>
      <c r="U459" s="19">
        <f t="shared" si="20"/>
        <v>0.7285793256</v>
      </c>
      <c r="V459" s="5">
        <f t="shared" si="21"/>
        <v>1737124</v>
      </c>
    </row>
    <row r="460">
      <c r="A460" s="2">
        <v>41198.0</v>
      </c>
      <c r="B460" s="5">
        <v>2265.0</v>
      </c>
      <c r="C460" s="5">
        <f t="shared" si="25"/>
        <v>1965</v>
      </c>
      <c r="D460" s="5">
        <f t="shared" si="23"/>
        <v>2845</v>
      </c>
      <c r="E460" s="5">
        <f t="shared" si="24"/>
        <v>1545</v>
      </c>
      <c r="L460" s="5">
        <f t="shared" si="13"/>
        <v>300</v>
      </c>
      <c r="M460" s="19">
        <f t="shared" si="14"/>
        <v>0.1324503311</v>
      </c>
      <c r="N460" s="5">
        <f t="shared" si="15"/>
        <v>90000</v>
      </c>
      <c r="P460" s="5">
        <f t="shared" si="16"/>
        <v>-580</v>
      </c>
      <c r="Q460" s="19">
        <f t="shared" si="17"/>
        <v>0.2560706402</v>
      </c>
      <c r="R460" s="5">
        <f t="shared" si="18"/>
        <v>336400</v>
      </c>
      <c r="T460" s="5">
        <f t="shared" si="19"/>
        <v>720</v>
      </c>
      <c r="U460" s="19">
        <f t="shared" si="20"/>
        <v>0.3178807947</v>
      </c>
      <c r="V460" s="5">
        <f t="shared" si="21"/>
        <v>518400</v>
      </c>
    </row>
    <row r="461">
      <c r="A461" s="2">
        <v>41199.0</v>
      </c>
      <c r="B461" s="5">
        <v>4410.0</v>
      </c>
      <c r="C461" s="5">
        <f t="shared" si="25"/>
        <v>1731</v>
      </c>
      <c r="D461" s="5">
        <f t="shared" si="23"/>
        <v>2844</v>
      </c>
      <c r="E461" s="5">
        <f t="shared" si="24"/>
        <v>2121</v>
      </c>
      <c r="L461" s="5">
        <f t="shared" si="13"/>
        <v>2679</v>
      </c>
      <c r="M461" s="19">
        <f t="shared" si="14"/>
        <v>0.6074829932</v>
      </c>
      <c r="N461" s="5">
        <f t="shared" si="15"/>
        <v>7177041</v>
      </c>
      <c r="P461" s="5">
        <f t="shared" si="16"/>
        <v>1566</v>
      </c>
      <c r="Q461" s="19">
        <f t="shared" si="17"/>
        <v>0.3551020408</v>
      </c>
      <c r="R461" s="5">
        <f t="shared" si="18"/>
        <v>2452356</v>
      </c>
      <c r="T461" s="5">
        <f t="shared" si="19"/>
        <v>2289</v>
      </c>
      <c r="U461" s="19">
        <f t="shared" si="20"/>
        <v>0.519047619</v>
      </c>
      <c r="V461" s="5">
        <f t="shared" si="21"/>
        <v>5239521</v>
      </c>
    </row>
    <row r="462">
      <c r="A462" s="2">
        <v>41200.0</v>
      </c>
      <c r="B462" s="5">
        <v>884.0</v>
      </c>
      <c r="C462" s="5">
        <f t="shared" si="25"/>
        <v>1947</v>
      </c>
      <c r="D462" s="5">
        <f t="shared" si="23"/>
        <v>2847</v>
      </c>
      <c r="E462" s="5">
        <f t="shared" si="24"/>
        <v>3952</v>
      </c>
      <c r="L462" s="5">
        <f t="shared" si="13"/>
        <v>-1063</v>
      </c>
      <c r="M462" s="19">
        <f t="shared" si="14"/>
        <v>1.202488688</v>
      </c>
      <c r="N462" s="5">
        <f t="shared" si="15"/>
        <v>1129969</v>
      </c>
      <c r="P462" s="5">
        <f t="shared" si="16"/>
        <v>-1963</v>
      </c>
      <c r="Q462" s="19">
        <f t="shared" si="17"/>
        <v>2.220588235</v>
      </c>
      <c r="R462" s="5">
        <f t="shared" si="18"/>
        <v>3853369</v>
      </c>
      <c r="T462" s="5">
        <f t="shared" si="19"/>
        <v>-3068</v>
      </c>
      <c r="U462" s="19">
        <f t="shared" si="20"/>
        <v>3.470588235</v>
      </c>
      <c r="V462" s="5">
        <f t="shared" si="21"/>
        <v>9412624</v>
      </c>
    </row>
    <row r="463">
      <c r="A463" s="2">
        <v>41201.0</v>
      </c>
      <c r="B463" s="5">
        <v>200.0</v>
      </c>
      <c r="C463" s="5">
        <f t="shared" si="25"/>
        <v>1924</v>
      </c>
      <c r="D463" s="5">
        <f t="shared" si="23"/>
        <v>2843</v>
      </c>
      <c r="E463" s="5">
        <f t="shared" si="24"/>
        <v>1498</v>
      </c>
      <c r="L463" s="5">
        <f t="shared" si="13"/>
        <v>-1724</v>
      </c>
      <c r="M463" s="19">
        <f t="shared" si="14"/>
        <v>8.62</v>
      </c>
      <c r="N463" s="5">
        <f t="shared" si="15"/>
        <v>2972176</v>
      </c>
      <c r="P463" s="5">
        <f t="shared" si="16"/>
        <v>-2643</v>
      </c>
      <c r="Q463" s="19">
        <f t="shared" si="17"/>
        <v>13.215</v>
      </c>
      <c r="R463" s="5">
        <f t="shared" si="18"/>
        <v>6985449</v>
      </c>
      <c r="T463" s="5">
        <f t="shared" si="19"/>
        <v>-1298</v>
      </c>
      <c r="U463" s="19">
        <f t="shared" si="20"/>
        <v>6.49</v>
      </c>
      <c r="V463" s="5">
        <f t="shared" si="21"/>
        <v>1684804</v>
      </c>
    </row>
    <row r="464">
      <c r="A464" s="2">
        <v>41204.0</v>
      </c>
      <c r="B464" s="5">
        <v>1848.0</v>
      </c>
      <c r="C464" s="5">
        <f t="shared" si="25"/>
        <v>1914</v>
      </c>
      <c r="D464" s="5">
        <f t="shared" si="23"/>
        <v>2837</v>
      </c>
      <c r="E464" s="5">
        <f t="shared" si="24"/>
        <v>460</v>
      </c>
      <c r="L464" s="5">
        <f t="shared" si="13"/>
        <v>-66</v>
      </c>
      <c r="M464" s="19">
        <f t="shared" si="14"/>
        <v>0.03571428571</v>
      </c>
      <c r="N464" s="5">
        <f t="shared" si="15"/>
        <v>4356</v>
      </c>
      <c r="P464" s="5">
        <f t="shared" si="16"/>
        <v>-989</v>
      </c>
      <c r="Q464" s="19">
        <f t="shared" si="17"/>
        <v>0.5351731602</v>
      </c>
      <c r="R464" s="5">
        <f t="shared" si="18"/>
        <v>978121</v>
      </c>
      <c r="T464" s="5">
        <f t="shared" si="19"/>
        <v>1388</v>
      </c>
      <c r="U464" s="19">
        <f t="shared" si="20"/>
        <v>0.7510822511</v>
      </c>
      <c r="V464" s="5">
        <f t="shared" si="21"/>
        <v>1926544</v>
      </c>
    </row>
    <row r="465">
      <c r="A465" s="2">
        <v>41205.0</v>
      </c>
      <c r="B465" s="5">
        <v>5001.0</v>
      </c>
      <c r="C465" s="5">
        <f t="shared" si="25"/>
        <v>1921</v>
      </c>
      <c r="D465" s="5">
        <f t="shared" si="23"/>
        <v>2835</v>
      </c>
      <c r="E465" s="5">
        <f t="shared" si="24"/>
        <v>1570</v>
      </c>
      <c r="L465" s="5">
        <f t="shared" si="13"/>
        <v>3080</v>
      </c>
      <c r="M465" s="19">
        <f t="shared" si="14"/>
        <v>0.6158768246</v>
      </c>
      <c r="N465" s="5">
        <f t="shared" si="15"/>
        <v>9486400</v>
      </c>
      <c r="P465" s="5">
        <f t="shared" si="16"/>
        <v>2166</v>
      </c>
      <c r="Q465" s="19">
        <f t="shared" si="17"/>
        <v>0.4331133773</v>
      </c>
      <c r="R465" s="5">
        <f t="shared" si="18"/>
        <v>4691556</v>
      </c>
      <c r="T465" s="5">
        <f t="shared" si="19"/>
        <v>3431</v>
      </c>
      <c r="U465" s="19">
        <f t="shared" si="20"/>
        <v>0.6860627874</v>
      </c>
      <c r="V465" s="5">
        <f t="shared" si="21"/>
        <v>11771761</v>
      </c>
    </row>
    <row r="466">
      <c r="A466" s="2">
        <v>41206.0</v>
      </c>
      <c r="B466" s="5">
        <v>2819.0</v>
      </c>
      <c r="C466" s="5">
        <f t="shared" si="25"/>
        <v>2469</v>
      </c>
      <c r="D466" s="5">
        <f t="shared" si="23"/>
        <v>2840</v>
      </c>
      <c r="E466" s="5">
        <f t="shared" si="24"/>
        <v>4315</v>
      </c>
      <c r="L466" s="5">
        <f t="shared" si="13"/>
        <v>350</v>
      </c>
      <c r="M466" s="19">
        <f t="shared" si="14"/>
        <v>0.1241575027</v>
      </c>
      <c r="N466" s="5">
        <f t="shared" si="15"/>
        <v>122500</v>
      </c>
      <c r="P466" s="5">
        <f t="shared" si="16"/>
        <v>-21</v>
      </c>
      <c r="Q466" s="19">
        <f t="shared" si="17"/>
        <v>0.00744945016</v>
      </c>
      <c r="R466" s="5">
        <f t="shared" si="18"/>
        <v>441</v>
      </c>
      <c r="T466" s="5">
        <f t="shared" si="19"/>
        <v>-1496</v>
      </c>
      <c r="U466" s="19">
        <f t="shared" si="20"/>
        <v>0.5306846399</v>
      </c>
      <c r="V466" s="5">
        <f t="shared" si="21"/>
        <v>2238016</v>
      </c>
    </row>
    <row r="467">
      <c r="A467" s="2">
        <v>41207.0</v>
      </c>
      <c r="B467" s="5">
        <v>1720.0</v>
      </c>
      <c r="C467" s="5">
        <f t="shared" si="25"/>
        <v>2150</v>
      </c>
      <c r="D467" s="5">
        <f t="shared" si="23"/>
        <v>2839</v>
      </c>
      <c r="E467" s="5">
        <f t="shared" si="24"/>
        <v>3118</v>
      </c>
      <c r="L467" s="5">
        <f t="shared" si="13"/>
        <v>-430</v>
      </c>
      <c r="M467" s="19">
        <f t="shared" si="14"/>
        <v>0.25</v>
      </c>
      <c r="N467" s="5">
        <f t="shared" si="15"/>
        <v>184900</v>
      </c>
      <c r="P467" s="5">
        <f t="shared" si="16"/>
        <v>-1119</v>
      </c>
      <c r="Q467" s="19">
        <f t="shared" si="17"/>
        <v>0.6505813953</v>
      </c>
      <c r="R467" s="5">
        <f t="shared" si="18"/>
        <v>1252161</v>
      </c>
      <c r="T467" s="5">
        <f t="shared" si="19"/>
        <v>-1398</v>
      </c>
      <c r="U467" s="19">
        <f t="shared" si="20"/>
        <v>0.8127906977</v>
      </c>
      <c r="V467" s="5">
        <f t="shared" si="21"/>
        <v>1954404</v>
      </c>
    </row>
    <row r="468">
      <c r="A468" s="2">
        <v>41208.0</v>
      </c>
      <c r="B468" s="5">
        <v>50.0</v>
      </c>
      <c r="C468" s="5">
        <f t="shared" si="25"/>
        <v>2318</v>
      </c>
      <c r="D468" s="5">
        <f t="shared" si="23"/>
        <v>2837</v>
      </c>
      <c r="E468" s="5">
        <f t="shared" si="24"/>
        <v>2000</v>
      </c>
      <c r="L468" s="5">
        <f t="shared" si="13"/>
        <v>-2268</v>
      </c>
      <c r="M468" s="19">
        <f t="shared" si="14"/>
        <v>45.36</v>
      </c>
      <c r="N468" s="5">
        <f t="shared" si="15"/>
        <v>5143824</v>
      </c>
      <c r="P468" s="5">
        <f t="shared" si="16"/>
        <v>-2787</v>
      </c>
      <c r="Q468" s="19">
        <f t="shared" si="17"/>
        <v>55.74</v>
      </c>
      <c r="R468" s="5">
        <f t="shared" si="18"/>
        <v>7767369</v>
      </c>
      <c r="T468" s="5">
        <f t="shared" si="19"/>
        <v>-1950</v>
      </c>
      <c r="U468" s="19">
        <f t="shared" si="20"/>
        <v>39</v>
      </c>
      <c r="V468" s="5">
        <f t="shared" si="21"/>
        <v>3802500</v>
      </c>
    </row>
    <row r="469">
      <c r="A469" s="2">
        <v>41213.0</v>
      </c>
      <c r="B469" s="5">
        <v>8541.0</v>
      </c>
      <c r="C469" s="5">
        <f t="shared" si="25"/>
        <v>2288</v>
      </c>
      <c r="D469" s="5">
        <f t="shared" si="23"/>
        <v>2831</v>
      </c>
      <c r="E469" s="5">
        <f t="shared" si="24"/>
        <v>440</v>
      </c>
      <c r="L469" s="5">
        <f t="shared" si="13"/>
        <v>6253</v>
      </c>
      <c r="M469" s="19">
        <f t="shared" si="14"/>
        <v>0.7321156773</v>
      </c>
      <c r="N469" s="5">
        <f t="shared" si="15"/>
        <v>39100009</v>
      </c>
      <c r="P469" s="5">
        <f t="shared" si="16"/>
        <v>5710</v>
      </c>
      <c r="Q469" s="19">
        <f t="shared" si="17"/>
        <v>0.6685399836</v>
      </c>
      <c r="R469" s="5">
        <f t="shared" si="18"/>
        <v>32604100</v>
      </c>
      <c r="T469" s="5">
        <f t="shared" si="19"/>
        <v>8101</v>
      </c>
      <c r="U469" s="19">
        <f t="shared" si="20"/>
        <v>0.9484837841</v>
      </c>
      <c r="V469" s="5">
        <f t="shared" si="21"/>
        <v>65626201</v>
      </c>
    </row>
    <row r="470">
      <c r="A470" s="2">
        <v>41214.0</v>
      </c>
      <c r="B470" s="5">
        <v>1368.0</v>
      </c>
      <c r="C470" s="5">
        <f t="shared" si="25"/>
        <v>3626</v>
      </c>
      <c r="D470" s="5">
        <f t="shared" si="23"/>
        <v>2843</v>
      </c>
      <c r="E470" s="5">
        <f t="shared" si="24"/>
        <v>6921</v>
      </c>
      <c r="L470" s="5">
        <f t="shared" si="13"/>
        <v>-2258</v>
      </c>
      <c r="M470" s="19">
        <f t="shared" si="14"/>
        <v>1.650584795</v>
      </c>
      <c r="N470" s="5">
        <f t="shared" si="15"/>
        <v>5098564</v>
      </c>
      <c r="P470" s="5">
        <f t="shared" si="16"/>
        <v>-1475</v>
      </c>
      <c r="Q470" s="19">
        <f t="shared" si="17"/>
        <v>1.078216374</v>
      </c>
      <c r="R470" s="5">
        <f t="shared" si="18"/>
        <v>2175625</v>
      </c>
      <c r="T470" s="5">
        <f t="shared" si="19"/>
        <v>-5553</v>
      </c>
      <c r="U470" s="19">
        <f t="shared" si="20"/>
        <v>4.059210526</v>
      </c>
      <c r="V470" s="5">
        <f t="shared" si="21"/>
        <v>30835809</v>
      </c>
    </row>
    <row r="471">
      <c r="A471" s="2">
        <v>41215.0</v>
      </c>
      <c r="B471" s="5">
        <v>100.0</v>
      </c>
      <c r="C471" s="5">
        <f t="shared" si="25"/>
        <v>2900</v>
      </c>
      <c r="D471" s="5">
        <f t="shared" si="23"/>
        <v>2840</v>
      </c>
      <c r="E471" s="5">
        <f t="shared" si="24"/>
        <v>2479</v>
      </c>
      <c r="L471" s="5">
        <f t="shared" si="13"/>
        <v>-2800</v>
      </c>
      <c r="M471" s="19">
        <f t="shared" si="14"/>
        <v>28</v>
      </c>
      <c r="N471" s="5">
        <f t="shared" si="15"/>
        <v>7840000</v>
      </c>
      <c r="P471" s="5">
        <f t="shared" si="16"/>
        <v>-2740</v>
      </c>
      <c r="Q471" s="19">
        <f t="shared" si="17"/>
        <v>27.4</v>
      </c>
      <c r="R471" s="5">
        <f t="shared" si="18"/>
        <v>7507600</v>
      </c>
      <c r="T471" s="5">
        <f t="shared" si="19"/>
        <v>-2379</v>
      </c>
      <c r="U471" s="19">
        <f t="shared" si="20"/>
        <v>23.79</v>
      </c>
      <c r="V471" s="5">
        <f t="shared" si="21"/>
        <v>5659641</v>
      </c>
    </row>
    <row r="472">
      <c r="A472" s="2">
        <v>41218.0</v>
      </c>
      <c r="B472" s="5">
        <v>1644.0</v>
      </c>
      <c r="C472" s="5">
        <f t="shared" si="25"/>
        <v>2356</v>
      </c>
      <c r="D472" s="5">
        <f t="shared" si="23"/>
        <v>2834</v>
      </c>
      <c r="E472" s="5">
        <f t="shared" si="24"/>
        <v>576</v>
      </c>
      <c r="L472" s="5">
        <f t="shared" si="13"/>
        <v>-712</v>
      </c>
      <c r="M472" s="19">
        <f t="shared" si="14"/>
        <v>0.4330900243</v>
      </c>
      <c r="N472" s="5">
        <f t="shared" si="15"/>
        <v>506944</v>
      </c>
      <c r="P472" s="5">
        <f t="shared" si="16"/>
        <v>-1190</v>
      </c>
      <c r="Q472" s="19">
        <f t="shared" si="17"/>
        <v>0.7238442822</v>
      </c>
      <c r="R472" s="5">
        <f t="shared" si="18"/>
        <v>1416100</v>
      </c>
      <c r="T472" s="5">
        <f t="shared" si="19"/>
        <v>1068</v>
      </c>
      <c r="U472" s="19">
        <f t="shared" si="20"/>
        <v>0.6496350365</v>
      </c>
      <c r="V472" s="5">
        <f t="shared" si="21"/>
        <v>1140624</v>
      </c>
    </row>
    <row r="473">
      <c r="A473" s="2">
        <v>41219.0</v>
      </c>
      <c r="B473" s="5">
        <v>4118.0</v>
      </c>
      <c r="C473" s="5">
        <f t="shared" si="25"/>
        <v>2341</v>
      </c>
      <c r="D473" s="5">
        <f t="shared" si="23"/>
        <v>2832</v>
      </c>
      <c r="E473" s="5">
        <f t="shared" si="24"/>
        <v>1430</v>
      </c>
      <c r="L473" s="5">
        <f t="shared" si="13"/>
        <v>1777</v>
      </c>
      <c r="M473" s="19">
        <f t="shared" si="14"/>
        <v>0.4315201554</v>
      </c>
      <c r="N473" s="5">
        <f t="shared" si="15"/>
        <v>3157729</v>
      </c>
      <c r="P473" s="5">
        <f t="shared" si="16"/>
        <v>1286</v>
      </c>
      <c r="Q473" s="19">
        <f t="shared" si="17"/>
        <v>0.3122875182</v>
      </c>
      <c r="R473" s="5">
        <f t="shared" si="18"/>
        <v>1653796</v>
      </c>
      <c r="T473" s="5">
        <f t="shared" si="19"/>
        <v>2688</v>
      </c>
      <c r="U473" s="19">
        <f t="shared" si="20"/>
        <v>0.6527440505</v>
      </c>
      <c r="V473" s="5">
        <f t="shared" si="21"/>
        <v>7225344</v>
      </c>
    </row>
    <row r="474">
      <c r="A474" s="2">
        <v>41220.0</v>
      </c>
      <c r="B474" s="5">
        <v>2826.0</v>
      </c>
      <c r="C474" s="5">
        <f t="shared" si="25"/>
        <v>3154</v>
      </c>
      <c r="D474" s="5">
        <f t="shared" si="23"/>
        <v>2834</v>
      </c>
      <c r="E474" s="5">
        <f t="shared" si="24"/>
        <v>3580</v>
      </c>
      <c r="L474" s="5">
        <f t="shared" si="13"/>
        <v>-328</v>
      </c>
      <c r="M474" s="19">
        <f t="shared" si="14"/>
        <v>0.1160651097</v>
      </c>
      <c r="N474" s="5">
        <f t="shared" si="15"/>
        <v>107584</v>
      </c>
      <c r="P474" s="5">
        <f t="shared" si="16"/>
        <v>-8</v>
      </c>
      <c r="Q474" s="19">
        <f t="shared" si="17"/>
        <v>0.002830856334</v>
      </c>
      <c r="R474" s="5">
        <f t="shared" si="18"/>
        <v>64</v>
      </c>
      <c r="T474" s="5">
        <f t="shared" si="19"/>
        <v>-754</v>
      </c>
      <c r="U474" s="19">
        <f t="shared" si="20"/>
        <v>0.2668082095</v>
      </c>
      <c r="V474" s="5">
        <f t="shared" si="21"/>
        <v>568516</v>
      </c>
    </row>
    <row r="475">
      <c r="A475" s="2">
        <v>41221.0</v>
      </c>
      <c r="B475" s="5">
        <v>1100.0</v>
      </c>
      <c r="C475" s="5">
        <f t="shared" si="25"/>
        <v>2011</v>
      </c>
      <c r="D475" s="5">
        <f t="shared" si="23"/>
        <v>2834</v>
      </c>
      <c r="E475" s="5">
        <f t="shared" si="24"/>
        <v>2977</v>
      </c>
      <c r="L475" s="5">
        <f t="shared" si="13"/>
        <v>-911</v>
      </c>
      <c r="M475" s="19">
        <f t="shared" si="14"/>
        <v>0.8281818182</v>
      </c>
      <c r="N475" s="5">
        <f t="shared" si="15"/>
        <v>829921</v>
      </c>
      <c r="P475" s="5">
        <f t="shared" si="16"/>
        <v>-1734</v>
      </c>
      <c r="Q475" s="19">
        <f t="shared" si="17"/>
        <v>1.576363636</v>
      </c>
      <c r="R475" s="5">
        <f t="shared" si="18"/>
        <v>3006756</v>
      </c>
      <c r="T475" s="5">
        <f t="shared" si="19"/>
        <v>-1877</v>
      </c>
      <c r="U475" s="19">
        <f t="shared" si="20"/>
        <v>1.706363636</v>
      </c>
      <c r="V475" s="5">
        <f t="shared" si="21"/>
        <v>3523129</v>
      </c>
    </row>
    <row r="476">
      <c r="A476" s="2">
        <v>41222.0</v>
      </c>
      <c r="B476" s="5">
        <v>207.0</v>
      </c>
      <c r="C476" s="5">
        <f t="shared" si="25"/>
        <v>1958</v>
      </c>
      <c r="D476" s="5">
        <f t="shared" si="23"/>
        <v>2831</v>
      </c>
      <c r="E476" s="5">
        <f t="shared" si="24"/>
        <v>1475</v>
      </c>
      <c r="L476" s="5">
        <f t="shared" si="13"/>
        <v>-1751</v>
      </c>
      <c r="M476" s="19">
        <f t="shared" si="14"/>
        <v>8.458937198</v>
      </c>
      <c r="N476" s="5">
        <f t="shared" si="15"/>
        <v>3066001</v>
      </c>
      <c r="P476" s="5">
        <f t="shared" si="16"/>
        <v>-2624</v>
      </c>
      <c r="Q476" s="19">
        <f t="shared" si="17"/>
        <v>12.6763285</v>
      </c>
      <c r="R476" s="5">
        <f t="shared" si="18"/>
        <v>6885376</v>
      </c>
      <c r="T476" s="5">
        <f t="shared" si="19"/>
        <v>-1268</v>
      </c>
      <c r="U476" s="19">
        <f t="shared" si="20"/>
        <v>6.125603865</v>
      </c>
      <c r="V476" s="5">
        <f t="shared" si="21"/>
        <v>1607824</v>
      </c>
    </row>
    <row r="477">
      <c r="A477" s="2">
        <v>41225.0</v>
      </c>
      <c r="B477" s="5">
        <v>2567.0</v>
      </c>
      <c r="C477" s="5">
        <f t="shared" si="25"/>
        <v>1979</v>
      </c>
      <c r="D477" s="5">
        <f t="shared" si="23"/>
        <v>2825</v>
      </c>
      <c r="E477" s="5">
        <f t="shared" si="24"/>
        <v>461</v>
      </c>
      <c r="L477" s="5">
        <f t="shared" si="13"/>
        <v>588</v>
      </c>
      <c r="M477" s="19">
        <f t="shared" si="14"/>
        <v>0.2290611609</v>
      </c>
      <c r="N477" s="5">
        <f t="shared" si="15"/>
        <v>345744</v>
      </c>
      <c r="P477" s="5">
        <f t="shared" si="16"/>
        <v>-258</v>
      </c>
      <c r="Q477" s="19">
        <f t="shared" si="17"/>
        <v>0.1005064277</v>
      </c>
      <c r="R477" s="5">
        <f t="shared" si="18"/>
        <v>66564</v>
      </c>
      <c r="T477" s="5">
        <f t="shared" si="19"/>
        <v>2106</v>
      </c>
      <c r="U477" s="19">
        <f t="shared" si="20"/>
        <v>0.8204129334</v>
      </c>
      <c r="V477" s="5">
        <f t="shared" si="21"/>
        <v>4435236</v>
      </c>
    </row>
    <row r="478">
      <c r="A478" s="2">
        <v>41226.0</v>
      </c>
      <c r="B478" s="5">
        <v>5634.0</v>
      </c>
      <c r="C478" s="5">
        <f t="shared" si="25"/>
        <v>2164</v>
      </c>
      <c r="D478" s="5">
        <f t="shared" si="23"/>
        <v>2825</v>
      </c>
      <c r="E478" s="5">
        <f t="shared" si="24"/>
        <v>2146</v>
      </c>
      <c r="L478" s="5">
        <f t="shared" si="13"/>
        <v>3470</v>
      </c>
      <c r="M478" s="19">
        <f t="shared" si="14"/>
        <v>0.6159034434</v>
      </c>
      <c r="N478" s="5">
        <f t="shared" si="15"/>
        <v>12040900</v>
      </c>
      <c r="P478" s="5">
        <f t="shared" si="16"/>
        <v>2809</v>
      </c>
      <c r="Q478" s="19">
        <f t="shared" si="17"/>
        <v>0.4985800497</v>
      </c>
      <c r="R478" s="5">
        <f t="shared" si="18"/>
        <v>7890481</v>
      </c>
      <c r="T478" s="5">
        <f t="shared" si="19"/>
        <v>3488</v>
      </c>
      <c r="U478" s="19">
        <f t="shared" si="20"/>
        <v>0.6190983316</v>
      </c>
      <c r="V478" s="5">
        <f t="shared" si="21"/>
        <v>12166144</v>
      </c>
    </row>
    <row r="479">
      <c r="A479" s="2">
        <v>41227.0</v>
      </c>
      <c r="B479" s="5">
        <v>2823.0</v>
      </c>
      <c r="C479" s="5">
        <f t="shared" si="25"/>
        <v>2467</v>
      </c>
      <c r="D479" s="5">
        <f t="shared" si="23"/>
        <v>2831</v>
      </c>
      <c r="E479" s="5">
        <f t="shared" si="24"/>
        <v>4936</v>
      </c>
      <c r="L479" s="5">
        <f t="shared" si="13"/>
        <v>356</v>
      </c>
      <c r="M479" s="19">
        <f t="shared" si="14"/>
        <v>0.1261069784</v>
      </c>
      <c r="N479" s="5">
        <f t="shared" si="15"/>
        <v>126736</v>
      </c>
      <c r="P479" s="5">
        <f t="shared" si="16"/>
        <v>-8</v>
      </c>
      <c r="Q479" s="19">
        <f t="shared" si="17"/>
        <v>0.002833864683</v>
      </c>
      <c r="R479" s="5">
        <f t="shared" si="18"/>
        <v>64</v>
      </c>
      <c r="T479" s="5">
        <f t="shared" si="19"/>
        <v>-2113</v>
      </c>
      <c r="U479" s="19">
        <f t="shared" si="20"/>
        <v>0.7484945094</v>
      </c>
      <c r="V479" s="5">
        <f t="shared" si="21"/>
        <v>4464769</v>
      </c>
    </row>
    <row r="480">
      <c r="A480" s="2">
        <v>41228.0</v>
      </c>
      <c r="B480" s="5">
        <v>905.0</v>
      </c>
      <c r="C480" s="5">
        <f t="shared" si="25"/>
        <v>2466</v>
      </c>
      <c r="D480" s="5">
        <f t="shared" si="23"/>
        <v>2831</v>
      </c>
      <c r="E480" s="5">
        <f t="shared" si="24"/>
        <v>3246</v>
      </c>
      <c r="L480" s="5">
        <f t="shared" si="13"/>
        <v>-1561</v>
      </c>
      <c r="M480" s="19">
        <f t="shared" si="14"/>
        <v>1.724861878</v>
      </c>
      <c r="N480" s="5">
        <f t="shared" si="15"/>
        <v>2436721</v>
      </c>
      <c r="P480" s="5">
        <f t="shared" si="16"/>
        <v>-1926</v>
      </c>
      <c r="Q480" s="19">
        <f t="shared" si="17"/>
        <v>2.128176796</v>
      </c>
      <c r="R480" s="5">
        <f t="shared" si="18"/>
        <v>3709476</v>
      </c>
      <c r="T480" s="5">
        <f t="shared" si="19"/>
        <v>-2341</v>
      </c>
      <c r="U480" s="19">
        <f t="shared" si="20"/>
        <v>2.586740331</v>
      </c>
      <c r="V480" s="5">
        <f t="shared" si="21"/>
        <v>5480281</v>
      </c>
    </row>
    <row r="481">
      <c r="A481" s="2">
        <v>41229.0</v>
      </c>
      <c r="B481" s="5">
        <v>211.0</v>
      </c>
      <c r="C481" s="5">
        <f t="shared" si="25"/>
        <v>2427</v>
      </c>
      <c r="D481" s="5">
        <f t="shared" si="23"/>
        <v>2827</v>
      </c>
      <c r="E481" s="5">
        <f t="shared" si="24"/>
        <v>1373</v>
      </c>
      <c r="L481" s="5">
        <f t="shared" si="13"/>
        <v>-2216</v>
      </c>
      <c r="M481" s="19">
        <f t="shared" si="14"/>
        <v>10.50236967</v>
      </c>
      <c r="N481" s="5">
        <f t="shared" si="15"/>
        <v>4910656</v>
      </c>
      <c r="P481" s="5">
        <f t="shared" si="16"/>
        <v>-2616</v>
      </c>
      <c r="Q481" s="19">
        <f t="shared" si="17"/>
        <v>12.39810427</v>
      </c>
      <c r="R481" s="5">
        <f t="shared" si="18"/>
        <v>6843456</v>
      </c>
      <c r="T481" s="5">
        <f t="shared" si="19"/>
        <v>-1162</v>
      </c>
      <c r="U481" s="19">
        <f t="shared" si="20"/>
        <v>5.507109005</v>
      </c>
      <c r="V481" s="5">
        <f t="shared" si="21"/>
        <v>1350244</v>
      </c>
    </row>
    <row r="482">
      <c r="A482" s="2">
        <v>41232.0</v>
      </c>
      <c r="B482" s="5">
        <v>5032.0</v>
      </c>
      <c r="C482" s="5">
        <f t="shared" si="25"/>
        <v>2428</v>
      </c>
      <c r="D482" s="5">
        <f t="shared" si="23"/>
        <v>2821</v>
      </c>
      <c r="E482" s="5">
        <f t="shared" si="24"/>
        <v>443</v>
      </c>
      <c r="L482" s="5">
        <f t="shared" si="13"/>
        <v>2604</v>
      </c>
      <c r="M482" s="19">
        <f t="shared" si="14"/>
        <v>0.5174880763</v>
      </c>
      <c r="N482" s="5">
        <f t="shared" si="15"/>
        <v>6780816</v>
      </c>
      <c r="P482" s="5">
        <f t="shared" si="16"/>
        <v>2211</v>
      </c>
      <c r="Q482" s="19">
        <f t="shared" si="17"/>
        <v>0.4393879173</v>
      </c>
      <c r="R482" s="5">
        <f t="shared" si="18"/>
        <v>4888521</v>
      </c>
      <c r="T482" s="5">
        <f t="shared" si="19"/>
        <v>4589</v>
      </c>
      <c r="U482" s="19">
        <f t="shared" si="20"/>
        <v>0.911963434</v>
      </c>
      <c r="V482" s="5">
        <f t="shared" si="21"/>
        <v>21058921</v>
      </c>
    </row>
    <row r="483">
      <c r="A483" s="2">
        <v>41233.0</v>
      </c>
      <c r="B483" s="5">
        <v>8079.0</v>
      </c>
      <c r="C483" s="5">
        <f t="shared" si="25"/>
        <v>2921</v>
      </c>
      <c r="D483" s="5">
        <f t="shared" si="23"/>
        <v>2826</v>
      </c>
      <c r="E483" s="5">
        <f t="shared" si="24"/>
        <v>4114</v>
      </c>
      <c r="L483" s="5">
        <f t="shared" si="13"/>
        <v>5158</v>
      </c>
      <c r="M483" s="19">
        <f t="shared" si="14"/>
        <v>0.6384453521</v>
      </c>
      <c r="N483" s="5">
        <f t="shared" si="15"/>
        <v>26604964</v>
      </c>
      <c r="P483" s="5">
        <f t="shared" si="16"/>
        <v>5253</v>
      </c>
      <c r="Q483" s="19">
        <f t="shared" si="17"/>
        <v>0.6502042332</v>
      </c>
      <c r="R483" s="5">
        <f t="shared" si="18"/>
        <v>27594009</v>
      </c>
      <c r="T483" s="5">
        <f t="shared" si="19"/>
        <v>3965</v>
      </c>
      <c r="U483" s="19">
        <f t="shared" si="20"/>
        <v>0.4907785617</v>
      </c>
      <c r="V483" s="5">
        <f t="shared" si="21"/>
        <v>15721225</v>
      </c>
    </row>
    <row r="484">
      <c r="A484" s="2">
        <v>41234.0</v>
      </c>
      <c r="B484" s="5">
        <v>154.0</v>
      </c>
      <c r="C484" s="5">
        <f t="shared" si="25"/>
        <v>3410</v>
      </c>
      <c r="D484" s="5">
        <f t="shared" si="23"/>
        <v>2837</v>
      </c>
      <c r="E484" s="5">
        <f t="shared" si="24"/>
        <v>7286</v>
      </c>
      <c r="L484" s="5">
        <f t="shared" si="13"/>
        <v>-3256</v>
      </c>
      <c r="M484" s="19">
        <f t="shared" si="14"/>
        <v>21.14285714</v>
      </c>
      <c r="N484" s="5">
        <f t="shared" si="15"/>
        <v>10601536</v>
      </c>
      <c r="P484" s="5">
        <f t="shared" si="16"/>
        <v>-2683</v>
      </c>
      <c r="Q484" s="19">
        <f t="shared" si="17"/>
        <v>17.42207792</v>
      </c>
      <c r="R484" s="5">
        <f t="shared" si="18"/>
        <v>7198489</v>
      </c>
      <c r="T484" s="5">
        <f t="shared" si="19"/>
        <v>-7132</v>
      </c>
      <c r="U484" s="19">
        <f t="shared" si="20"/>
        <v>46.31168831</v>
      </c>
      <c r="V484" s="5">
        <f t="shared" si="21"/>
        <v>50865424</v>
      </c>
    </row>
    <row r="485">
      <c r="A485" s="2">
        <v>41239.0</v>
      </c>
      <c r="B485" s="5">
        <v>2216.0</v>
      </c>
      <c r="C485" s="5">
        <f t="shared" si="25"/>
        <v>2876</v>
      </c>
      <c r="D485" s="5">
        <f t="shared" si="23"/>
        <v>2831</v>
      </c>
      <c r="E485" s="5">
        <f t="shared" si="24"/>
        <v>1580</v>
      </c>
      <c r="L485" s="5">
        <f t="shared" si="13"/>
        <v>-660</v>
      </c>
      <c r="M485" s="19">
        <f t="shared" si="14"/>
        <v>0.297833935</v>
      </c>
      <c r="N485" s="5">
        <f t="shared" si="15"/>
        <v>435600</v>
      </c>
      <c r="P485" s="5">
        <f t="shared" si="16"/>
        <v>-615</v>
      </c>
      <c r="Q485" s="19">
        <f t="shared" si="17"/>
        <v>0.2775270758</v>
      </c>
      <c r="R485" s="5">
        <f t="shared" si="18"/>
        <v>378225</v>
      </c>
      <c r="T485" s="5">
        <f t="shared" si="19"/>
        <v>636</v>
      </c>
      <c r="U485" s="19">
        <f t="shared" si="20"/>
        <v>0.2870036101</v>
      </c>
      <c r="V485" s="5">
        <f t="shared" si="21"/>
        <v>404496</v>
      </c>
    </row>
    <row r="486">
      <c r="A486" s="2">
        <v>41240.0</v>
      </c>
      <c r="B486" s="5">
        <v>2736.0</v>
      </c>
      <c r="C486" s="5">
        <f t="shared" si="25"/>
        <v>3138</v>
      </c>
      <c r="D486" s="5">
        <f t="shared" si="23"/>
        <v>2830</v>
      </c>
      <c r="E486" s="5">
        <f t="shared" si="24"/>
        <v>2089</v>
      </c>
      <c r="L486" s="5">
        <f t="shared" si="13"/>
        <v>-402</v>
      </c>
      <c r="M486" s="19">
        <f t="shared" si="14"/>
        <v>0.1469298246</v>
      </c>
      <c r="N486" s="5">
        <f t="shared" si="15"/>
        <v>161604</v>
      </c>
      <c r="P486" s="5">
        <f t="shared" si="16"/>
        <v>-94</v>
      </c>
      <c r="Q486" s="19">
        <f t="shared" si="17"/>
        <v>0.03435672515</v>
      </c>
      <c r="R486" s="5">
        <f t="shared" si="18"/>
        <v>8836</v>
      </c>
      <c r="T486" s="5">
        <f t="shared" si="19"/>
        <v>647</v>
      </c>
      <c r="U486" s="19">
        <f t="shared" si="20"/>
        <v>0.2364766082</v>
      </c>
      <c r="V486" s="5">
        <f t="shared" si="21"/>
        <v>418609</v>
      </c>
    </row>
    <row r="487">
      <c r="A487" s="2">
        <v>41241.0</v>
      </c>
      <c r="B487" s="5">
        <v>3783.0</v>
      </c>
      <c r="C487" s="5">
        <f t="shared" si="25"/>
        <v>3643</v>
      </c>
      <c r="D487" s="5">
        <f t="shared" si="23"/>
        <v>2830</v>
      </c>
      <c r="E487" s="5">
        <f t="shared" si="24"/>
        <v>2607</v>
      </c>
      <c r="L487" s="5">
        <f t="shared" si="13"/>
        <v>140</v>
      </c>
      <c r="M487" s="19">
        <f t="shared" si="14"/>
        <v>0.03700766587</v>
      </c>
      <c r="N487" s="5">
        <f t="shared" si="15"/>
        <v>19600</v>
      </c>
      <c r="P487" s="5">
        <f t="shared" si="16"/>
        <v>953</v>
      </c>
      <c r="Q487" s="19">
        <f t="shared" si="17"/>
        <v>0.2519164684</v>
      </c>
      <c r="R487" s="5">
        <f t="shared" si="18"/>
        <v>908209</v>
      </c>
      <c r="T487" s="5">
        <f t="shared" si="19"/>
        <v>1176</v>
      </c>
      <c r="U487" s="19">
        <f t="shared" si="20"/>
        <v>0.3108643933</v>
      </c>
      <c r="V487" s="5">
        <f t="shared" si="21"/>
        <v>1382976</v>
      </c>
    </row>
    <row r="488">
      <c r="A488" s="2">
        <v>41242.0</v>
      </c>
      <c r="B488" s="5">
        <v>784.0</v>
      </c>
      <c r="C488" s="5">
        <f t="shared" si="25"/>
        <v>3394</v>
      </c>
      <c r="D488" s="5">
        <f t="shared" si="23"/>
        <v>2832</v>
      </c>
      <c r="E488" s="5">
        <f t="shared" si="24"/>
        <v>3548</v>
      </c>
      <c r="L488" s="5">
        <f t="shared" si="13"/>
        <v>-2610</v>
      </c>
      <c r="M488" s="19">
        <f t="shared" si="14"/>
        <v>3.329081633</v>
      </c>
      <c r="N488" s="5">
        <f t="shared" si="15"/>
        <v>6812100</v>
      </c>
      <c r="P488" s="5">
        <f t="shared" si="16"/>
        <v>-2048</v>
      </c>
      <c r="Q488" s="19">
        <f t="shared" si="17"/>
        <v>2.612244898</v>
      </c>
      <c r="R488" s="5">
        <f t="shared" si="18"/>
        <v>4194304</v>
      </c>
      <c r="T488" s="5">
        <f t="shared" si="19"/>
        <v>-2764</v>
      </c>
      <c r="U488" s="19">
        <f t="shared" si="20"/>
        <v>3.525510204</v>
      </c>
      <c r="V488" s="5">
        <f t="shared" si="21"/>
        <v>7639696</v>
      </c>
    </row>
    <row r="489">
      <c r="A489" s="2">
        <v>41243.0</v>
      </c>
      <c r="B489" s="5">
        <v>254.0</v>
      </c>
      <c r="C489" s="5">
        <f t="shared" si="25"/>
        <v>1935</v>
      </c>
      <c r="D489" s="5">
        <f t="shared" si="23"/>
        <v>2827</v>
      </c>
      <c r="E489" s="5">
        <f t="shared" si="24"/>
        <v>1337</v>
      </c>
      <c r="L489" s="5">
        <f t="shared" si="13"/>
        <v>-1681</v>
      </c>
      <c r="M489" s="19">
        <f t="shared" si="14"/>
        <v>6.618110236</v>
      </c>
      <c r="N489" s="5">
        <f t="shared" si="15"/>
        <v>2825761</v>
      </c>
      <c r="P489" s="5">
        <f t="shared" si="16"/>
        <v>-2573</v>
      </c>
      <c r="Q489" s="19">
        <f t="shared" si="17"/>
        <v>10.12992126</v>
      </c>
      <c r="R489" s="5">
        <f t="shared" si="18"/>
        <v>6620329</v>
      </c>
      <c r="T489" s="5">
        <f t="shared" si="19"/>
        <v>-1083</v>
      </c>
      <c r="U489" s="19">
        <f t="shared" si="20"/>
        <v>4.263779528</v>
      </c>
      <c r="V489" s="5">
        <f t="shared" si="21"/>
        <v>1172889</v>
      </c>
    </row>
    <row r="490">
      <c r="A490" s="2">
        <v>41246.0</v>
      </c>
      <c r="B490" s="5">
        <v>2817.0</v>
      </c>
      <c r="C490" s="5">
        <f t="shared" si="25"/>
        <v>1955</v>
      </c>
      <c r="D490" s="5">
        <f t="shared" si="23"/>
        <v>2822</v>
      </c>
      <c r="E490" s="5">
        <f t="shared" si="24"/>
        <v>471</v>
      </c>
      <c r="L490" s="5">
        <f t="shared" si="13"/>
        <v>862</v>
      </c>
      <c r="M490" s="19">
        <f t="shared" si="14"/>
        <v>0.30599929</v>
      </c>
      <c r="N490" s="5">
        <f t="shared" si="15"/>
        <v>743044</v>
      </c>
      <c r="P490" s="5">
        <f t="shared" si="16"/>
        <v>-5</v>
      </c>
      <c r="Q490" s="19">
        <f t="shared" si="17"/>
        <v>0.001774937877</v>
      </c>
      <c r="R490" s="5">
        <f t="shared" si="18"/>
        <v>25</v>
      </c>
      <c r="T490" s="5">
        <f t="shared" si="19"/>
        <v>2346</v>
      </c>
      <c r="U490" s="19">
        <f t="shared" si="20"/>
        <v>0.832800852</v>
      </c>
      <c r="V490" s="5">
        <f t="shared" si="21"/>
        <v>5503716</v>
      </c>
    </row>
    <row r="491">
      <c r="A491" s="2">
        <v>41247.0</v>
      </c>
      <c r="B491" s="5">
        <v>4230.0</v>
      </c>
      <c r="C491" s="5">
        <f t="shared" si="25"/>
        <v>2075</v>
      </c>
      <c r="D491" s="5">
        <f t="shared" si="23"/>
        <v>2822</v>
      </c>
      <c r="E491" s="5">
        <f t="shared" si="24"/>
        <v>2348</v>
      </c>
      <c r="L491" s="5">
        <f t="shared" si="13"/>
        <v>2155</v>
      </c>
      <c r="M491" s="19">
        <f t="shared" si="14"/>
        <v>0.5094562648</v>
      </c>
      <c r="N491" s="5">
        <f t="shared" si="15"/>
        <v>4644025</v>
      </c>
      <c r="P491" s="5">
        <f t="shared" si="16"/>
        <v>1408</v>
      </c>
      <c r="Q491" s="19">
        <f t="shared" si="17"/>
        <v>0.3328605201</v>
      </c>
      <c r="R491" s="5">
        <f t="shared" si="18"/>
        <v>1982464</v>
      </c>
      <c r="T491" s="5">
        <f t="shared" si="19"/>
        <v>1882</v>
      </c>
      <c r="U491" s="19">
        <f t="shared" si="20"/>
        <v>0.4449172577</v>
      </c>
      <c r="V491" s="5">
        <f t="shared" si="21"/>
        <v>3541924</v>
      </c>
    </row>
    <row r="492">
      <c r="A492" s="2">
        <v>41248.0</v>
      </c>
      <c r="B492" s="5">
        <v>2944.0</v>
      </c>
      <c r="C492" s="5">
        <f t="shared" si="25"/>
        <v>2374</v>
      </c>
      <c r="D492" s="5">
        <f t="shared" si="23"/>
        <v>2825</v>
      </c>
      <c r="E492" s="5">
        <f t="shared" si="24"/>
        <v>3854</v>
      </c>
      <c r="L492" s="5">
        <f t="shared" si="13"/>
        <v>570</v>
      </c>
      <c r="M492" s="19">
        <f t="shared" si="14"/>
        <v>0.1936141304</v>
      </c>
      <c r="N492" s="5">
        <f t="shared" si="15"/>
        <v>324900</v>
      </c>
      <c r="P492" s="5">
        <f t="shared" si="16"/>
        <v>119</v>
      </c>
      <c r="Q492" s="19">
        <f t="shared" si="17"/>
        <v>0.04042119565</v>
      </c>
      <c r="R492" s="5">
        <f t="shared" si="18"/>
        <v>14161</v>
      </c>
      <c r="T492" s="5">
        <f t="shared" si="19"/>
        <v>-910</v>
      </c>
      <c r="U492" s="19">
        <f t="shared" si="20"/>
        <v>0.3091032609</v>
      </c>
      <c r="V492" s="5">
        <f t="shared" si="21"/>
        <v>828100</v>
      </c>
    </row>
    <row r="493">
      <c r="A493" s="2">
        <v>41249.0</v>
      </c>
      <c r="B493" s="5">
        <v>1288.0</v>
      </c>
      <c r="C493" s="5">
        <f t="shared" si="25"/>
        <v>2206</v>
      </c>
      <c r="D493" s="5">
        <f t="shared" si="23"/>
        <v>2825</v>
      </c>
      <c r="E493" s="5">
        <f t="shared" si="24"/>
        <v>3126</v>
      </c>
      <c r="L493" s="5">
        <f t="shared" si="13"/>
        <v>-918</v>
      </c>
      <c r="M493" s="19">
        <f t="shared" si="14"/>
        <v>0.7127329193</v>
      </c>
      <c r="N493" s="5">
        <f t="shared" si="15"/>
        <v>842724</v>
      </c>
      <c r="P493" s="5">
        <f t="shared" si="16"/>
        <v>-1537</v>
      </c>
      <c r="Q493" s="19">
        <f t="shared" si="17"/>
        <v>1.193322981</v>
      </c>
      <c r="R493" s="5">
        <f t="shared" si="18"/>
        <v>2362369</v>
      </c>
      <c r="T493" s="5">
        <f t="shared" si="19"/>
        <v>-1838</v>
      </c>
      <c r="U493" s="19">
        <f t="shared" si="20"/>
        <v>1.427018634</v>
      </c>
      <c r="V493" s="5">
        <f t="shared" si="21"/>
        <v>3378244</v>
      </c>
    </row>
    <row r="494">
      <c r="A494" s="2">
        <v>41250.0</v>
      </c>
      <c r="B494" s="5">
        <v>250.0</v>
      </c>
      <c r="C494" s="5">
        <f t="shared" si="25"/>
        <v>2307</v>
      </c>
      <c r="D494" s="5">
        <f t="shared" si="23"/>
        <v>2822</v>
      </c>
      <c r="E494" s="5">
        <f t="shared" si="24"/>
        <v>1656</v>
      </c>
      <c r="L494" s="5">
        <f t="shared" si="13"/>
        <v>-2057</v>
      </c>
      <c r="M494" s="19">
        <f t="shared" si="14"/>
        <v>8.228</v>
      </c>
      <c r="N494" s="5">
        <f t="shared" si="15"/>
        <v>4231249</v>
      </c>
      <c r="P494" s="5">
        <f t="shared" si="16"/>
        <v>-2572</v>
      </c>
      <c r="Q494" s="19">
        <f t="shared" si="17"/>
        <v>10.288</v>
      </c>
      <c r="R494" s="5">
        <f t="shared" si="18"/>
        <v>6615184</v>
      </c>
      <c r="T494" s="5">
        <f t="shared" si="19"/>
        <v>-1406</v>
      </c>
      <c r="U494" s="19">
        <f t="shared" si="20"/>
        <v>5.624</v>
      </c>
      <c r="V494" s="5">
        <f t="shared" si="21"/>
        <v>1976836</v>
      </c>
    </row>
    <row r="495">
      <c r="A495" s="2">
        <v>41253.0</v>
      </c>
      <c r="B495" s="5">
        <v>3844.0</v>
      </c>
      <c r="C495" s="5">
        <f t="shared" si="25"/>
        <v>2306</v>
      </c>
      <c r="D495" s="5">
        <f t="shared" si="23"/>
        <v>2817</v>
      </c>
      <c r="E495" s="5">
        <f t="shared" si="24"/>
        <v>531</v>
      </c>
      <c r="L495" s="5">
        <f t="shared" si="13"/>
        <v>1538</v>
      </c>
      <c r="M495" s="19">
        <f t="shared" si="14"/>
        <v>0.4001040583</v>
      </c>
      <c r="N495" s="5">
        <f t="shared" si="15"/>
        <v>2365444</v>
      </c>
      <c r="P495" s="5">
        <f t="shared" si="16"/>
        <v>1027</v>
      </c>
      <c r="Q495" s="19">
        <f t="shared" si="17"/>
        <v>0.267169615</v>
      </c>
      <c r="R495" s="5">
        <f t="shared" si="18"/>
        <v>1054729</v>
      </c>
      <c r="T495" s="5">
        <f t="shared" si="19"/>
        <v>3313</v>
      </c>
      <c r="U495" s="19">
        <f t="shared" si="20"/>
        <v>0.8618626431</v>
      </c>
      <c r="V495" s="5">
        <f t="shared" si="21"/>
        <v>10975969</v>
      </c>
    </row>
    <row r="496">
      <c r="A496" s="2">
        <v>41254.0</v>
      </c>
      <c r="B496" s="5">
        <v>4707.0</v>
      </c>
      <c r="C496" s="5">
        <f t="shared" si="25"/>
        <v>2511</v>
      </c>
      <c r="D496" s="5">
        <f t="shared" si="23"/>
        <v>2819</v>
      </c>
      <c r="E496" s="5">
        <f t="shared" si="24"/>
        <v>3181</v>
      </c>
      <c r="L496" s="5">
        <f t="shared" si="13"/>
        <v>2196</v>
      </c>
      <c r="M496" s="19">
        <f t="shared" si="14"/>
        <v>0.4665391969</v>
      </c>
      <c r="N496" s="5">
        <f t="shared" si="15"/>
        <v>4822416</v>
      </c>
      <c r="P496" s="5">
        <f t="shared" si="16"/>
        <v>1888</v>
      </c>
      <c r="Q496" s="19">
        <f t="shared" si="17"/>
        <v>0.4011047376</v>
      </c>
      <c r="R496" s="5">
        <f t="shared" si="18"/>
        <v>3564544</v>
      </c>
      <c r="T496" s="5">
        <f t="shared" si="19"/>
        <v>1526</v>
      </c>
      <c r="U496" s="19">
        <f t="shared" si="20"/>
        <v>0.324198003</v>
      </c>
      <c r="V496" s="5">
        <f t="shared" si="21"/>
        <v>2328676</v>
      </c>
    </row>
    <row r="497">
      <c r="A497" s="2">
        <v>41255.0</v>
      </c>
      <c r="B497" s="5">
        <v>5890.0</v>
      </c>
      <c r="C497" s="5">
        <f t="shared" si="25"/>
        <v>2607</v>
      </c>
      <c r="D497" s="5">
        <f t="shared" si="23"/>
        <v>2823</v>
      </c>
      <c r="E497" s="5">
        <f t="shared" si="24"/>
        <v>4402</v>
      </c>
      <c r="L497" s="5">
        <f t="shared" si="13"/>
        <v>3283</v>
      </c>
      <c r="M497" s="19">
        <f t="shared" si="14"/>
        <v>0.557385399</v>
      </c>
      <c r="N497" s="5">
        <f t="shared" si="15"/>
        <v>10778089</v>
      </c>
      <c r="P497" s="5">
        <f t="shared" si="16"/>
        <v>3067</v>
      </c>
      <c r="Q497" s="19">
        <f t="shared" si="17"/>
        <v>0.520713073</v>
      </c>
      <c r="R497" s="5">
        <f t="shared" si="18"/>
        <v>9406489</v>
      </c>
      <c r="T497" s="5">
        <f t="shared" si="19"/>
        <v>1488</v>
      </c>
      <c r="U497" s="19">
        <f t="shared" si="20"/>
        <v>0.2526315789</v>
      </c>
      <c r="V497" s="5">
        <f t="shared" si="21"/>
        <v>2214144</v>
      </c>
    </row>
    <row r="498">
      <c r="A498" s="2">
        <v>41256.0</v>
      </c>
      <c r="B498" s="5">
        <v>1010.0</v>
      </c>
      <c r="C498" s="5">
        <f t="shared" si="25"/>
        <v>3196</v>
      </c>
      <c r="D498" s="5">
        <f t="shared" si="23"/>
        <v>2829</v>
      </c>
      <c r="E498" s="5">
        <f t="shared" si="24"/>
        <v>5592</v>
      </c>
      <c r="L498" s="5">
        <f t="shared" si="13"/>
        <v>-2186</v>
      </c>
      <c r="M498" s="19">
        <f t="shared" si="14"/>
        <v>2.164356436</v>
      </c>
      <c r="N498" s="5">
        <f t="shared" si="15"/>
        <v>4778596</v>
      </c>
      <c r="P498" s="5">
        <f t="shared" si="16"/>
        <v>-1819</v>
      </c>
      <c r="Q498" s="19">
        <f t="shared" si="17"/>
        <v>1.800990099</v>
      </c>
      <c r="R498" s="5">
        <f t="shared" si="18"/>
        <v>3308761</v>
      </c>
      <c r="T498" s="5">
        <f t="shared" si="19"/>
        <v>-4582</v>
      </c>
      <c r="U498" s="19">
        <f t="shared" si="20"/>
        <v>4.536633663</v>
      </c>
      <c r="V498" s="5">
        <f t="shared" si="21"/>
        <v>20994724</v>
      </c>
    </row>
    <row r="499">
      <c r="A499" s="2">
        <v>41257.0</v>
      </c>
      <c r="B499" s="5">
        <v>210.0</v>
      </c>
      <c r="C499" s="5">
        <f t="shared" si="25"/>
        <v>3140</v>
      </c>
      <c r="D499" s="5">
        <f t="shared" si="23"/>
        <v>2825</v>
      </c>
      <c r="E499" s="5">
        <f t="shared" si="24"/>
        <v>1926</v>
      </c>
      <c r="L499" s="5">
        <f t="shared" si="13"/>
        <v>-2930</v>
      </c>
      <c r="M499" s="19">
        <f t="shared" si="14"/>
        <v>13.95238095</v>
      </c>
      <c r="N499" s="5">
        <f t="shared" si="15"/>
        <v>8584900</v>
      </c>
      <c r="P499" s="5">
        <f t="shared" si="16"/>
        <v>-2615</v>
      </c>
      <c r="Q499" s="19">
        <f t="shared" si="17"/>
        <v>12.45238095</v>
      </c>
      <c r="R499" s="5">
        <f t="shared" si="18"/>
        <v>6838225</v>
      </c>
      <c r="T499" s="5">
        <f t="shared" si="19"/>
        <v>-1716</v>
      </c>
      <c r="U499" s="19">
        <f t="shared" si="20"/>
        <v>8.171428571</v>
      </c>
      <c r="V499" s="5">
        <f t="shared" si="21"/>
        <v>2944656</v>
      </c>
    </row>
    <row r="500">
      <c r="A500" s="2">
        <v>41260.0</v>
      </c>
      <c r="B500" s="5">
        <v>4022.0</v>
      </c>
      <c r="C500" s="5">
        <f t="shared" si="25"/>
        <v>3132</v>
      </c>
      <c r="D500" s="5">
        <f t="shared" si="23"/>
        <v>2820</v>
      </c>
      <c r="E500" s="5">
        <f t="shared" si="24"/>
        <v>553</v>
      </c>
      <c r="L500" s="5">
        <f t="shared" si="13"/>
        <v>890</v>
      </c>
      <c r="M500" s="19">
        <f t="shared" si="14"/>
        <v>0.2212829438</v>
      </c>
      <c r="N500" s="5">
        <f t="shared" si="15"/>
        <v>792100</v>
      </c>
      <c r="P500" s="5">
        <f t="shared" si="16"/>
        <v>1202</v>
      </c>
      <c r="Q500" s="19">
        <f t="shared" si="17"/>
        <v>0.2988562904</v>
      </c>
      <c r="R500" s="5">
        <f t="shared" si="18"/>
        <v>1444804</v>
      </c>
      <c r="T500" s="5">
        <f t="shared" si="19"/>
        <v>3469</v>
      </c>
      <c r="U500" s="19">
        <f t="shared" si="20"/>
        <v>0.8625062158</v>
      </c>
      <c r="V500" s="5">
        <f t="shared" si="21"/>
        <v>12033961</v>
      </c>
    </row>
    <row r="501">
      <c r="A501" s="2">
        <v>41261.0</v>
      </c>
      <c r="B501" s="5">
        <v>7156.0</v>
      </c>
      <c r="C501" s="5">
        <f t="shared" si="25"/>
        <v>3168</v>
      </c>
      <c r="D501" s="5">
        <f t="shared" si="23"/>
        <v>2822</v>
      </c>
      <c r="E501" s="5">
        <f t="shared" si="24"/>
        <v>3328</v>
      </c>
      <c r="L501" s="5">
        <f t="shared" si="13"/>
        <v>3988</v>
      </c>
      <c r="M501" s="19">
        <f t="shared" si="14"/>
        <v>0.557294578</v>
      </c>
      <c r="N501" s="5">
        <f t="shared" si="15"/>
        <v>15904144</v>
      </c>
      <c r="P501" s="5">
        <f t="shared" si="16"/>
        <v>4334</v>
      </c>
      <c r="Q501" s="19">
        <f t="shared" si="17"/>
        <v>0.6056456121</v>
      </c>
      <c r="R501" s="5">
        <f t="shared" si="18"/>
        <v>18783556</v>
      </c>
      <c r="T501" s="5">
        <f t="shared" si="19"/>
        <v>3828</v>
      </c>
      <c r="U501" s="19">
        <f t="shared" si="20"/>
        <v>0.5349357183</v>
      </c>
      <c r="V501" s="5">
        <f t="shared" si="21"/>
        <v>14653584</v>
      </c>
    </row>
    <row r="502">
      <c r="A502" s="2">
        <v>41262.0</v>
      </c>
      <c r="B502" s="5">
        <v>3569.0</v>
      </c>
      <c r="C502" s="5">
        <f t="shared" si="25"/>
        <v>3658</v>
      </c>
      <c r="D502" s="5">
        <f t="shared" si="23"/>
        <v>2831</v>
      </c>
      <c r="E502" s="5">
        <f t="shared" si="24"/>
        <v>6390</v>
      </c>
      <c r="L502" s="5">
        <f t="shared" si="13"/>
        <v>-89</v>
      </c>
      <c r="M502" s="19">
        <f t="shared" si="14"/>
        <v>0.02493695713</v>
      </c>
      <c r="N502" s="5">
        <f t="shared" si="15"/>
        <v>7921</v>
      </c>
      <c r="P502" s="5">
        <f t="shared" si="16"/>
        <v>738</v>
      </c>
      <c r="Q502" s="19">
        <f t="shared" si="17"/>
        <v>0.2067806108</v>
      </c>
      <c r="R502" s="5">
        <f t="shared" si="18"/>
        <v>544644</v>
      </c>
      <c r="T502" s="5">
        <f t="shared" si="19"/>
        <v>-2821</v>
      </c>
      <c r="U502" s="19">
        <f t="shared" si="20"/>
        <v>0.7904174839</v>
      </c>
      <c r="V502" s="5">
        <f t="shared" si="21"/>
        <v>7958041</v>
      </c>
    </row>
    <row r="503">
      <c r="A503" s="2">
        <v>41263.0</v>
      </c>
      <c r="B503" s="5">
        <v>3182.0</v>
      </c>
      <c r="C503" s="5">
        <f t="shared" si="25"/>
        <v>3193</v>
      </c>
      <c r="D503" s="5">
        <f t="shared" si="23"/>
        <v>2833</v>
      </c>
      <c r="E503" s="5">
        <f t="shared" si="24"/>
        <v>4133</v>
      </c>
      <c r="L503" s="5">
        <f t="shared" si="13"/>
        <v>-11</v>
      </c>
      <c r="M503" s="19">
        <f t="shared" si="14"/>
        <v>0.003456945317</v>
      </c>
      <c r="N503" s="5">
        <f t="shared" si="15"/>
        <v>121</v>
      </c>
      <c r="P503" s="5">
        <f t="shared" si="16"/>
        <v>349</v>
      </c>
      <c r="Q503" s="19">
        <f t="shared" si="17"/>
        <v>0.1096794469</v>
      </c>
      <c r="R503" s="5">
        <f t="shared" si="18"/>
        <v>121801</v>
      </c>
      <c r="T503" s="5">
        <f t="shared" si="19"/>
        <v>-951</v>
      </c>
      <c r="U503" s="19">
        <f t="shared" si="20"/>
        <v>0.2988686361</v>
      </c>
      <c r="V503" s="5">
        <f t="shared" si="21"/>
        <v>904401</v>
      </c>
    </row>
    <row r="504">
      <c r="A504" s="2">
        <v>41264.0</v>
      </c>
      <c r="B504" s="5">
        <v>2202.0</v>
      </c>
      <c r="C504" s="5">
        <f t="shared" si="25"/>
        <v>3628</v>
      </c>
      <c r="D504" s="5">
        <f t="shared" si="23"/>
        <v>2833</v>
      </c>
      <c r="E504" s="5">
        <f t="shared" si="24"/>
        <v>3372</v>
      </c>
      <c r="L504" s="5">
        <f t="shared" si="13"/>
        <v>-1426</v>
      </c>
      <c r="M504" s="19">
        <f t="shared" si="14"/>
        <v>0.6475930972</v>
      </c>
      <c r="N504" s="5">
        <f t="shared" si="15"/>
        <v>2033476</v>
      </c>
      <c r="P504" s="5">
        <f t="shared" si="16"/>
        <v>-631</v>
      </c>
      <c r="Q504" s="19">
        <f t="shared" si="17"/>
        <v>0.2865576748</v>
      </c>
      <c r="R504" s="5">
        <f t="shared" si="18"/>
        <v>398161</v>
      </c>
      <c r="T504" s="5">
        <f t="shared" si="19"/>
        <v>-1170</v>
      </c>
      <c r="U504" s="19">
        <f t="shared" si="20"/>
        <v>0.5313351499</v>
      </c>
      <c r="V504" s="5">
        <f t="shared" si="21"/>
        <v>1368900</v>
      </c>
    </row>
    <row r="505">
      <c r="A505" s="2">
        <v>41267.0</v>
      </c>
      <c r="B505" s="5">
        <v>1.0</v>
      </c>
      <c r="C505" s="5">
        <f t="shared" si="25"/>
        <v>4026</v>
      </c>
      <c r="D505" s="5">
        <f t="shared" si="23"/>
        <v>2832</v>
      </c>
      <c r="E505" s="5">
        <f t="shared" si="24"/>
        <v>2436</v>
      </c>
      <c r="L505" s="5">
        <f t="shared" si="13"/>
        <v>-4025</v>
      </c>
      <c r="M505" s="19">
        <f t="shared" si="14"/>
        <v>4025</v>
      </c>
      <c r="N505" s="5">
        <f t="shared" si="15"/>
        <v>16200625</v>
      </c>
      <c r="P505" s="5">
        <f t="shared" si="16"/>
        <v>-2831</v>
      </c>
      <c r="Q505" s="19">
        <f t="shared" si="17"/>
        <v>2831</v>
      </c>
      <c r="R505" s="5">
        <f t="shared" si="18"/>
        <v>8014561</v>
      </c>
      <c r="T505" s="5">
        <f t="shared" si="19"/>
        <v>-2435</v>
      </c>
      <c r="U505" s="19">
        <f t="shared" si="20"/>
        <v>2435</v>
      </c>
      <c r="V505" s="5">
        <f t="shared" si="21"/>
        <v>5929225</v>
      </c>
    </row>
    <row r="506">
      <c r="A506" s="2">
        <v>41269.0</v>
      </c>
      <c r="B506" s="5">
        <v>1506.0</v>
      </c>
      <c r="C506" s="5">
        <f t="shared" si="25"/>
        <v>3222</v>
      </c>
      <c r="D506" s="5">
        <f t="shared" si="23"/>
        <v>2826</v>
      </c>
      <c r="E506" s="5">
        <f t="shared" si="24"/>
        <v>488</v>
      </c>
      <c r="L506" s="5">
        <f t="shared" si="13"/>
        <v>-1716</v>
      </c>
      <c r="M506" s="19">
        <f t="shared" si="14"/>
        <v>1.139442231</v>
      </c>
      <c r="N506" s="5">
        <f t="shared" si="15"/>
        <v>2944656</v>
      </c>
      <c r="P506" s="5">
        <f t="shared" si="16"/>
        <v>-1320</v>
      </c>
      <c r="Q506" s="19">
        <f t="shared" si="17"/>
        <v>0.8764940239</v>
      </c>
      <c r="R506" s="5">
        <f t="shared" si="18"/>
        <v>1742400</v>
      </c>
      <c r="T506" s="5">
        <f t="shared" si="19"/>
        <v>1018</v>
      </c>
      <c r="U506" s="19">
        <f t="shared" si="20"/>
        <v>0.6759628154</v>
      </c>
      <c r="V506" s="5">
        <f t="shared" si="21"/>
        <v>1036324</v>
      </c>
    </row>
    <row r="507">
      <c r="A507" s="2">
        <v>41270.0</v>
      </c>
      <c r="B507" s="5">
        <v>2272.0</v>
      </c>
      <c r="C507" s="5">
        <f t="shared" si="25"/>
        <v>2092</v>
      </c>
      <c r="D507" s="5">
        <f t="shared" si="23"/>
        <v>2824</v>
      </c>
      <c r="E507" s="5">
        <f t="shared" si="24"/>
        <v>1302</v>
      </c>
      <c r="L507" s="5">
        <f t="shared" si="13"/>
        <v>180</v>
      </c>
      <c r="M507" s="19">
        <f t="shared" si="14"/>
        <v>0.07922535211</v>
      </c>
      <c r="N507" s="5">
        <f t="shared" si="15"/>
        <v>32400</v>
      </c>
      <c r="P507" s="5">
        <f t="shared" si="16"/>
        <v>-552</v>
      </c>
      <c r="Q507" s="19">
        <f t="shared" si="17"/>
        <v>0.2429577465</v>
      </c>
      <c r="R507" s="5">
        <f t="shared" si="18"/>
        <v>304704</v>
      </c>
      <c r="T507" s="5">
        <f t="shared" si="19"/>
        <v>970</v>
      </c>
      <c r="U507" s="19">
        <f t="shared" si="20"/>
        <v>0.4269366197</v>
      </c>
      <c r="V507" s="5">
        <f t="shared" si="21"/>
        <v>940900</v>
      </c>
    </row>
    <row r="508">
      <c r="A508" s="2">
        <v>41271.0</v>
      </c>
      <c r="B508" s="5">
        <v>14.0</v>
      </c>
      <c r="C508" s="5">
        <f t="shared" si="25"/>
        <v>1833</v>
      </c>
      <c r="D508" s="5">
        <f t="shared" si="23"/>
        <v>2823</v>
      </c>
      <c r="E508" s="5">
        <f t="shared" si="24"/>
        <v>2078</v>
      </c>
      <c r="L508" s="5">
        <f t="shared" si="13"/>
        <v>-1819</v>
      </c>
      <c r="M508" s="19">
        <f t="shared" si="14"/>
        <v>129.9285714</v>
      </c>
      <c r="N508" s="5">
        <f t="shared" si="15"/>
        <v>3308761</v>
      </c>
      <c r="P508" s="5">
        <f t="shared" si="16"/>
        <v>-2809</v>
      </c>
      <c r="Q508" s="19">
        <f t="shared" si="17"/>
        <v>200.6428571</v>
      </c>
      <c r="R508" s="5">
        <f t="shared" si="18"/>
        <v>7890481</v>
      </c>
      <c r="T508" s="5">
        <f t="shared" si="19"/>
        <v>-2064</v>
      </c>
      <c r="U508" s="19">
        <f t="shared" si="20"/>
        <v>147.4285714</v>
      </c>
      <c r="V508" s="5">
        <f t="shared" si="21"/>
        <v>4260096</v>
      </c>
    </row>
    <row r="509">
      <c r="A509" s="2">
        <v>41274.0</v>
      </c>
      <c r="B509" s="5">
        <v>2500.0</v>
      </c>
      <c r="C509" s="5">
        <f t="shared" si="25"/>
        <v>1199</v>
      </c>
      <c r="D509" s="5">
        <f t="shared" si="23"/>
        <v>2817</v>
      </c>
      <c r="E509" s="5">
        <f t="shared" si="24"/>
        <v>427</v>
      </c>
      <c r="L509" s="5">
        <f t="shared" si="13"/>
        <v>1301</v>
      </c>
      <c r="M509" s="19">
        <f t="shared" si="14"/>
        <v>0.5204</v>
      </c>
      <c r="N509" s="5">
        <f t="shared" si="15"/>
        <v>1692601</v>
      </c>
      <c r="P509" s="5">
        <f t="shared" si="16"/>
        <v>-317</v>
      </c>
      <c r="Q509" s="19">
        <f t="shared" si="17"/>
        <v>0.1268</v>
      </c>
      <c r="R509" s="5">
        <f t="shared" si="18"/>
        <v>100489</v>
      </c>
      <c r="T509" s="5">
        <f t="shared" si="19"/>
        <v>2073</v>
      </c>
      <c r="U509" s="19">
        <f t="shared" si="20"/>
        <v>0.8292</v>
      </c>
      <c r="V509" s="5">
        <f t="shared" si="21"/>
        <v>4297329</v>
      </c>
    </row>
    <row r="510">
      <c r="A510" s="1" t="s">
        <v>4</v>
      </c>
      <c r="B510" s="1" t="s">
        <v>5</v>
      </c>
      <c r="C510" s="1" t="s">
        <v>7</v>
      </c>
      <c r="D510" s="1" t="s">
        <v>8</v>
      </c>
      <c r="E510" s="1" t="s">
        <v>9</v>
      </c>
      <c r="K510" s="1" t="s">
        <v>7</v>
      </c>
      <c r="L510" s="1" t="s">
        <v>10</v>
      </c>
      <c r="M510" s="1" t="s">
        <v>11</v>
      </c>
      <c r="N510" s="1" t="s">
        <v>12</v>
      </c>
      <c r="O510" s="1" t="s">
        <v>13</v>
      </c>
      <c r="P510" s="1" t="s">
        <v>10</v>
      </c>
      <c r="Q510" s="1" t="s">
        <v>11</v>
      </c>
      <c r="R510" s="1" t="s">
        <v>12</v>
      </c>
      <c r="S510" s="1" t="s">
        <v>9</v>
      </c>
      <c r="T510" s="1" t="s">
        <v>10</v>
      </c>
      <c r="U510" s="1" t="s">
        <v>11</v>
      </c>
      <c r="V510" s="1" t="s">
        <v>12</v>
      </c>
    </row>
    <row r="511">
      <c r="A511" s="1"/>
    </row>
    <row r="512">
      <c r="A512" s="2">
        <v>41276.0</v>
      </c>
      <c r="B512" s="5">
        <v>10320.0</v>
      </c>
      <c r="C512" s="5">
        <f>ROUND(AVERAGE(B505:B509),0)</f>
        <v>1259</v>
      </c>
      <c r="D512" s="5">
        <f>ROUND(AVERAGE(B$3:B509),0)</f>
        <v>2816</v>
      </c>
      <c r="E512" s="5">
        <f>ROUND(J$7*B509+(1-J$7)*E509,0)</f>
        <v>2085</v>
      </c>
      <c r="L512" s="5">
        <f t="shared" ref="L512:L574" si="26">B512-C512</f>
        <v>9061</v>
      </c>
      <c r="M512" s="19">
        <f t="shared" ref="M512:M574" si="27">IF(B512=0, IF(C512=0, 0, 1), ABS(B512-C512)/B512)</f>
        <v>0.878003876</v>
      </c>
      <c r="N512" s="5">
        <f t="shared" ref="N512:N574" si="28">(B512-C512)^2</f>
        <v>82101721</v>
      </c>
      <c r="P512" s="5">
        <f t="shared" ref="P512:P574" si="29">B512-D512</f>
        <v>7504</v>
      </c>
      <c r="Q512" s="19">
        <f t="shared" ref="Q512:Q574" si="30">IF(B512=0, IF(D512=0, 0, 1), ABS(B512-D512)/B512)</f>
        <v>0.7271317829</v>
      </c>
      <c r="R512" s="5">
        <f t="shared" ref="R512:R574" si="31">(B512-D512)^2</f>
        <v>56310016</v>
      </c>
      <c r="T512" s="5">
        <f t="shared" ref="T512:T574" si="32">B512-E512</f>
        <v>8235</v>
      </c>
      <c r="U512" s="19">
        <f t="shared" ref="U512:U574" si="33">IF(B512=0, IF(E512=0, 0, 1), ABS(B512-E512)/B512)</f>
        <v>0.7979651163</v>
      </c>
      <c r="V512" s="5">
        <f t="shared" ref="V512:V574" si="34">(B512-E512)^2</f>
        <v>67815225</v>
      </c>
    </row>
    <row r="513">
      <c r="A513" s="2">
        <v>41277.0</v>
      </c>
      <c r="B513" s="5">
        <v>629.0</v>
      </c>
      <c r="C513" s="5">
        <f t="shared" ref="C513:C516" si="35">ROUND(AVERAGE(B506:B512),0)</f>
        <v>3322</v>
      </c>
      <c r="D513" s="5">
        <f t="shared" ref="D513:D574" si="36">ROUND(AVERAGE(B$3:B512),0)</f>
        <v>2831</v>
      </c>
      <c r="E513" s="5">
        <f t="shared" ref="E513:E574" si="37">ROUND(J$7*B512+(1-J$7)*E512,0)</f>
        <v>8673</v>
      </c>
      <c r="L513" s="5">
        <f t="shared" si="26"/>
        <v>-2693</v>
      </c>
      <c r="M513" s="19">
        <f t="shared" si="27"/>
        <v>4.281399046</v>
      </c>
      <c r="N513" s="5">
        <f t="shared" si="28"/>
        <v>7252249</v>
      </c>
      <c r="P513" s="5">
        <f t="shared" si="29"/>
        <v>-2202</v>
      </c>
      <c r="Q513" s="19">
        <f t="shared" si="30"/>
        <v>3.500794913</v>
      </c>
      <c r="R513" s="5">
        <f t="shared" si="31"/>
        <v>4848804</v>
      </c>
      <c r="T513" s="5">
        <f t="shared" si="32"/>
        <v>-8044</v>
      </c>
      <c r="U513" s="19">
        <f t="shared" si="33"/>
        <v>12.78855326</v>
      </c>
      <c r="V513" s="5">
        <f t="shared" si="34"/>
        <v>64705936</v>
      </c>
    </row>
    <row r="514">
      <c r="A514" s="2">
        <v>41278.0</v>
      </c>
      <c r="B514" s="5">
        <v>204.0</v>
      </c>
      <c r="C514" s="5">
        <f t="shared" si="35"/>
        <v>3147</v>
      </c>
      <c r="D514" s="5">
        <f t="shared" si="36"/>
        <v>2827</v>
      </c>
      <c r="E514" s="5">
        <f t="shared" si="37"/>
        <v>2238</v>
      </c>
      <c r="L514" s="5">
        <f t="shared" si="26"/>
        <v>-2943</v>
      </c>
      <c r="M514" s="19">
        <f t="shared" si="27"/>
        <v>14.42647059</v>
      </c>
      <c r="N514" s="5">
        <f t="shared" si="28"/>
        <v>8661249</v>
      </c>
      <c r="P514" s="5">
        <f t="shared" si="29"/>
        <v>-2623</v>
      </c>
      <c r="Q514" s="19">
        <f t="shared" si="30"/>
        <v>12.85784314</v>
      </c>
      <c r="R514" s="5">
        <f t="shared" si="31"/>
        <v>6880129</v>
      </c>
      <c r="T514" s="5">
        <f t="shared" si="32"/>
        <v>-2034</v>
      </c>
      <c r="U514" s="19">
        <f t="shared" si="33"/>
        <v>9.970588235</v>
      </c>
      <c r="V514" s="5">
        <f t="shared" si="34"/>
        <v>4137156</v>
      </c>
    </row>
    <row r="515">
      <c r="A515" s="2">
        <v>41281.0</v>
      </c>
      <c r="B515" s="5">
        <v>740.0</v>
      </c>
      <c r="C515" s="5">
        <f t="shared" si="35"/>
        <v>2733</v>
      </c>
      <c r="D515" s="5">
        <f t="shared" si="36"/>
        <v>2822</v>
      </c>
      <c r="E515" s="5">
        <f t="shared" si="37"/>
        <v>611</v>
      </c>
      <c r="L515" s="5">
        <f t="shared" si="26"/>
        <v>-1993</v>
      </c>
      <c r="M515" s="19">
        <f t="shared" si="27"/>
        <v>2.693243243</v>
      </c>
      <c r="N515" s="5">
        <f t="shared" si="28"/>
        <v>3972049</v>
      </c>
      <c r="P515" s="5">
        <f t="shared" si="29"/>
        <v>-2082</v>
      </c>
      <c r="Q515" s="19">
        <f t="shared" si="30"/>
        <v>2.813513514</v>
      </c>
      <c r="R515" s="5">
        <f t="shared" si="31"/>
        <v>4334724</v>
      </c>
      <c r="T515" s="5">
        <f t="shared" si="32"/>
        <v>129</v>
      </c>
      <c r="U515" s="19">
        <f t="shared" si="33"/>
        <v>0.1743243243</v>
      </c>
      <c r="V515" s="5">
        <f t="shared" si="34"/>
        <v>16641</v>
      </c>
    </row>
    <row r="516">
      <c r="A516" s="2">
        <v>41282.0</v>
      </c>
      <c r="B516" s="5">
        <v>3202.0</v>
      </c>
      <c r="C516" s="5">
        <f t="shared" si="35"/>
        <v>2879</v>
      </c>
      <c r="D516" s="5">
        <f t="shared" si="36"/>
        <v>2818</v>
      </c>
      <c r="E516" s="5">
        <f t="shared" si="37"/>
        <v>714</v>
      </c>
      <c r="L516" s="5">
        <f t="shared" si="26"/>
        <v>323</v>
      </c>
      <c r="M516" s="19">
        <f t="shared" si="27"/>
        <v>0.1008744535</v>
      </c>
      <c r="N516" s="5">
        <f t="shared" si="28"/>
        <v>104329</v>
      </c>
      <c r="P516" s="5">
        <f t="shared" si="29"/>
        <v>384</v>
      </c>
      <c r="Q516" s="19">
        <f t="shared" si="30"/>
        <v>0.1199250468</v>
      </c>
      <c r="R516" s="5">
        <f t="shared" si="31"/>
        <v>147456</v>
      </c>
      <c r="T516" s="5">
        <f t="shared" si="32"/>
        <v>2488</v>
      </c>
      <c r="U516" s="19">
        <f t="shared" si="33"/>
        <v>0.777014366</v>
      </c>
      <c r="V516" s="5">
        <f t="shared" si="34"/>
        <v>6190144</v>
      </c>
    </row>
    <row r="517">
      <c r="A517" s="2">
        <v>41283.0</v>
      </c>
      <c r="B517" s="5">
        <v>2818.0</v>
      </c>
      <c r="C517" s="5">
        <f t="shared" ref="C517:C574" si="38">ROUND(AVERAGE(B512:B516),0)</f>
        <v>3019</v>
      </c>
      <c r="D517" s="5">
        <f t="shared" si="36"/>
        <v>2818</v>
      </c>
      <c r="E517" s="5">
        <f t="shared" si="37"/>
        <v>2704</v>
      </c>
      <c r="L517" s="5">
        <f t="shared" si="26"/>
        <v>-201</v>
      </c>
      <c r="M517" s="19">
        <f t="shared" si="27"/>
        <v>0.0713271824</v>
      </c>
      <c r="N517" s="5">
        <f t="shared" si="28"/>
        <v>40401</v>
      </c>
      <c r="P517" s="5">
        <f t="shared" si="29"/>
        <v>0</v>
      </c>
      <c r="Q517" s="19">
        <f t="shared" si="30"/>
        <v>0</v>
      </c>
      <c r="R517" s="5">
        <f t="shared" si="31"/>
        <v>0</v>
      </c>
      <c r="T517" s="5">
        <f t="shared" si="32"/>
        <v>114</v>
      </c>
      <c r="U517" s="19">
        <f t="shared" si="33"/>
        <v>0.04045422285</v>
      </c>
      <c r="V517" s="5">
        <f t="shared" si="34"/>
        <v>12996</v>
      </c>
    </row>
    <row r="518">
      <c r="A518" s="2">
        <v>41284.0</v>
      </c>
      <c r="B518" s="5">
        <v>1068.0</v>
      </c>
      <c r="C518" s="5">
        <f t="shared" si="38"/>
        <v>1519</v>
      </c>
      <c r="D518" s="5">
        <f t="shared" si="36"/>
        <v>2818</v>
      </c>
      <c r="E518" s="5">
        <f t="shared" si="37"/>
        <v>2795</v>
      </c>
      <c r="L518" s="5">
        <f t="shared" si="26"/>
        <v>-451</v>
      </c>
      <c r="M518" s="19">
        <f t="shared" si="27"/>
        <v>0.4222846442</v>
      </c>
      <c r="N518" s="5">
        <f t="shared" si="28"/>
        <v>203401</v>
      </c>
      <c r="P518" s="5">
        <f t="shared" si="29"/>
        <v>-1750</v>
      </c>
      <c r="Q518" s="19">
        <f t="shared" si="30"/>
        <v>1.638576779</v>
      </c>
      <c r="R518" s="5">
        <f t="shared" si="31"/>
        <v>3062500</v>
      </c>
      <c r="T518" s="5">
        <f t="shared" si="32"/>
        <v>-1727</v>
      </c>
      <c r="U518" s="19">
        <f t="shared" si="33"/>
        <v>1.617041199</v>
      </c>
      <c r="V518" s="5">
        <f t="shared" si="34"/>
        <v>2982529</v>
      </c>
    </row>
    <row r="519">
      <c r="A519" s="2">
        <v>41285.0</v>
      </c>
      <c r="B519" s="5">
        <v>252.0</v>
      </c>
      <c r="C519" s="5">
        <f t="shared" si="38"/>
        <v>1606</v>
      </c>
      <c r="D519" s="5">
        <f t="shared" si="36"/>
        <v>2815</v>
      </c>
      <c r="E519" s="5">
        <f t="shared" si="37"/>
        <v>1413</v>
      </c>
      <c r="L519" s="5">
        <f t="shared" si="26"/>
        <v>-1354</v>
      </c>
      <c r="M519" s="19">
        <f t="shared" si="27"/>
        <v>5.373015873</v>
      </c>
      <c r="N519" s="5">
        <f t="shared" si="28"/>
        <v>1833316</v>
      </c>
      <c r="P519" s="5">
        <f t="shared" si="29"/>
        <v>-2563</v>
      </c>
      <c r="Q519" s="19">
        <f t="shared" si="30"/>
        <v>10.17063492</v>
      </c>
      <c r="R519" s="5">
        <f t="shared" si="31"/>
        <v>6568969</v>
      </c>
      <c r="T519" s="5">
        <f t="shared" si="32"/>
        <v>-1161</v>
      </c>
      <c r="U519" s="19">
        <f t="shared" si="33"/>
        <v>4.607142857</v>
      </c>
      <c r="V519" s="5">
        <f t="shared" si="34"/>
        <v>1347921</v>
      </c>
    </row>
    <row r="520">
      <c r="A520" s="2">
        <v>41288.0</v>
      </c>
      <c r="B520" s="5">
        <v>1025.0</v>
      </c>
      <c r="C520" s="5">
        <f t="shared" si="38"/>
        <v>1616</v>
      </c>
      <c r="D520" s="5">
        <f t="shared" si="36"/>
        <v>2810</v>
      </c>
      <c r="E520" s="5">
        <f t="shared" si="37"/>
        <v>484</v>
      </c>
      <c r="L520" s="5">
        <f t="shared" si="26"/>
        <v>-591</v>
      </c>
      <c r="M520" s="19">
        <f t="shared" si="27"/>
        <v>0.5765853659</v>
      </c>
      <c r="N520" s="5">
        <f t="shared" si="28"/>
        <v>349281</v>
      </c>
      <c r="P520" s="5">
        <f t="shared" si="29"/>
        <v>-1785</v>
      </c>
      <c r="Q520" s="19">
        <f t="shared" si="30"/>
        <v>1.741463415</v>
      </c>
      <c r="R520" s="5">
        <f t="shared" si="31"/>
        <v>3186225</v>
      </c>
      <c r="T520" s="5">
        <f t="shared" si="32"/>
        <v>541</v>
      </c>
      <c r="U520" s="19">
        <f t="shared" si="33"/>
        <v>0.527804878</v>
      </c>
      <c r="V520" s="5">
        <f t="shared" si="34"/>
        <v>292681</v>
      </c>
    </row>
    <row r="521">
      <c r="A521" s="2">
        <v>41289.0</v>
      </c>
      <c r="B521" s="5">
        <v>2201.0</v>
      </c>
      <c r="C521" s="5">
        <f t="shared" si="38"/>
        <v>1673</v>
      </c>
      <c r="D521" s="5">
        <f t="shared" si="36"/>
        <v>2807</v>
      </c>
      <c r="E521" s="5">
        <f t="shared" si="37"/>
        <v>917</v>
      </c>
      <c r="L521" s="5">
        <f t="shared" si="26"/>
        <v>528</v>
      </c>
      <c r="M521" s="19">
        <f t="shared" si="27"/>
        <v>0.2398909587</v>
      </c>
      <c r="N521" s="5">
        <f t="shared" si="28"/>
        <v>278784</v>
      </c>
      <c r="P521" s="5">
        <f t="shared" si="29"/>
        <v>-606</v>
      </c>
      <c r="Q521" s="19">
        <f t="shared" si="30"/>
        <v>0.2753293957</v>
      </c>
      <c r="R521" s="5">
        <f t="shared" si="31"/>
        <v>367236</v>
      </c>
      <c r="T521" s="5">
        <f t="shared" si="32"/>
        <v>1284</v>
      </c>
      <c r="U521" s="19">
        <f t="shared" si="33"/>
        <v>0.5833711949</v>
      </c>
      <c r="V521" s="5">
        <f t="shared" si="34"/>
        <v>1648656</v>
      </c>
    </row>
    <row r="522">
      <c r="A522" s="2">
        <v>41290.0</v>
      </c>
      <c r="B522" s="5">
        <v>2041.0</v>
      </c>
      <c r="C522" s="5">
        <f t="shared" si="38"/>
        <v>1473</v>
      </c>
      <c r="D522" s="5">
        <f t="shared" si="36"/>
        <v>2805</v>
      </c>
      <c r="E522" s="5">
        <f t="shared" si="37"/>
        <v>1944</v>
      </c>
      <c r="L522" s="5">
        <f t="shared" si="26"/>
        <v>568</v>
      </c>
      <c r="M522" s="19">
        <f t="shared" si="27"/>
        <v>0.2782949535</v>
      </c>
      <c r="N522" s="5">
        <f t="shared" si="28"/>
        <v>322624</v>
      </c>
      <c r="P522" s="5">
        <f t="shared" si="29"/>
        <v>-764</v>
      </c>
      <c r="Q522" s="19">
        <f t="shared" si="30"/>
        <v>0.3743263106</v>
      </c>
      <c r="R522" s="5">
        <f t="shared" si="31"/>
        <v>583696</v>
      </c>
      <c r="T522" s="5">
        <f t="shared" si="32"/>
        <v>97</v>
      </c>
      <c r="U522" s="19">
        <f t="shared" si="33"/>
        <v>0.04752572268</v>
      </c>
      <c r="V522" s="5">
        <f t="shared" si="34"/>
        <v>9409</v>
      </c>
    </row>
    <row r="523">
      <c r="A523" s="2">
        <v>41291.0</v>
      </c>
      <c r="B523" s="5">
        <v>1097.0</v>
      </c>
      <c r="C523" s="5">
        <f t="shared" si="38"/>
        <v>1317</v>
      </c>
      <c r="D523" s="5">
        <f t="shared" si="36"/>
        <v>2804</v>
      </c>
      <c r="E523" s="5">
        <f t="shared" si="37"/>
        <v>2022</v>
      </c>
      <c r="L523" s="5">
        <f t="shared" si="26"/>
        <v>-220</v>
      </c>
      <c r="M523" s="19">
        <f t="shared" si="27"/>
        <v>0.2005469462</v>
      </c>
      <c r="N523" s="5">
        <f t="shared" si="28"/>
        <v>48400</v>
      </c>
      <c r="P523" s="5">
        <f t="shared" si="29"/>
        <v>-1707</v>
      </c>
      <c r="Q523" s="19">
        <f t="shared" si="30"/>
        <v>1.556061987</v>
      </c>
      <c r="R523" s="5">
        <f t="shared" si="31"/>
        <v>2913849</v>
      </c>
      <c r="T523" s="5">
        <f t="shared" si="32"/>
        <v>-925</v>
      </c>
      <c r="U523" s="19">
        <f t="shared" si="33"/>
        <v>0.8432087511</v>
      </c>
      <c r="V523" s="5">
        <f t="shared" si="34"/>
        <v>855625</v>
      </c>
    </row>
    <row r="524">
      <c r="A524" s="2">
        <v>41292.0</v>
      </c>
      <c r="B524" s="5">
        <v>150.0</v>
      </c>
      <c r="C524" s="5">
        <f t="shared" si="38"/>
        <v>1323</v>
      </c>
      <c r="D524" s="5">
        <f t="shared" si="36"/>
        <v>2801</v>
      </c>
      <c r="E524" s="5">
        <f t="shared" si="37"/>
        <v>1282</v>
      </c>
      <c r="L524" s="5">
        <f t="shared" si="26"/>
        <v>-1173</v>
      </c>
      <c r="M524" s="19">
        <f t="shared" si="27"/>
        <v>7.82</v>
      </c>
      <c r="N524" s="5">
        <f t="shared" si="28"/>
        <v>1375929</v>
      </c>
      <c r="P524" s="5">
        <f t="shared" si="29"/>
        <v>-2651</v>
      </c>
      <c r="Q524" s="19">
        <f t="shared" si="30"/>
        <v>17.67333333</v>
      </c>
      <c r="R524" s="5">
        <f t="shared" si="31"/>
        <v>7027801</v>
      </c>
      <c r="T524" s="5">
        <f t="shared" si="32"/>
        <v>-1132</v>
      </c>
      <c r="U524" s="19">
        <f t="shared" si="33"/>
        <v>7.546666667</v>
      </c>
      <c r="V524" s="5">
        <f t="shared" si="34"/>
        <v>1281424</v>
      </c>
    </row>
    <row r="525">
      <c r="A525" s="2">
        <v>41295.0</v>
      </c>
      <c r="B525" s="5">
        <v>669.0</v>
      </c>
      <c r="C525" s="5">
        <f t="shared" si="38"/>
        <v>1303</v>
      </c>
      <c r="D525" s="5">
        <f t="shared" si="36"/>
        <v>2795</v>
      </c>
      <c r="E525" s="5">
        <f t="shared" si="37"/>
        <v>376</v>
      </c>
      <c r="L525" s="5">
        <f t="shared" si="26"/>
        <v>-634</v>
      </c>
      <c r="M525" s="19">
        <f t="shared" si="27"/>
        <v>0.9476831091</v>
      </c>
      <c r="N525" s="5">
        <f t="shared" si="28"/>
        <v>401956</v>
      </c>
      <c r="P525" s="5">
        <f t="shared" si="29"/>
        <v>-2126</v>
      </c>
      <c r="Q525" s="19">
        <f t="shared" si="30"/>
        <v>3.177877429</v>
      </c>
      <c r="R525" s="5">
        <f t="shared" si="31"/>
        <v>4519876</v>
      </c>
      <c r="T525" s="5">
        <f t="shared" si="32"/>
        <v>293</v>
      </c>
      <c r="U525" s="19">
        <f t="shared" si="33"/>
        <v>0.4379671151</v>
      </c>
      <c r="V525" s="5">
        <f t="shared" si="34"/>
        <v>85849</v>
      </c>
    </row>
    <row r="526">
      <c r="A526" s="2">
        <v>41296.0</v>
      </c>
      <c r="B526" s="5">
        <v>4914.0</v>
      </c>
      <c r="C526" s="5">
        <f t="shared" si="38"/>
        <v>1232</v>
      </c>
      <c r="D526" s="5">
        <f t="shared" si="36"/>
        <v>2791</v>
      </c>
      <c r="E526" s="5">
        <f t="shared" si="37"/>
        <v>610</v>
      </c>
      <c r="L526" s="5">
        <f t="shared" si="26"/>
        <v>3682</v>
      </c>
      <c r="M526" s="19">
        <f t="shared" si="27"/>
        <v>0.7492877493</v>
      </c>
      <c r="N526" s="5">
        <f t="shared" si="28"/>
        <v>13557124</v>
      </c>
      <c r="P526" s="5">
        <f t="shared" si="29"/>
        <v>2123</v>
      </c>
      <c r="Q526" s="19">
        <f t="shared" si="30"/>
        <v>0.432030932</v>
      </c>
      <c r="R526" s="5">
        <f t="shared" si="31"/>
        <v>4507129</v>
      </c>
      <c r="T526" s="5">
        <f t="shared" si="32"/>
        <v>4304</v>
      </c>
      <c r="U526" s="19">
        <f t="shared" si="33"/>
        <v>0.8758648759</v>
      </c>
      <c r="V526" s="5">
        <f t="shared" si="34"/>
        <v>18524416</v>
      </c>
    </row>
    <row r="527">
      <c r="A527" s="2">
        <v>41297.0</v>
      </c>
      <c r="B527" s="5">
        <v>1606.0</v>
      </c>
      <c r="C527" s="5">
        <f t="shared" si="38"/>
        <v>1774</v>
      </c>
      <c r="D527" s="5">
        <f t="shared" si="36"/>
        <v>2795</v>
      </c>
      <c r="E527" s="5">
        <f t="shared" si="37"/>
        <v>4053</v>
      </c>
      <c r="L527" s="5">
        <f t="shared" si="26"/>
        <v>-168</v>
      </c>
      <c r="M527" s="19">
        <f t="shared" si="27"/>
        <v>0.104607721</v>
      </c>
      <c r="N527" s="5">
        <f t="shared" si="28"/>
        <v>28224</v>
      </c>
      <c r="P527" s="5">
        <f t="shared" si="29"/>
        <v>-1189</v>
      </c>
      <c r="Q527" s="19">
        <f t="shared" si="30"/>
        <v>0.7403486924</v>
      </c>
      <c r="R527" s="5">
        <f t="shared" si="31"/>
        <v>1413721</v>
      </c>
      <c r="T527" s="5">
        <f t="shared" si="32"/>
        <v>-2447</v>
      </c>
      <c r="U527" s="19">
        <f t="shared" si="33"/>
        <v>1.52366127</v>
      </c>
      <c r="V527" s="5">
        <f t="shared" si="34"/>
        <v>5987809</v>
      </c>
    </row>
    <row r="528">
      <c r="A528" s="2">
        <v>41298.0</v>
      </c>
      <c r="B528" s="5">
        <v>840.0</v>
      </c>
      <c r="C528" s="5">
        <f t="shared" si="38"/>
        <v>1687</v>
      </c>
      <c r="D528" s="5">
        <f t="shared" si="36"/>
        <v>2793</v>
      </c>
      <c r="E528" s="5">
        <f t="shared" si="37"/>
        <v>2095</v>
      </c>
      <c r="L528" s="5">
        <f t="shared" si="26"/>
        <v>-847</v>
      </c>
      <c r="M528" s="19">
        <f t="shared" si="27"/>
        <v>1.008333333</v>
      </c>
      <c r="N528" s="5">
        <f t="shared" si="28"/>
        <v>717409</v>
      </c>
      <c r="P528" s="5">
        <f t="shared" si="29"/>
        <v>-1953</v>
      </c>
      <c r="Q528" s="19">
        <f t="shared" si="30"/>
        <v>2.325</v>
      </c>
      <c r="R528" s="5">
        <f t="shared" si="31"/>
        <v>3814209</v>
      </c>
      <c r="T528" s="5">
        <f t="shared" si="32"/>
        <v>-1255</v>
      </c>
      <c r="U528" s="19">
        <f t="shared" si="33"/>
        <v>1.494047619</v>
      </c>
      <c r="V528" s="5">
        <f t="shared" si="34"/>
        <v>1575025</v>
      </c>
    </row>
    <row r="529">
      <c r="A529" s="2">
        <v>41299.0</v>
      </c>
      <c r="B529" s="5">
        <v>100.0</v>
      </c>
      <c r="C529" s="5">
        <f t="shared" si="38"/>
        <v>1636</v>
      </c>
      <c r="D529" s="5">
        <f t="shared" si="36"/>
        <v>2789</v>
      </c>
      <c r="E529" s="5">
        <f t="shared" si="37"/>
        <v>1091</v>
      </c>
      <c r="L529" s="5">
        <f t="shared" si="26"/>
        <v>-1536</v>
      </c>
      <c r="M529" s="19">
        <f t="shared" si="27"/>
        <v>15.36</v>
      </c>
      <c r="N529" s="5">
        <f t="shared" si="28"/>
        <v>2359296</v>
      </c>
      <c r="P529" s="5">
        <f t="shared" si="29"/>
        <v>-2689</v>
      </c>
      <c r="Q529" s="19">
        <f t="shared" si="30"/>
        <v>26.89</v>
      </c>
      <c r="R529" s="5">
        <f t="shared" si="31"/>
        <v>7230721</v>
      </c>
      <c r="T529" s="5">
        <f t="shared" si="32"/>
        <v>-991</v>
      </c>
      <c r="U529" s="19">
        <f t="shared" si="33"/>
        <v>9.91</v>
      </c>
      <c r="V529" s="5">
        <f t="shared" si="34"/>
        <v>982081</v>
      </c>
    </row>
    <row r="530">
      <c r="A530" s="2">
        <v>41302.0</v>
      </c>
      <c r="B530" s="5">
        <v>981.0</v>
      </c>
      <c r="C530" s="5">
        <f t="shared" si="38"/>
        <v>1626</v>
      </c>
      <c r="D530" s="5">
        <f t="shared" si="36"/>
        <v>2784</v>
      </c>
      <c r="E530" s="5">
        <f t="shared" si="37"/>
        <v>298</v>
      </c>
      <c r="L530" s="5">
        <f t="shared" si="26"/>
        <v>-645</v>
      </c>
      <c r="M530" s="19">
        <f t="shared" si="27"/>
        <v>0.6574923547</v>
      </c>
      <c r="N530" s="5">
        <f t="shared" si="28"/>
        <v>416025</v>
      </c>
      <c r="P530" s="5">
        <f t="shared" si="29"/>
        <v>-1803</v>
      </c>
      <c r="Q530" s="19">
        <f t="shared" si="30"/>
        <v>1.837920489</v>
      </c>
      <c r="R530" s="5">
        <f t="shared" si="31"/>
        <v>3250809</v>
      </c>
      <c r="T530" s="5">
        <f t="shared" si="32"/>
        <v>683</v>
      </c>
      <c r="U530" s="19">
        <f t="shared" si="33"/>
        <v>0.6962283384</v>
      </c>
      <c r="V530" s="5">
        <f t="shared" si="34"/>
        <v>466489</v>
      </c>
    </row>
    <row r="531">
      <c r="A531" s="2">
        <v>41303.0</v>
      </c>
      <c r="B531" s="5">
        <v>2153.0</v>
      </c>
      <c r="C531" s="5">
        <f t="shared" si="38"/>
        <v>1688</v>
      </c>
      <c r="D531" s="5">
        <f t="shared" si="36"/>
        <v>2781</v>
      </c>
      <c r="E531" s="5">
        <f t="shared" si="37"/>
        <v>844</v>
      </c>
      <c r="L531" s="5">
        <f t="shared" si="26"/>
        <v>465</v>
      </c>
      <c r="M531" s="19">
        <f t="shared" si="27"/>
        <v>0.2159777055</v>
      </c>
      <c r="N531" s="5">
        <f t="shared" si="28"/>
        <v>216225</v>
      </c>
      <c r="P531" s="5">
        <f t="shared" si="29"/>
        <v>-628</v>
      </c>
      <c r="Q531" s="19">
        <f t="shared" si="30"/>
        <v>0.2916860195</v>
      </c>
      <c r="R531" s="5">
        <f t="shared" si="31"/>
        <v>394384</v>
      </c>
      <c r="T531" s="5">
        <f t="shared" si="32"/>
        <v>1309</v>
      </c>
      <c r="U531" s="19">
        <f t="shared" si="33"/>
        <v>0.6079888528</v>
      </c>
      <c r="V531" s="5">
        <f t="shared" si="34"/>
        <v>1713481</v>
      </c>
    </row>
    <row r="532">
      <c r="A532" s="2">
        <v>41304.0</v>
      </c>
      <c r="B532" s="5">
        <v>1470.0</v>
      </c>
      <c r="C532" s="5">
        <f t="shared" si="38"/>
        <v>1136</v>
      </c>
      <c r="D532" s="5">
        <f t="shared" si="36"/>
        <v>2780</v>
      </c>
      <c r="E532" s="5">
        <f t="shared" si="37"/>
        <v>1891</v>
      </c>
      <c r="L532" s="5">
        <f t="shared" si="26"/>
        <v>334</v>
      </c>
      <c r="M532" s="19">
        <f t="shared" si="27"/>
        <v>0.2272108844</v>
      </c>
      <c r="N532" s="5">
        <f t="shared" si="28"/>
        <v>111556</v>
      </c>
      <c r="P532" s="5">
        <f t="shared" si="29"/>
        <v>-1310</v>
      </c>
      <c r="Q532" s="19">
        <f t="shared" si="30"/>
        <v>0.8911564626</v>
      </c>
      <c r="R532" s="5">
        <f t="shared" si="31"/>
        <v>1716100</v>
      </c>
      <c r="T532" s="5">
        <f t="shared" si="32"/>
        <v>-421</v>
      </c>
      <c r="U532" s="19">
        <f t="shared" si="33"/>
        <v>0.2863945578</v>
      </c>
      <c r="V532" s="5">
        <f t="shared" si="34"/>
        <v>177241</v>
      </c>
    </row>
    <row r="533">
      <c r="A533" s="2">
        <v>41305.0</v>
      </c>
      <c r="B533" s="5">
        <v>759.0</v>
      </c>
      <c r="C533" s="5">
        <f t="shared" si="38"/>
        <v>1109</v>
      </c>
      <c r="D533" s="5">
        <f t="shared" si="36"/>
        <v>2777</v>
      </c>
      <c r="E533" s="5">
        <f t="shared" si="37"/>
        <v>1554</v>
      </c>
      <c r="L533" s="5">
        <f t="shared" si="26"/>
        <v>-350</v>
      </c>
      <c r="M533" s="19">
        <f t="shared" si="27"/>
        <v>0.4611330698</v>
      </c>
      <c r="N533" s="5">
        <f t="shared" si="28"/>
        <v>122500</v>
      </c>
      <c r="P533" s="5">
        <f t="shared" si="29"/>
        <v>-2018</v>
      </c>
      <c r="Q533" s="19">
        <f t="shared" si="30"/>
        <v>2.658761528</v>
      </c>
      <c r="R533" s="5">
        <f t="shared" si="31"/>
        <v>4072324</v>
      </c>
      <c r="T533" s="5">
        <f t="shared" si="32"/>
        <v>-795</v>
      </c>
      <c r="U533" s="19">
        <f t="shared" si="33"/>
        <v>1.04743083</v>
      </c>
      <c r="V533" s="5">
        <f t="shared" si="34"/>
        <v>632025</v>
      </c>
    </row>
    <row r="534">
      <c r="A534" s="2">
        <v>41306.0</v>
      </c>
      <c r="B534" s="5">
        <v>156.0</v>
      </c>
      <c r="C534" s="5">
        <f t="shared" si="38"/>
        <v>1093</v>
      </c>
      <c r="D534" s="5">
        <f t="shared" si="36"/>
        <v>2773</v>
      </c>
      <c r="E534" s="5">
        <f t="shared" si="37"/>
        <v>918</v>
      </c>
      <c r="L534" s="5">
        <f t="shared" si="26"/>
        <v>-937</v>
      </c>
      <c r="M534" s="19">
        <f t="shared" si="27"/>
        <v>6.006410256</v>
      </c>
      <c r="N534" s="5">
        <f t="shared" si="28"/>
        <v>877969</v>
      </c>
      <c r="P534" s="5">
        <f t="shared" si="29"/>
        <v>-2617</v>
      </c>
      <c r="Q534" s="19">
        <f t="shared" si="30"/>
        <v>16.77564103</v>
      </c>
      <c r="R534" s="5">
        <f t="shared" si="31"/>
        <v>6848689</v>
      </c>
      <c r="T534" s="5">
        <f t="shared" si="32"/>
        <v>-762</v>
      </c>
      <c r="U534" s="19">
        <f t="shared" si="33"/>
        <v>4.884615385</v>
      </c>
      <c r="V534" s="5">
        <f t="shared" si="34"/>
        <v>580644</v>
      </c>
    </row>
    <row r="535">
      <c r="A535" s="2">
        <v>41309.0</v>
      </c>
      <c r="B535" s="5">
        <v>647.0</v>
      </c>
      <c r="C535" s="5">
        <f t="shared" si="38"/>
        <v>1104</v>
      </c>
      <c r="D535" s="5">
        <f t="shared" si="36"/>
        <v>2768</v>
      </c>
      <c r="E535" s="5">
        <f t="shared" si="37"/>
        <v>308</v>
      </c>
      <c r="L535" s="5">
        <f t="shared" si="26"/>
        <v>-457</v>
      </c>
      <c r="M535" s="19">
        <f t="shared" si="27"/>
        <v>0.7063369397</v>
      </c>
      <c r="N535" s="5">
        <f t="shared" si="28"/>
        <v>208849</v>
      </c>
      <c r="P535" s="5">
        <f t="shared" si="29"/>
        <v>-2121</v>
      </c>
      <c r="Q535" s="19">
        <f t="shared" si="30"/>
        <v>3.27820711</v>
      </c>
      <c r="R535" s="5">
        <f t="shared" si="31"/>
        <v>4498641</v>
      </c>
      <c r="T535" s="5">
        <f t="shared" si="32"/>
        <v>339</v>
      </c>
      <c r="U535" s="19">
        <f t="shared" si="33"/>
        <v>0.5239567233</v>
      </c>
      <c r="V535" s="5">
        <f t="shared" si="34"/>
        <v>114921</v>
      </c>
    </row>
    <row r="536">
      <c r="A536" s="2">
        <v>41310.0</v>
      </c>
      <c r="B536" s="5">
        <v>1130.0</v>
      </c>
      <c r="C536" s="5">
        <f t="shared" si="38"/>
        <v>1037</v>
      </c>
      <c r="D536" s="5">
        <f t="shared" si="36"/>
        <v>2764</v>
      </c>
      <c r="E536" s="5">
        <f t="shared" si="37"/>
        <v>579</v>
      </c>
      <c r="L536" s="5">
        <f t="shared" si="26"/>
        <v>93</v>
      </c>
      <c r="M536" s="19">
        <f t="shared" si="27"/>
        <v>0.08230088496</v>
      </c>
      <c r="N536" s="5">
        <f t="shared" si="28"/>
        <v>8649</v>
      </c>
      <c r="P536" s="5">
        <f t="shared" si="29"/>
        <v>-1634</v>
      </c>
      <c r="Q536" s="19">
        <f t="shared" si="30"/>
        <v>1.446017699</v>
      </c>
      <c r="R536" s="5">
        <f t="shared" si="31"/>
        <v>2669956</v>
      </c>
      <c r="T536" s="5">
        <f t="shared" si="32"/>
        <v>551</v>
      </c>
      <c r="U536" s="19">
        <f t="shared" si="33"/>
        <v>0.4876106195</v>
      </c>
      <c r="V536" s="5">
        <f t="shared" si="34"/>
        <v>303601</v>
      </c>
    </row>
    <row r="537">
      <c r="A537" s="2">
        <v>41311.0</v>
      </c>
      <c r="B537" s="5">
        <v>1530.0</v>
      </c>
      <c r="C537" s="5">
        <f t="shared" si="38"/>
        <v>832</v>
      </c>
      <c r="D537" s="5">
        <f t="shared" si="36"/>
        <v>2761</v>
      </c>
      <c r="E537" s="5">
        <f t="shared" si="37"/>
        <v>1020</v>
      </c>
      <c r="L537" s="5">
        <f t="shared" si="26"/>
        <v>698</v>
      </c>
      <c r="M537" s="19">
        <f t="shared" si="27"/>
        <v>0.4562091503</v>
      </c>
      <c r="N537" s="5">
        <f t="shared" si="28"/>
        <v>487204</v>
      </c>
      <c r="P537" s="5">
        <f t="shared" si="29"/>
        <v>-1231</v>
      </c>
      <c r="Q537" s="19">
        <f t="shared" si="30"/>
        <v>0.8045751634</v>
      </c>
      <c r="R537" s="5">
        <f t="shared" si="31"/>
        <v>1515361</v>
      </c>
      <c r="T537" s="5">
        <f t="shared" si="32"/>
        <v>510</v>
      </c>
      <c r="U537" s="19">
        <f t="shared" si="33"/>
        <v>0.3333333333</v>
      </c>
      <c r="V537" s="5">
        <f t="shared" si="34"/>
        <v>260100</v>
      </c>
    </row>
    <row r="538">
      <c r="A538" s="2">
        <v>41312.0</v>
      </c>
      <c r="B538" s="5">
        <v>1299.0</v>
      </c>
      <c r="C538" s="5">
        <f t="shared" si="38"/>
        <v>844</v>
      </c>
      <c r="D538" s="5">
        <f t="shared" si="36"/>
        <v>2759</v>
      </c>
      <c r="E538" s="5">
        <f t="shared" si="37"/>
        <v>1428</v>
      </c>
      <c r="L538" s="5">
        <f t="shared" si="26"/>
        <v>455</v>
      </c>
      <c r="M538" s="19">
        <f t="shared" si="27"/>
        <v>0.350269438</v>
      </c>
      <c r="N538" s="5">
        <f t="shared" si="28"/>
        <v>207025</v>
      </c>
      <c r="P538" s="5">
        <f t="shared" si="29"/>
        <v>-1460</v>
      </c>
      <c r="Q538" s="19">
        <f t="shared" si="30"/>
        <v>1.123941493</v>
      </c>
      <c r="R538" s="5">
        <f t="shared" si="31"/>
        <v>2131600</v>
      </c>
      <c r="T538" s="5">
        <f t="shared" si="32"/>
        <v>-129</v>
      </c>
      <c r="U538" s="19">
        <f t="shared" si="33"/>
        <v>0.09930715935</v>
      </c>
      <c r="V538" s="5">
        <f t="shared" si="34"/>
        <v>16641</v>
      </c>
    </row>
    <row r="539">
      <c r="A539" s="2">
        <v>41313.0</v>
      </c>
      <c r="B539" s="5">
        <v>180.0</v>
      </c>
      <c r="C539" s="5">
        <f t="shared" si="38"/>
        <v>952</v>
      </c>
      <c r="D539" s="5">
        <f t="shared" si="36"/>
        <v>2756</v>
      </c>
      <c r="E539" s="5">
        <f t="shared" si="37"/>
        <v>1325</v>
      </c>
      <c r="L539" s="5">
        <f t="shared" si="26"/>
        <v>-772</v>
      </c>
      <c r="M539" s="19">
        <f t="shared" si="27"/>
        <v>4.288888889</v>
      </c>
      <c r="N539" s="5">
        <f t="shared" si="28"/>
        <v>595984</v>
      </c>
      <c r="P539" s="5">
        <f t="shared" si="29"/>
        <v>-2576</v>
      </c>
      <c r="Q539" s="19">
        <f t="shared" si="30"/>
        <v>14.31111111</v>
      </c>
      <c r="R539" s="5">
        <f t="shared" si="31"/>
        <v>6635776</v>
      </c>
      <c r="T539" s="5">
        <f t="shared" si="32"/>
        <v>-1145</v>
      </c>
      <c r="U539" s="19">
        <f t="shared" si="33"/>
        <v>6.361111111</v>
      </c>
      <c r="V539" s="5">
        <f t="shared" si="34"/>
        <v>1311025</v>
      </c>
    </row>
    <row r="540">
      <c r="A540" s="2">
        <v>41316.0</v>
      </c>
      <c r="B540" s="5">
        <v>615.0</v>
      </c>
      <c r="C540" s="5">
        <f t="shared" si="38"/>
        <v>957</v>
      </c>
      <c r="D540" s="5">
        <f t="shared" si="36"/>
        <v>2751</v>
      </c>
      <c r="E540" s="5">
        <f t="shared" si="37"/>
        <v>409</v>
      </c>
      <c r="L540" s="5">
        <f t="shared" si="26"/>
        <v>-342</v>
      </c>
      <c r="M540" s="19">
        <f t="shared" si="27"/>
        <v>0.556097561</v>
      </c>
      <c r="N540" s="5">
        <f t="shared" si="28"/>
        <v>116964</v>
      </c>
      <c r="P540" s="5">
        <f t="shared" si="29"/>
        <v>-2136</v>
      </c>
      <c r="Q540" s="19">
        <f t="shared" si="30"/>
        <v>3.473170732</v>
      </c>
      <c r="R540" s="5">
        <f t="shared" si="31"/>
        <v>4562496</v>
      </c>
      <c r="T540" s="5">
        <f t="shared" si="32"/>
        <v>206</v>
      </c>
      <c r="U540" s="19">
        <f t="shared" si="33"/>
        <v>0.3349593496</v>
      </c>
      <c r="V540" s="5">
        <f t="shared" si="34"/>
        <v>42436</v>
      </c>
    </row>
    <row r="541">
      <c r="A541" s="2">
        <v>41317.0</v>
      </c>
      <c r="B541" s="5">
        <v>4112.0</v>
      </c>
      <c r="C541" s="5">
        <f t="shared" si="38"/>
        <v>951</v>
      </c>
      <c r="D541" s="5">
        <f t="shared" si="36"/>
        <v>2747</v>
      </c>
      <c r="E541" s="5">
        <f t="shared" si="37"/>
        <v>574</v>
      </c>
      <c r="L541" s="5">
        <f t="shared" si="26"/>
        <v>3161</v>
      </c>
      <c r="M541" s="19">
        <f t="shared" si="27"/>
        <v>0.7687256809</v>
      </c>
      <c r="N541" s="5">
        <f t="shared" si="28"/>
        <v>9991921</v>
      </c>
      <c r="P541" s="5">
        <f t="shared" si="29"/>
        <v>1365</v>
      </c>
      <c r="Q541" s="19">
        <f t="shared" si="30"/>
        <v>0.3319552529</v>
      </c>
      <c r="R541" s="5">
        <f t="shared" si="31"/>
        <v>1863225</v>
      </c>
      <c r="T541" s="5">
        <f t="shared" si="32"/>
        <v>3538</v>
      </c>
      <c r="U541" s="19">
        <f t="shared" si="33"/>
        <v>0.8604085603</v>
      </c>
      <c r="V541" s="5">
        <f t="shared" si="34"/>
        <v>12517444</v>
      </c>
    </row>
    <row r="542">
      <c r="A542" s="2">
        <v>41318.0</v>
      </c>
      <c r="B542" s="5">
        <v>2409.0</v>
      </c>
      <c r="C542" s="5">
        <f t="shared" si="38"/>
        <v>1547</v>
      </c>
      <c r="D542" s="5">
        <f t="shared" si="36"/>
        <v>2750</v>
      </c>
      <c r="E542" s="5">
        <f t="shared" si="37"/>
        <v>3404</v>
      </c>
      <c r="L542" s="5">
        <f t="shared" si="26"/>
        <v>862</v>
      </c>
      <c r="M542" s="19">
        <f t="shared" si="27"/>
        <v>0.3578248236</v>
      </c>
      <c r="N542" s="5">
        <f t="shared" si="28"/>
        <v>743044</v>
      </c>
      <c r="P542" s="5">
        <f t="shared" si="29"/>
        <v>-341</v>
      </c>
      <c r="Q542" s="19">
        <f t="shared" si="30"/>
        <v>0.1415525114</v>
      </c>
      <c r="R542" s="5">
        <f t="shared" si="31"/>
        <v>116281</v>
      </c>
      <c r="T542" s="5">
        <f t="shared" si="32"/>
        <v>-995</v>
      </c>
      <c r="U542" s="19">
        <f t="shared" si="33"/>
        <v>0.4130344541</v>
      </c>
      <c r="V542" s="5">
        <f t="shared" si="34"/>
        <v>990025</v>
      </c>
    </row>
    <row r="543">
      <c r="A543" s="2">
        <v>41319.0</v>
      </c>
      <c r="B543" s="5">
        <v>1013.0</v>
      </c>
      <c r="C543" s="5">
        <f t="shared" si="38"/>
        <v>1723</v>
      </c>
      <c r="D543" s="5">
        <f t="shared" si="36"/>
        <v>2749</v>
      </c>
      <c r="E543" s="5">
        <f t="shared" si="37"/>
        <v>2608</v>
      </c>
      <c r="L543" s="5">
        <f t="shared" si="26"/>
        <v>-710</v>
      </c>
      <c r="M543" s="19">
        <f t="shared" si="27"/>
        <v>0.7008884501</v>
      </c>
      <c r="N543" s="5">
        <f t="shared" si="28"/>
        <v>504100</v>
      </c>
      <c r="P543" s="5">
        <f t="shared" si="29"/>
        <v>-1736</v>
      </c>
      <c r="Q543" s="19">
        <f t="shared" si="30"/>
        <v>1.713721619</v>
      </c>
      <c r="R543" s="5">
        <f t="shared" si="31"/>
        <v>3013696</v>
      </c>
      <c r="T543" s="5">
        <f t="shared" si="32"/>
        <v>-1595</v>
      </c>
      <c r="U543" s="19">
        <f t="shared" si="33"/>
        <v>1.574531096</v>
      </c>
      <c r="V543" s="5">
        <f t="shared" si="34"/>
        <v>2544025</v>
      </c>
    </row>
    <row r="544">
      <c r="A544" s="2">
        <v>41320.0</v>
      </c>
      <c r="B544" s="5">
        <v>200.0</v>
      </c>
      <c r="C544" s="5">
        <f t="shared" si="38"/>
        <v>1666</v>
      </c>
      <c r="D544" s="5">
        <f t="shared" si="36"/>
        <v>2746</v>
      </c>
      <c r="E544" s="5">
        <f t="shared" si="37"/>
        <v>1332</v>
      </c>
      <c r="L544" s="5">
        <f t="shared" si="26"/>
        <v>-1466</v>
      </c>
      <c r="M544" s="19">
        <f t="shared" si="27"/>
        <v>7.33</v>
      </c>
      <c r="N544" s="5">
        <f t="shared" si="28"/>
        <v>2149156</v>
      </c>
      <c r="P544" s="5">
        <f t="shared" si="29"/>
        <v>-2546</v>
      </c>
      <c r="Q544" s="19">
        <f t="shared" si="30"/>
        <v>12.73</v>
      </c>
      <c r="R544" s="5">
        <f t="shared" si="31"/>
        <v>6482116</v>
      </c>
      <c r="T544" s="5">
        <f t="shared" si="32"/>
        <v>-1132</v>
      </c>
      <c r="U544" s="19">
        <f t="shared" si="33"/>
        <v>5.66</v>
      </c>
      <c r="V544" s="5">
        <f t="shared" si="34"/>
        <v>1281424</v>
      </c>
    </row>
    <row r="545">
      <c r="A545" s="2">
        <v>41323.0</v>
      </c>
      <c r="B545" s="5">
        <v>871.0</v>
      </c>
      <c r="C545" s="5">
        <f t="shared" si="38"/>
        <v>1670</v>
      </c>
      <c r="D545" s="5">
        <f t="shared" si="36"/>
        <v>2741</v>
      </c>
      <c r="E545" s="5">
        <f t="shared" si="37"/>
        <v>426</v>
      </c>
      <c r="L545" s="5">
        <f t="shared" si="26"/>
        <v>-799</v>
      </c>
      <c r="M545" s="19">
        <f t="shared" si="27"/>
        <v>0.9173363949</v>
      </c>
      <c r="N545" s="5">
        <f t="shared" si="28"/>
        <v>638401</v>
      </c>
      <c r="P545" s="5">
        <f t="shared" si="29"/>
        <v>-1870</v>
      </c>
      <c r="Q545" s="19">
        <f t="shared" si="30"/>
        <v>2.14695752</v>
      </c>
      <c r="R545" s="5">
        <f t="shared" si="31"/>
        <v>3496900</v>
      </c>
      <c r="T545" s="5">
        <f t="shared" si="32"/>
        <v>445</v>
      </c>
      <c r="U545" s="19">
        <f t="shared" si="33"/>
        <v>0.5109070034</v>
      </c>
      <c r="V545" s="5">
        <f t="shared" si="34"/>
        <v>198025</v>
      </c>
    </row>
    <row r="546">
      <c r="A546" s="2">
        <v>41324.0</v>
      </c>
      <c r="B546" s="5">
        <v>2648.0</v>
      </c>
      <c r="C546" s="5">
        <f t="shared" si="38"/>
        <v>1721</v>
      </c>
      <c r="D546" s="5">
        <f t="shared" si="36"/>
        <v>2738</v>
      </c>
      <c r="E546" s="5">
        <f t="shared" si="37"/>
        <v>782</v>
      </c>
      <c r="L546" s="5">
        <f t="shared" si="26"/>
        <v>927</v>
      </c>
      <c r="M546" s="19">
        <f t="shared" si="27"/>
        <v>0.3500755287</v>
      </c>
      <c r="N546" s="5">
        <f t="shared" si="28"/>
        <v>859329</v>
      </c>
      <c r="P546" s="5">
        <f t="shared" si="29"/>
        <v>-90</v>
      </c>
      <c r="Q546" s="19">
        <f t="shared" si="30"/>
        <v>0.03398791541</v>
      </c>
      <c r="R546" s="5">
        <f t="shared" si="31"/>
        <v>8100</v>
      </c>
      <c r="T546" s="5">
        <f t="shared" si="32"/>
        <v>1866</v>
      </c>
      <c r="U546" s="19">
        <f t="shared" si="33"/>
        <v>0.7046827795</v>
      </c>
      <c r="V546" s="5">
        <f t="shared" si="34"/>
        <v>3481956</v>
      </c>
    </row>
    <row r="547">
      <c r="A547" s="2">
        <v>41325.0</v>
      </c>
      <c r="B547" s="5">
        <v>5978.0</v>
      </c>
      <c r="C547" s="5">
        <f t="shared" si="38"/>
        <v>1428</v>
      </c>
      <c r="D547" s="5">
        <f t="shared" si="36"/>
        <v>2738</v>
      </c>
      <c r="E547" s="5">
        <f t="shared" si="37"/>
        <v>2275</v>
      </c>
      <c r="L547" s="5">
        <f t="shared" si="26"/>
        <v>4550</v>
      </c>
      <c r="M547" s="19">
        <f t="shared" si="27"/>
        <v>0.7611241218</v>
      </c>
      <c r="N547" s="5">
        <f t="shared" si="28"/>
        <v>20702500</v>
      </c>
      <c r="P547" s="5">
        <f t="shared" si="29"/>
        <v>3240</v>
      </c>
      <c r="Q547" s="19">
        <f t="shared" si="30"/>
        <v>0.5419872867</v>
      </c>
      <c r="R547" s="5">
        <f t="shared" si="31"/>
        <v>10497600</v>
      </c>
      <c r="T547" s="5">
        <f t="shared" si="32"/>
        <v>3703</v>
      </c>
      <c r="U547" s="19">
        <f t="shared" si="33"/>
        <v>0.6194379391</v>
      </c>
      <c r="V547" s="5">
        <f t="shared" si="34"/>
        <v>13712209</v>
      </c>
    </row>
    <row r="548">
      <c r="A548" s="2">
        <v>41326.0</v>
      </c>
      <c r="B548" s="5">
        <v>1079.0</v>
      </c>
      <c r="C548" s="5">
        <f t="shared" si="38"/>
        <v>2142</v>
      </c>
      <c r="D548" s="5">
        <f t="shared" si="36"/>
        <v>2744</v>
      </c>
      <c r="E548" s="5">
        <f t="shared" si="37"/>
        <v>5237</v>
      </c>
      <c r="L548" s="5">
        <f t="shared" si="26"/>
        <v>-1063</v>
      </c>
      <c r="M548" s="19">
        <f t="shared" si="27"/>
        <v>0.9851714551</v>
      </c>
      <c r="N548" s="5">
        <f t="shared" si="28"/>
        <v>1129969</v>
      </c>
      <c r="P548" s="5">
        <f t="shared" si="29"/>
        <v>-1665</v>
      </c>
      <c r="Q548" s="19">
        <f t="shared" si="30"/>
        <v>1.543095459</v>
      </c>
      <c r="R548" s="5">
        <f t="shared" si="31"/>
        <v>2772225</v>
      </c>
      <c r="T548" s="5">
        <f t="shared" si="32"/>
        <v>-4158</v>
      </c>
      <c r="U548" s="19">
        <f t="shared" si="33"/>
        <v>3.853568119</v>
      </c>
      <c r="V548" s="5">
        <f t="shared" si="34"/>
        <v>17288964</v>
      </c>
    </row>
    <row r="549">
      <c r="A549" s="2">
        <v>41327.0</v>
      </c>
      <c r="B549" s="5">
        <v>157.0</v>
      </c>
      <c r="C549" s="5">
        <f t="shared" si="38"/>
        <v>2155</v>
      </c>
      <c r="D549" s="5">
        <f t="shared" si="36"/>
        <v>2741</v>
      </c>
      <c r="E549" s="5">
        <f t="shared" si="37"/>
        <v>1911</v>
      </c>
      <c r="L549" s="5">
        <f t="shared" si="26"/>
        <v>-1998</v>
      </c>
      <c r="M549" s="19">
        <f t="shared" si="27"/>
        <v>12.72611465</v>
      </c>
      <c r="N549" s="5">
        <f t="shared" si="28"/>
        <v>3992004</v>
      </c>
      <c r="P549" s="5">
        <f t="shared" si="29"/>
        <v>-2584</v>
      </c>
      <c r="Q549" s="19">
        <f t="shared" si="30"/>
        <v>16.45859873</v>
      </c>
      <c r="R549" s="5">
        <f t="shared" si="31"/>
        <v>6677056</v>
      </c>
      <c r="T549" s="5">
        <f t="shared" si="32"/>
        <v>-1754</v>
      </c>
      <c r="U549" s="19">
        <f t="shared" si="33"/>
        <v>11.17197452</v>
      </c>
      <c r="V549" s="5">
        <f t="shared" si="34"/>
        <v>3076516</v>
      </c>
    </row>
    <row r="550">
      <c r="A550" s="2">
        <v>41330.0</v>
      </c>
      <c r="B550" s="5">
        <v>1321.0</v>
      </c>
      <c r="C550" s="5">
        <f t="shared" si="38"/>
        <v>2147</v>
      </c>
      <c r="D550" s="5">
        <f t="shared" si="36"/>
        <v>2736</v>
      </c>
      <c r="E550" s="5">
        <f t="shared" si="37"/>
        <v>508</v>
      </c>
      <c r="L550" s="5">
        <f t="shared" si="26"/>
        <v>-826</v>
      </c>
      <c r="M550" s="19">
        <f t="shared" si="27"/>
        <v>0.6252838759</v>
      </c>
      <c r="N550" s="5">
        <f t="shared" si="28"/>
        <v>682276</v>
      </c>
      <c r="P550" s="5">
        <f t="shared" si="29"/>
        <v>-1415</v>
      </c>
      <c r="Q550" s="19">
        <f t="shared" si="30"/>
        <v>1.071158213</v>
      </c>
      <c r="R550" s="5">
        <f t="shared" si="31"/>
        <v>2002225</v>
      </c>
      <c r="T550" s="5">
        <f t="shared" si="32"/>
        <v>813</v>
      </c>
      <c r="U550" s="19">
        <f t="shared" si="33"/>
        <v>0.6154428463</v>
      </c>
      <c r="V550" s="5">
        <f t="shared" si="34"/>
        <v>660969</v>
      </c>
    </row>
    <row r="551">
      <c r="A551" s="2">
        <v>41331.0</v>
      </c>
      <c r="B551" s="5">
        <v>2500.0</v>
      </c>
      <c r="C551" s="5">
        <f t="shared" si="38"/>
        <v>2237</v>
      </c>
      <c r="D551" s="5">
        <f t="shared" si="36"/>
        <v>2733</v>
      </c>
      <c r="E551" s="5">
        <f t="shared" si="37"/>
        <v>1158</v>
      </c>
      <c r="L551" s="5">
        <f t="shared" si="26"/>
        <v>263</v>
      </c>
      <c r="M551" s="19">
        <f t="shared" si="27"/>
        <v>0.1052</v>
      </c>
      <c r="N551" s="5">
        <f t="shared" si="28"/>
        <v>69169</v>
      </c>
      <c r="P551" s="5">
        <f t="shared" si="29"/>
        <v>-233</v>
      </c>
      <c r="Q551" s="19">
        <f t="shared" si="30"/>
        <v>0.0932</v>
      </c>
      <c r="R551" s="5">
        <f t="shared" si="31"/>
        <v>54289</v>
      </c>
      <c r="T551" s="5">
        <f t="shared" si="32"/>
        <v>1342</v>
      </c>
      <c r="U551" s="19">
        <f t="shared" si="33"/>
        <v>0.5368</v>
      </c>
      <c r="V551" s="5">
        <f t="shared" si="34"/>
        <v>1800964</v>
      </c>
    </row>
    <row r="552">
      <c r="A552" s="2">
        <v>41332.0</v>
      </c>
      <c r="B552" s="5">
        <v>2640.0</v>
      </c>
      <c r="C552" s="5">
        <f t="shared" si="38"/>
        <v>2207</v>
      </c>
      <c r="D552" s="5">
        <f t="shared" si="36"/>
        <v>2733</v>
      </c>
      <c r="E552" s="5">
        <f t="shared" si="37"/>
        <v>2232</v>
      </c>
      <c r="L552" s="5">
        <f t="shared" si="26"/>
        <v>433</v>
      </c>
      <c r="M552" s="19">
        <f t="shared" si="27"/>
        <v>0.1640151515</v>
      </c>
      <c r="N552" s="5">
        <f t="shared" si="28"/>
        <v>187489</v>
      </c>
      <c r="P552" s="5">
        <f t="shared" si="29"/>
        <v>-93</v>
      </c>
      <c r="Q552" s="19">
        <f t="shared" si="30"/>
        <v>0.03522727273</v>
      </c>
      <c r="R552" s="5">
        <f t="shared" si="31"/>
        <v>8649</v>
      </c>
      <c r="T552" s="5">
        <f t="shared" si="32"/>
        <v>408</v>
      </c>
      <c r="U552" s="19">
        <f t="shared" si="33"/>
        <v>0.1545454545</v>
      </c>
      <c r="V552" s="5">
        <f t="shared" si="34"/>
        <v>166464</v>
      </c>
    </row>
    <row r="553">
      <c r="A553" s="2">
        <v>41333.0</v>
      </c>
      <c r="B553" s="5">
        <v>1632.0</v>
      </c>
      <c r="C553" s="5">
        <f t="shared" si="38"/>
        <v>1539</v>
      </c>
      <c r="D553" s="5">
        <f t="shared" si="36"/>
        <v>2733</v>
      </c>
      <c r="E553" s="5">
        <f t="shared" si="37"/>
        <v>2558</v>
      </c>
      <c r="L553" s="5">
        <f t="shared" si="26"/>
        <v>93</v>
      </c>
      <c r="M553" s="19">
        <f t="shared" si="27"/>
        <v>0.05698529412</v>
      </c>
      <c r="N553" s="5">
        <f t="shared" si="28"/>
        <v>8649</v>
      </c>
      <c r="P553" s="5">
        <f t="shared" si="29"/>
        <v>-1101</v>
      </c>
      <c r="Q553" s="19">
        <f t="shared" si="30"/>
        <v>0.6746323529</v>
      </c>
      <c r="R553" s="5">
        <f t="shared" si="31"/>
        <v>1212201</v>
      </c>
      <c r="T553" s="5">
        <f t="shared" si="32"/>
        <v>-926</v>
      </c>
      <c r="U553" s="19">
        <f t="shared" si="33"/>
        <v>0.5674019608</v>
      </c>
      <c r="V553" s="5">
        <f t="shared" si="34"/>
        <v>857476</v>
      </c>
    </row>
    <row r="554">
      <c r="A554" s="2">
        <v>41334.0</v>
      </c>
      <c r="B554" s="5">
        <v>100.0</v>
      </c>
      <c r="C554" s="5">
        <f t="shared" si="38"/>
        <v>1650</v>
      </c>
      <c r="D554" s="5">
        <f t="shared" si="36"/>
        <v>2731</v>
      </c>
      <c r="E554" s="5">
        <f t="shared" si="37"/>
        <v>1817</v>
      </c>
      <c r="L554" s="5">
        <f t="shared" si="26"/>
        <v>-1550</v>
      </c>
      <c r="M554" s="19">
        <f t="shared" si="27"/>
        <v>15.5</v>
      </c>
      <c r="N554" s="5">
        <f t="shared" si="28"/>
        <v>2402500</v>
      </c>
      <c r="P554" s="5">
        <f t="shared" si="29"/>
        <v>-2631</v>
      </c>
      <c r="Q554" s="19">
        <f t="shared" si="30"/>
        <v>26.31</v>
      </c>
      <c r="R554" s="5">
        <f t="shared" si="31"/>
        <v>6922161</v>
      </c>
      <c r="T554" s="5">
        <f t="shared" si="32"/>
        <v>-1717</v>
      </c>
      <c r="U554" s="19">
        <f t="shared" si="33"/>
        <v>17.17</v>
      </c>
      <c r="V554" s="5">
        <f t="shared" si="34"/>
        <v>2948089</v>
      </c>
    </row>
    <row r="555">
      <c r="A555" s="2">
        <v>41337.0</v>
      </c>
      <c r="B555" s="5">
        <v>1492.0</v>
      </c>
      <c r="C555" s="5">
        <f t="shared" si="38"/>
        <v>1639</v>
      </c>
      <c r="D555" s="5">
        <f t="shared" si="36"/>
        <v>2726</v>
      </c>
      <c r="E555" s="5">
        <f t="shared" si="37"/>
        <v>443</v>
      </c>
      <c r="L555" s="5">
        <f t="shared" si="26"/>
        <v>-147</v>
      </c>
      <c r="M555" s="19">
        <f t="shared" si="27"/>
        <v>0.09852546917</v>
      </c>
      <c r="N555" s="5">
        <f t="shared" si="28"/>
        <v>21609</v>
      </c>
      <c r="P555" s="5">
        <f t="shared" si="29"/>
        <v>-1234</v>
      </c>
      <c r="Q555" s="19">
        <f t="shared" si="30"/>
        <v>0.827077748</v>
      </c>
      <c r="R555" s="5">
        <f t="shared" si="31"/>
        <v>1522756</v>
      </c>
      <c r="T555" s="5">
        <f t="shared" si="32"/>
        <v>1049</v>
      </c>
      <c r="U555" s="19">
        <f t="shared" si="33"/>
        <v>0.7030831099</v>
      </c>
      <c r="V555" s="5">
        <f t="shared" si="34"/>
        <v>1100401</v>
      </c>
    </row>
    <row r="556">
      <c r="A556" s="2">
        <v>41338.0</v>
      </c>
      <c r="B556" s="5">
        <v>191.0</v>
      </c>
      <c r="C556" s="5">
        <f t="shared" si="38"/>
        <v>1673</v>
      </c>
      <c r="D556" s="5">
        <f t="shared" si="36"/>
        <v>2724</v>
      </c>
      <c r="E556" s="5">
        <f t="shared" si="37"/>
        <v>1282</v>
      </c>
      <c r="L556" s="5">
        <f t="shared" si="26"/>
        <v>-1482</v>
      </c>
      <c r="M556" s="19">
        <f t="shared" si="27"/>
        <v>7.759162304</v>
      </c>
      <c r="N556" s="5">
        <f t="shared" si="28"/>
        <v>2196324</v>
      </c>
      <c r="P556" s="5">
        <f t="shared" si="29"/>
        <v>-2533</v>
      </c>
      <c r="Q556" s="19">
        <f t="shared" si="30"/>
        <v>13.2617801</v>
      </c>
      <c r="R556" s="5">
        <f t="shared" si="31"/>
        <v>6416089</v>
      </c>
      <c r="T556" s="5">
        <f t="shared" si="32"/>
        <v>-1091</v>
      </c>
      <c r="U556" s="19">
        <f t="shared" si="33"/>
        <v>5.712041885</v>
      </c>
      <c r="V556" s="5">
        <f t="shared" si="34"/>
        <v>1190281</v>
      </c>
    </row>
    <row r="557">
      <c r="A557" s="2">
        <v>41339.0</v>
      </c>
      <c r="B557" s="5">
        <v>2874.0</v>
      </c>
      <c r="C557" s="5">
        <f t="shared" si="38"/>
        <v>1211</v>
      </c>
      <c r="D557" s="5">
        <f t="shared" si="36"/>
        <v>2719</v>
      </c>
      <c r="E557" s="5">
        <f t="shared" si="37"/>
        <v>409</v>
      </c>
      <c r="L557" s="5">
        <f t="shared" si="26"/>
        <v>1663</v>
      </c>
      <c r="M557" s="19">
        <f t="shared" si="27"/>
        <v>0.5786360473</v>
      </c>
      <c r="N557" s="5">
        <f t="shared" si="28"/>
        <v>2765569</v>
      </c>
      <c r="P557" s="5">
        <f t="shared" si="29"/>
        <v>155</v>
      </c>
      <c r="Q557" s="19">
        <f t="shared" si="30"/>
        <v>0.05393180237</v>
      </c>
      <c r="R557" s="5">
        <f t="shared" si="31"/>
        <v>24025</v>
      </c>
      <c r="T557" s="5">
        <f t="shared" si="32"/>
        <v>2465</v>
      </c>
      <c r="U557" s="19">
        <f t="shared" si="33"/>
        <v>0.8576896312</v>
      </c>
      <c r="V557" s="5">
        <f t="shared" si="34"/>
        <v>6076225</v>
      </c>
    </row>
    <row r="558">
      <c r="A558" s="2">
        <v>41340.0</v>
      </c>
      <c r="B558" s="5">
        <v>938.0</v>
      </c>
      <c r="C558" s="5">
        <f t="shared" si="38"/>
        <v>1258</v>
      </c>
      <c r="D558" s="5">
        <f t="shared" si="36"/>
        <v>2719</v>
      </c>
      <c r="E558" s="5">
        <f t="shared" si="37"/>
        <v>2381</v>
      </c>
      <c r="L558" s="5">
        <f t="shared" si="26"/>
        <v>-320</v>
      </c>
      <c r="M558" s="19">
        <f t="shared" si="27"/>
        <v>0.3411513859</v>
      </c>
      <c r="N558" s="5">
        <f t="shared" si="28"/>
        <v>102400</v>
      </c>
      <c r="P558" s="5">
        <f t="shared" si="29"/>
        <v>-1781</v>
      </c>
      <c r="Q558" s="19">
        <f t="shared" si="30"/>
        <v>1.898720682</v>
      </c>
      <c r="R558" s="5">
        <f t="shared" si="31"/>
        <v>3171961</v>
      </c>
      <c r="T558" s="5">
        <f t="shared" si="32"/>
        <v>-1443</v>
      </c>
      <c r="U558" s="19">
        <f t="shared" si="33"/>
        <v>1.538379531</v>
      </c>
      <c r="V558" s="5">
        <f t="shared" si="34"/>
        <v>2082249</v>
      </c>
    </row>
    <row r="559">
      <c r="A559" s="2">
        <v>41341.0</v>
      </c>
      <c r="B559" s="5">
        <v>244.0</v>
      </c>
      <c r="C559" s="5">
        <f t="shared" si="38"/>
        <v>1119</v>
      </c>
      <c r="D559" s="5">
        <f t="shared" si="36"/>
        <v>2716</v>
      </c>
      <c r="E559" s="5">
        <f t="shared" si="37"/>
        <v>1227</v>
      </c>
      <c r="L559" s="5">
        <f t="shared" si="26"/>
        <v>-875</v>
      </c>
      <c r="M559" s="19">
        <f t="shared" si="27"/>
        <v>3.586065574</v>
      </c>
      <c r="N559" s="5">
        <f t="shared" si="28"/>
        <v>765625</v>
      </c>
      <c r="P559" s="5">
        <f t="shared" si="29"/>
        <v>-2472</v>
      </c>
      <c r="Q559" s="19">
        <f t="shared" si="30"/>
        <v>10.13114754</v>
      </c>
      <c r="R559" s="5">
        <f t="shared" si="31"/>
        <v>6110784</v>
      </c>
      <c r="T559" s="5">
        <f t="shared" si="32"/>
        <v>-983</v>
      </c>
      <c r="U559" s="19">
        <f t="shared" si="33"/>
        <v>4.028688525</v>
      </c>
      <c r="V559" s="5">
        <f t="shared" si="34"/>
        <v>966289</v>
      </c>
    </row>
    <row r="560">
      <c r="A560" s="2">
        <v>41344.0</v>
      </c>
      <c r="B560" s="5">
        <v>263.0</v>
      </c>
      <c r="C560" s="5">
        <f t="shared" si="38"/>
        <v>1148</v>
      </c>
      <c r="D560" s="5">
        <f t="shared" si="36"/>
        <v>2712</v>
      </c>
      <c r="E560" s="5">
        <f t="shared" si="37"/>
        <v>441</v>
      </c>
      <c r="L560" s="5">
        <f t="shared" si="26"/>
        <v>-885</v>
      </c>
      <c r="M560" s="19">
        <f t="shared" si="27"/>
        <v>3.365019011</v>
      </c>
      <c r="N560" s="5">
        <f t="shared" si="28"/>
        <v>783225</v>
      </c>
      <c r="P560" s="5">
        <f t="shared" si="29"/>
        <v>-2449</v>
      </c>
      <c r="Q560" s="19">
        <f t="shared" si="30"/>
        <v>9.311787072</v>
      </c>
      <c r="R560" s="5">
        <f t="shared" si="31"/>
        <v>5997601</v>
      </c>
      <c r="T560" s="5">
        <f t="shared" si="32"/>
        <v>-178</v>
      </c>
      <c r="U560" s="19">
        <f t="shared" si="33"/>
        <v>0.6768060837</v>
      </c>
      <c r="V560" s="5">
        <f t="shared" si="34"/>
        <v>31684</v>
      </c>
    </row>
    <row r="561">
      <c r="A561" s="2">
        <v>41345.0</v>
      </c>
      <c r="B561" s="5">
        <v>1720.0</v>
      </c>
      <c r="C561" s="5">
        <f t="shared" si="38"/>
        <v>902</v>
      </c>
      <c r="D561" s="5">
        <f t="shared" si="36"/>
        <v>2707</v>
      </c>
      <c r="E561" s="5">
        <f t="shared" si="37"/>
        <v>299</v>
      </c>
      <c r="L561" s="5">
        <f t="shared" si="26"/>
        <v>818</v>
      </c>
      <c r="M561" s="19">
        <f t="shared" si="27"/>
        <v>0.4755813953</v>
      </c>
      <c r="N561" s="5">
        <f t="shared" si="28"/>
        <v>669124</v>
      </c>
      <c r="P561" s="5">
        <f t="shared" si="29"/>
        <v>-987</v>
      </c>
      <c r="Q561" s="19">
        <f t="shared" si="30"/>
        <v>0.5738372093</v>
      </c>
      <c r="R561" s="5">
        <f t="shared" si="31"/>
        <v>974169</v>
      </c>
      <c r="T561" s="5">
        <f t="shared" si="32"/>
        <v>1421</v>
      </c>
      <c r="U561" s="19">
        <f t="shared" si="33"/>
        <v>0.8261627907</v>
      </c>
      <c r="V561" s="5">
        <f t="shared" si="34"/>
        <v>2019241</v>
      </c>
    </row>
    <row r="562">
      <c r="A562" s="2">
        <v>41346.0</v>
      </c>
      <c r="B562" s="5">
        <v>1405.0</v>
      </c>
      <c r="C562" s="5">
        <f t="shared" si="38"/>
        <v>1208</v>
      </c>
      <c r="D562" s="5">
        <f t="shared" si="36"/>
        <v>2705</v>
      </c>
      <c r="E562" s="5">
        <f t="shared" si="37"/>
        <v>1436</v>
      </c>
      <c r="L562" s="5">
        <f t="shared" si="26"/>
        <v>197</v>
      </c>
      <c r="M562" s="19">
        <f t="shared" si="27"/>
        <v>0.1402135231</v>
      </c>
      <c r="N562" s="5">
        <f t="shared" si="28"/>
        <v>38809</v>
      </c>
      <c r="P562" s="5">
        <f t="shared" si="29"/>
        <v>-1300</v>
      </c>
      <c r="Q562" s="19">
        <f t="shared" si="30"/>
        <v>0.9252669039</v>
      </c>
      <c r="R562" s="5">
        <f t="shared" si="31"/>
        <v>1690000</v>
      </c>
      <c r="T562" s="5">
        <f t="shared" si="32"/>
        <v>-31</v>
      </c>
      <c r="U562" s="19">
        <f t="shared" si="33"/>
        <v>0.02206405694</v>
      </c>
      <c r="V562" s="5">
        <f t="shared" si="34"/>
        <v>961</v>
      </c>
    </row>
    <row r="563">
      <c r="A563" s="2">
        <v>41347.0</v>
      </c>
      <c r="B563" s="5">
        <v>933.0</v>
      </c>
      <c r="C563" s="5">
        <f t="shared" si="38"/>
        <v>914</v>
      </c>
      <c r="D563" s="5">
        <f t="shared" si="36"/>
        <v>2703</v>
      </c>
      <c r="E563" s="5">
        <f t="shared" si="37"/>
        <v>1411</v>
      </c>
      <c r="L563" s="5">
        <f t="shared" si="26"/>
        <v>19</v>
      </c>
      <c r="M563" s="19">
        <f t="shared" si="27"/>
        <v>0.02036441586</v>
      </c>
      <c r="N563" s="5">
        <f t="shared" si="28"/>
        <v>361</v>
      </c>
      <c r="P563" s="5">
        <f t="shared" si="29"/>
        <v>-1770</v>
      </c>
      <c r="Q563" s="19">
        <f t="shared" si="30"/>
        <v>1.897106109</v>
      </c>
      <c r="R563" s="5">
        <f t="shared" si="31"/>
        <v>3132900</v>
      </c>
      <c r="T563" s="5">
        <f t="shared" si="32"/>
        <v>-478</v>
      </c>
      <c r="U563" s="19">
        <f t="shared" si="33"/>
        <v>0.5123258307</v>
      </c>
      <c r="V563" s="5">
        <f t="shared" si="34"/>
        <v>228484</v>
      </c>
    </row>
    <row r="564">
      <c r="A564" s="2">
        <v>41348.0</v>
      </c>
      <c r="B564" s="5">
        <v>256.0</v>
      </c>
      <c r="C564" s="5">
        <f t="shared" si="38"/>
        <v>913</v>
      </c>
      <c r="D564" s="5">
        <f t="shared" si="36"/>
        <v>2700</v>
      </c>
      <c r="E564" s="5">
        <f t="shared" si="37"/>
        <v>1029</v>
      </c>
      <c r="L564" s="5">
        <f t="shared" si="26"/>
        <v>-657</v>
      </c>
      <c r="M564" s="19">
        <f t="shared" si="27"/>
        <v>2.56640625</v>
      </c>
      <c r="N564" s="5">
        <f t="shared" si="28"/>
        <v>431649</v>
      </c>
      <c r="P564" s="5">
        <f t="shared" si="29"/>
        <v>-2444</v>
      </c>
      <c r="Q564" s="19">
        <f t="shared" si="30"/>
        <v>9.546875</v>
      </c>
      <c r="R564" s="5">
        <f t="shared" si="31"/>
        <v>5973136</v>
      </c>
      <c r="T564" s="5">
        <f t="shared" si="32"/>
        <v>-773</v>
      </c>
      <c r="U564" s="19">
        <f t="shared" si="33"/>
        <v>3.01953125</v>
      </c>
      <c r="V564" s="5">
        <f t="shared" si="34"/>
        <v>597529</v>
      </c>
    </row>
    <row r="565">
      <c r="A565" s="2">
        <v>41351.0</v>
      </c>
      <c r="B565" s="5">
        <v>0.0</v>
      </c>
      <c r="C565" s="5">
        <f t="shared" si="38"/>
        <v>915</v>
      </c>
      <c r="D565" s="5">
        <f t="shared" si="36"/>
        <v>2695</v>
      </c>
      <c r="E565" s="5">
        <f t="shared" si="37"/>
        <v>411</v>
      </c>
      <c r="L565" s="5">
        <f t="shared" si="26"/>
        <v>-915</v>
      </c>
      <c r="M565" s="19">
        <f t="shared" si="27"/>
        <v>1</v>
      </c>
      <c r="N565" s="5">
        <f t="shared" si="28"/>
        <v>837225</v>
      </c>
      <c r="P565" s="5">
        <f t="shared" si="29"/>
        <v>-2695</v>
      </c>
      <c r="Q565" s="19">
        <f t="shared" si="30"/>
        <v>1</v>
      </c>
      <c r="R565" s="5">
        <f t="shared" si="31"/>
        <v>7263025</v>
      </c>
      <c r="T565" s="5">
        <f t="shared" si="32"/>
        <v>-411</v>
      </c>
      <c r="U565" s="19">
        <f t="shared" si="33"/>
        <v>1</v>
      </c>
      <c r="V565" s="5">
        <f t="shared" si="34"/>
        <v>168921</v>
      </c>
    </row>
    <row r="566">
      <c r="A566" s="2">
        <v>41352.0</v>
      </c>
      <c r="B566" s="5">
        <v>1021.0</v>
      </c>
      <c r="C566" s="5">
        <f t="shared" si="38"/>
        <v>863</v>
      </c>
      <c r="D566" s="5">
        <f t="shared" si="36"/>
        <v>2691</v>
      </c>
      <c r="E566" s="5">
        <f t="shared" si="37"/>
        <v>82</v>
      </c>
      <c r="L566" s="5">
        <f t="shared" si="26"/>
        <v>158</v>
      </c>
      <c r="M566" s="19">
        <f t="shared" si="27"/>
        <v>0.1547502449</v>
      </c>
      <c r="N566" s="5">
        <f t="shared" si="28"/>
        <v>24964</v>
      </c>
      <c r="P566" s="5">
        <f t="shared" si="29"/>
        <v>-1670</v>
      </c>
      <c r="Q566" s="19">
        <f t="shared" si="30"/>
        <v>1.635651322</v>
      </c>
      <c r="R566" s="5">
        <f t="shared" si="31"/>
        <v>2788900</v>
      </c>
      <c r="T566" s="5">
        <f t="shared" si="32"/>
        <v>939</v>
      </c>
      <c r="U566" s="19">
        <f t="shared" si="33"/>
        <v>0.9196865818</v>
      </c>
      <c r="V566" s="5">
        <f t="shared" si="34"/>
        <v>881721</v>
      </c>
    </row>
    <row r="567">
      <c r="A567" s="2">
        <v>41353.0</v>
      </c>
      <c r="B567" s="5">
        <v>1424.0</v>
      </c>
      <c r="C567" s="5">
        <f t="shared" si="38"/>
        <v>723</v>
      </c>
      <c r="D567" s="5">
        <f t="shared" si="36"/>
        <v>2688</v>
      </c>
      <c r="E567" s="5">
        <f t="shared" si="37"/>
        <v>833</v>
      </c>
      <c r="L567" s="5">
        <f t="shared" si="26"/>
        <v>701</v>
      </c>
      <c r="M567" s="19">
        <f t="shared" si="27"/>
        <v>0.4922752809</v>
      </c>
      <c r="N567" s="5">
        <f t="shared" si="28"/>
        <v>491401</v>
      </c>
      <c r="P567" s="5">
        <f t="shared" si="29"/>
        <v>-1264</v>
      </c>
      <c r="Q567" s="19">
        <f t="shared" si="30"/>
        <v>0.8876404494</v>
      </c>
      <c r="R567" s="5">
        <f t="shared" si="31"/>
        <v>1597696</v>
      </c>
      <c r="T567" s="5">
        <f t="shared" si="32"/>
        <v>591</v>
      </c>
      <c r="U567" s="19">
        <f t="shared" si="33"/>
        <v>0.4150280899</v>
      </c>
      <c r="V567" s="5">
        <f t="shared" si="34"/>
        <v>349281</v>
      </c>
    </row>
    <row r="568">
      <c r="A568" s="2">
        <v>41354.0</v>
      </c>
      <c r="B568" s="5">
        <v>416.0</v>
      </c>
      <c r="C568" s="5">
        <f t="shared" si="38"/>
        <v>727</v>
      </c>
      <c r="D568" s="5">
        <f t="shared" si="36"/>
        <v>2685</v>
      </c>
      <c r="E568" s="5">
        <f t="shared" si="37"/>
        <v>1306</v>
      </c>
      <c r="L568" s="5">
        <f t="shared" si="26"/>
        <v>-311</v>
      </c>
      <c r="M568" s="19">
        <f t="shared" si="27"/>
        <v>0.7475961538</v>
      </c>
      <c r="N568" s="5">
        <f t="shared" si="28"/>
        <v>96721</v>
      </c>
      <c r="P568" s="5">
        <f t="shared" si="29"/>
        <v>-2269</v>
      </c>
      <c r="Q568" s="19">
        <f t="shared" si="30"/>
        <v>5.454326923</v>
      </c>
      <c r="R568" s="5">
        <f t="shared" si="31"/>
        <v>5148361</v>
      </c>
      <c r="T568" s="5">
        <f t="shared" si="32"/>
        <v>-890</v>
      </c>
      <c r="U568" s="19">
        <f t="shared" si="33"/>
        <v>2.139423077</v>
      </c>
      <c r="V568" s="5">
        <f t="shared" si="34"/>
        <v>792100</v>
      </c>
    </row>
    <row r="569">
      <c r="A569" s="2">
        <v>41355.0</v>
      </c>
      <c r="B569" s="5">
        <v>160.0</v>
      </c>
      <c r="C569" s="5">
        <f t="shared" si="38"/>
        <v>623</v>
      </c>
      <c r="D569" s="5">
        <f t="shared" si="36"/>
        <v>2681</v>
      </c>
      <c r="E569" s="5">
        <f t="shared" si="37"/>
        <v>594</v>
      </c>
      <c r="L569" s="5">
        <f t="shared" si="26"/>
        <v>-463</v>
      </c>
      <c r="M569" s="19">
        <f t="shared" si="27"/>
        <v>2.89375</v>
      </c>
      <c r="N569" s="5">
        <f t="shared" si="28"/>
        <v>214369</v>
      </c>
      <c r="P569" s="5">
        <f t="shared" si="29"/>
        <v>-2521</v>
      </c>
      <c r="Q569" s="19">
        <f t="shared" si="30"/>
        <v>15.75625</v>
      </c>
      <c r="R569" s="5">
        <f t="shared" si="31"/>
        <v>6355441</v>
      </c>
      <c r="T569" s="5">
        <f t="shared" si="32"/>
        <v>-434</v>
      </c>
      <c r="U569" s="19">
        <f t="shared" si="33"/>
        <v>2.7125</v>
      </c>
      <c r="V569" s="5">
        <f t="shared" si="34"/>
        <v>188356</v>
      </c>
    </row>
    <row r="570">
      <c r="A570" s="2">
        <v>41358.0</v>
      </c>
      <c r="B570" s="5">
        <v>648.0</v>
      </c>
      <c r="C570" s="5">
        <f t="shared" si="38"/>
        <v>604</v>
      </c>
      <c r="D570" s="5">
        <f t="shared" si="36"/>
        <v>2677</v>
      </c>
      <c r="E570" s="5">
        <f t="shared" si="37"/>
        <v>247</v>
      </c>
      <c r="L570" s="5">
        <f t="shared" si="26"/>
        <v>44</v>
      </c>
      <c r="M570" s="19">
        <f t="shared" si="27"/>
        <v>0.06790123457</v>
      </c>
      <c r="N570" s="5">
        <f t="shared" si="28"/>
        <v>1936</v>
      </c>
      <c r="P570" s="5">
        <f t="shared" si="29"/>
        <v>-2029</v>
      </c>
      <c r="Q570" s="19">
        <f t="shared" si="30"/>
        <v>3.13117284</v>
      </c>
      <c r="R570" s="5">
        <f t="shared" si="31"/>
        <v>4116841</v>
      </c>
      <c r="T570" s="5">
        <f t="shared" si="32"/>
        <v>401</v>
      </c>
      <c r="U570" s="19">
        <f t="shared" si="33"/>
        <v>0.6188271605</v>
      </c>
      <c r="V570" s="5">
        <f t="shared" si="34"/>
        <v>160801</v>
      </c>
    </row>
    <row r="571">
      <c r="A571" s="2">
        <v>41359.0</v>
      </c>
      <c r="B571" s="5">
        <v>500.0</v>
      </c>
      <c r="C571" s="5">
        <f t="shared" si="38"/>
        <v>734</v>
      </c>
      <c r="D571" s="5">
        <f t="shared" si="36"/>
        <v>2673</v>
      </c>
      <c r="E571" s="5">
        <f t="shared" si="37"/>
        <v>568</v>
      </c>
      <c r="L571" s="5">
        <f t="shared" si="26"/>
        <v>-234</v>
      </c>
      <c r="M571" s="19">
        <f t="shared" si="27"/>
        <v>0.468</v>
      </c>
      <c r="N571" s="5">
        <f t="shared" si="28"/>
        <v>54756</v>
      </c>
      <c r="P571" s="5">
        <f t="shared" si="29"/>
        <v>-2173</v>
      </c>
      <c r="Q571" s="19">
        <f t="shared" si="30"/>
        <v>4.346</v>
      </c>
      <c r="R571" s="5">
        <f t="shared" si="31"/>
        <v>4721929</v>
      </c>
      <c r="T571" s="5">
        <f t="shared" si="32"/>
        <v>-68</v>
      </c>
      <c r="U571" s="19">
        <f t="shared" si="33"/>
        <v>0.136</v>
      </c>
      <c r="V571" s="5">
        <f t="shared" si="34"/>
        <v>4624</v>
      </c>
    </row>
    <row r="572">
      <c r="A572" s="2">
        <v>41360.0</v>
      </c>
      <c r="B572" s="5">
        <v>136.0</v>
      </c>
      <c r="C572" s="5">
        <f t="shared" si="38"/>
        <v>630</v>
      </c>
      <c r="D572" s="5">
        <f t="shared" si="36"/>
        <v>2669</v>
      </c>
      <c r="E572" s="5">
        <f t="shared" si="37"/>
        <v>514</v>
      </c>
      <c r="L572" s="5">
        <f t="shared" si="26"/>
        <v>-494</v>
      </c>
      <c r="M572" s="19">
        <f t="shared" si="27"/>
        <v>3.632352941</v>
      </c>
      <c r="N572" s="5">
        <f t="shared" si="28"/>
        <v>244036</v>
      </c>
      <c r="P572" s="5">
        <f t="shared" si="29"/>
        <v>-2533</v>
      </c>
      <c r="Q572" s="19">
        <f t="shared" si="30"/>
        <v>18.625</v>
      </c>
      <c r="R572" s="5">
        <f t="shared" si="31"/>
        <v>6416089</v>
      </c>
      <c r="T572" s="5">
        <f t="shared" si="32"/>
        <v>-378</v>
      </c>
      <c r="U572" s="19">
        <f t="shared" si="33"/>
        <v>2.779411765</v>
      </c>
      <c r="V572" s="5">
        <f t="shared" si="34"/>
        <v>142884</v>
      </c>
    </row>
    <row r="573">
      <c r="A573" s="2">
        <v>41361.0</v>
      </c>
      <c r="B573" s="5">
        <v>647.0</v>
      </c>
      <c r="C573" s="5">
        <f t="shared" si="38"/>
        <v>372</v>
      </c>
      <c r="D573" s="5">
        <f t="shared" si="36"/>
        <v>2665</v>
      </c>
      <c r="E573" s="5">
        <f t="shared" si="37"/>
        <v>212</v>
      </c>
      <c r="L573" s="5">
        <f t="shared" si="26"/>
        <v>275</v>
      </c>
      <c r="M573" s="19">
        <f t="shared" si="27"/>
        <v>0.4250386399</v>
      </c>
      <c r="N573" s="5">
        <f t="shared" si="28"/>
        <v>75625</v>
      </c>
      <c r="P573" s="5">
        <f t="shared" si="29"/>
        <v>-2018</v>
      </c>
      <c r="Q573" s="19">
        <f t="shared" si="30"/>
        <v>3.119010819</v>
      </c>
      <c r="R573" s="5">
        <f t="shared" si="31"/>
        <v>4072324</v>
      </c>
      <c r="T573" s="5">
        <f t="shared" si="32"/>
        <v>435</v>
      </c>
      <c r="U573" s="19">
        <f t="shared" si="33"/>
        <v>0.6723338485</v>
      </c>
      <c r="V573" s="5">
        <f t="shared" si="34"/>
        <v>189225</v>
      </c>
    </row>
    <row r="574">
      <c r="A574" s="2">
        <v>41362.0</v>
      </c>
      <c r="B574" s="5">
        <v>1.0</v>
      </c>
      <c r="C574" s="5">
        <f t="shared" si="38"/>
        <v>418</v>
      </c>
      <c r="D574" s="5">
        <f t="shared" si="36"/>
        <v>2661</v>
      </c>
      <c r="E574" s="5">
        <f t="shared" si="37"/>
        <v>560</v>
      </c>
      <c r="L574" s="5">
        <f t="shared" si="26"/>
        <v>-417</v>
      </c>
      <c r="M574" s="19">
        <f t="shared" si="27"/>
        <v>417</v>
      </c>
      <c r="N574" s="5">
        <f t="shared" si="28"/>
        <v>173889</v>
      </c>
      <c r="P574" s="5">
        <f t="shared" si="29"/>
        <v>-2660</v>
      </c>
      <c r="Q574" s="19">
        <f t="shared" si="30"/>
        <v>2660</v>
      </c>
      <c r="R574" s="5">
        <f t="shared" si="31"/>
        <v>7075600</v>
      </c>
      <c r="T574" s="5">
        <f t="shared" si="32"/>
        <v>-559</v>
      </c>
      <c r="U574" s="19">
        <f t="shared" si="33"/>
        <v>559</v>
      </c>
      <c r="V574" s="5">
        <f t="shared" si="34"/>
        <v>312481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17.75"/>
    <col customWidth="1" min="5" max="5" width="20.5"/>
    <col customWidth="1" min="8" max="8" width="15.63"/>
    <col customWidth="1" min="9" max="9" width="18.88"/>
    <col customWidth="1" min="10" max="10" width="20.0"/>
    <col customWidth="1" min="11" max="11" width="14.5"/>
    <col customWidth="1" min="15" max="15" width="16.88"/>
    <col customWidth="1" min="19" max="19" width="19.0"/>
  </cols>
  <sheetData>
    <row r="1">
      <c r="B1" s="5" t="s">
        <v>1</v>
      </c>
      <c r="C1" s="1" t="s">
        <v>7</v>
      </c>
      <c r="D1" s="1" t="s">
        <v>8</v>
      </c>
      <c r="E1" s="1" t="s">
        <v>9</v>
      </c>
      <c r="K1" s="1" t="s">
        <v>7</v>
      </c>
      <c r="L1" s="1" t="s">
        <v>10</v>
      </c>
      <c r="M1" s="1" t="s">
        <v>11</v>
      </c>
      <c r="N1" s="1" t="s">
        <v>12</v>
      </c>
      <c r="O1" s="1" t="s">
        <v>8</v>
      </c>
      <c r="P1" s="1" t="s">
        <v>10</v>
      </c>
      <c r="Q1" s="1" t="s">
        <v>11</v>
      </c>
      <c r="R1" s="1" t="s">
        <v>12</v>
      </c>
      <c r="S1" s="1" t="s">
        <v>9</v>
      </c>
      <c r="T1" s="1" t="s">
        <v>10</v>
      </c>
      <c r="U1" s="1" t="s">
        <v>11</v>
      </c>
      <c r="V1" s="1" t="s">
        <v>12</v>
      </c>
    </row>
    <row r="2">
      <c r="A2" s="1" t="s">
        <v>4</v>
      </c>
      <c r="B2" s="5" t="s">
        <v>5</v>
      </c>
    </row>
    <row r="3">
      <c r="A3" s="2">
        <v>40546.0</v>
      </c>
      <c r="B3" s="5">
        <v>702.0</v>
      </c>
    </row>
    <row r="4">
      <c r="A4" s="2">
        <v>40547.0</v>
      </c>
      <c r="B4" s="5">
        <v>402.0</v>
      </c>
      <c r="E4" s="5">
        <f>B3</f>
        <v>702</v>
      </c>
    </row>
    <row r="5">
      <c r="A5" s="2">
        <v>40548.0</v>
      </c>
      <c r="B5" s="5">
        <v>438.0</v>
      </c>
      <c r="E5" s="5">
        <f t="shared" ref="E5:E570" si="1">ROUND(J$7*B4+(1-J$7)*E4,0)</f>
        <v>582</v>
      </c>
    </row>
    <row r="6">
      <c r="A6" s="2">
        <v>40549.0</v>
      </c>
      <c r="B6" s="5">
        <v>19.0</v>
      </c>
      <c r="E6" s="5">
        <f t="shared" si="1"/>
        <v>524</v>
      </c>
      <c r="G6" s="6"/>
      <c r="H6" s="7" t="s">
        <v>7</v>
      </c>
      <c r="I6" s="7" t="s">
        <v>8</v>
      </c>
      <c r="J6" s="8" t="s">
        <v>9</v>
      </c>
    </row>
    <row r="7">
      <c r="A7" s="2">
        <v>40550.0</v>
      </c>
      <c r="B7" s="5">
        <v>0.0</v>
      </c>
      <c r="E7" s="5">
        <f t="shared" si="1"/>
        <v>322</v>
      </c>
      <c r="F7" s="9"/>
      <c r="G7" s="10" t="s">
        <v>14</v>
      </c>
      <c r="H7" s="9"/>
      <c r="I7" s="9"/>
      <c r="J7" s="11">
        <v>0.4</v>
      </c>
    </row>
    <row r="8">
      <c r="A8" s="2">
        <v>40553.0</v>
      </c>
      <c r="B8" s="5">
        <v>216.0</v>
      </c>
      <c r="C8" s="5">
        <f t="shared" ref="C8:C570" si="2">ROUND(AVERAGE(B3:B7),0)</f>
        <v>312</v>
      </c>
      <c r="D8" s="5">
        <f t="shared" ref="D8:D570" si="3">ROUND(AVERAGE(B$3:B7),0)</f>
        <v>312</v>
      </c>
      <c r="E8" s="5">
        <f t="shared" si="1"/>
        <v>193</v>
      </c>
      <c r="G8" s="10" t="s">
        <v>15</v>
      </c>
      <c r="H8" s="12">
        <f>AVERAGE(L24:L570)</f>
        <v>-0.5228519196</v>
      </c>
      <c r="I8" s="12">
        <f>AVERAGE(P24:P570)</f>
        <v>0.2468007313</v>
      </c>
      <c r="J8" s="13">
        <f>AVERAGE(T24:T570)</f>
        <v>-0.5813528336</v>
      </c>
    </row>
    <row r="9">
      <c r="A9" s="2">
        <v>40554.0</v>
      </c>
      <c r="B9" s="5">
        <v>0.0</v>
      </c>
      <c r="C9" s="5">
        <f t="shared" si="2"/>
        <v>215</v>
      </c>
      <c r="D9" s="5">
        <f t="shared" si="3"/>
        <v>296</v>
      </c>
      <c r="E9" s="5">
        <f t="shared" si="1"/>
        <v>202</v>
      </c>
      <c r="G9" s="10" t="s">
        <v>16</v>
      </c>
      <c r="H9" s="14">
        <f>AVERAGE(M24:M570)</f>
        <v>5.398342276</v>
      </c>
      <c r="I9" s="14">
        <f>AVERAGE(Q24:Q570)</f>
        <v>5.415978273</v>
      </c>
      <c r="J9" s="15">
        <f>AVERAGE(U24:U570)</f>
        <v>6.728884547</v>
      </c>
    </row>
    <row r="10">
      <c r="A10" s="2">
        <v>40555.0</v>
      </c>
      <c r="B10" s="5">
        <v>444.0</v>
      </c>
      <c r="C10" s="5">
        <f t="shared" si="2"/>
        <v>135</v>
      </c>
      <c r="D10" s="5">
        <f t="shared" si="3"/>
        <v>254</v>
      </c>
      <c r="E10" s="5">
        <f t="shared" si="1"/>
        <v>121</v>
      </c>
      <c r="G10" s="16" t="s">
        <v>17</v>
      </c>
      <c r="H10" s="17">
        <f>AVERAGE(N24:N570)</f>
        <v>96986.95795</v>
      </c>
      <c r="I10" s="17">
        <f>AVERAGE(R24:R570)</f>
        <v>87152.68921</v>
      </c>
      <c r="J10" s="18">
        <f>AVERAGE(V24:V570)</f>
        <v>118994.8336</v>
      </c>
    </row>
    <row r="11">
      <c r="A11" s="2">
        <v>40556.0</v>
      </c>
      <c r="B11" s="5">
        <v>402.0</v>
      </c>
      <c r="C11" s="5">
        <f t="shared" si="2"/>
        <v>136</v>
      </c>
      <c r="D11" s="5">
        <f t="shared" si="3"/>
        <v>278</v>
      </c>
      <c r="E11" s="5">
        <f t="shared" si="1"/>
        <v>250</v>
      </c>
    </row>
    <row r="12">
      <c r="A12" s="2">
        <v>40557.0</v>
      </c>
      <c r="B12" s="5">
        <v>0.0</v>
      </c>
      <c r="C12" s="5">
        <f t="shared" si="2"/>
        <v>212</v>
      </c>
      <c r="D12" s="5">
        <f t="shared" si="3"/>
        <v>291</v>
      </c>
      <c r="E12" s="5">
        <f t="shared" si="1"/>
        <v>311</v>
      </c>
      <c r="G12" s="1" t="s">
        <v>18</v>
      </c>
      <c r="H12" s="5">
        <f>MIN(B3:B570)</f>
        <v>0</v>
      </c>
    </row>
    <row r="13">
      <c r="A13" s="2">
        <v>40560.0</v>
      </c>
      <c r="B13" s="5">
        <v>354.0</v>
      </c>
      <c r="C13" s="5">
        <f t="shared" si="2"/>
        <v>212</v>
      </c>
      <c r="D13" s="5">
        <f t="shared" si="3"/>
        <v>262</v>
      </c>
      <c r="E13" s="5">
        <f t="shared" si="1"/>
        <v>187</v>
      </c>
      <c r="G13" s="1" t="s">
        <v>19</v>
      </c>
      <c r="H13" s="5">
        <f>MAX(B3:B570)</f>
        <v>2229</v>
      </c>
    </row>
    <row r="14">
      <c r="A14" s="2">
        <v>40561.0</v>
      </c>
      <c r="B14" s="5">
        <v>546.0</v>
      </c>
      <c r="C14" s="5">
        <f t="shared" si="2"/>
        <v>240</v>
      </c>
      <c r="D14" s="5">
        <f t="shared" si="3"/>
        <v>271</v>
      </c>
      <c r="E14" s="5">
        <f t="shared" si="1"/>
        <v>254</v>
      </c>
    </row>
    <row r="15">
      <c r="A15" s="2">
        <v>40562.0</v>
      </c>
      <c r="B15" s="5">
        <v>396.0</v>
      </c>
      <c r="C15" s="5">
        <f t="shared" si="2"/>
        <v>349</v>
      </c>
      <c r="D15" s="5">
        <f t="shared" si="3"/>
        <v>294</v>
      </c>
      <c r="E15" s="5">
        <f t="shared" si="1"/>
        <v>371</v>
      </c>
    </row>
    <row r="16">
      <c r="A16" s="2">
        <v>40563.0</v>
      </c>
      <c r="B16" s="5">
        <v>0.0</v>
      </c>
      <c r="C16" s="5">
        <f t="shared" si="2"/>
        <v>340</v>
      </c>
      <c r="D16" s="5">
        <f t="shared" si="3"/>
        <v>301</v>
      </c>
      <c r="E16" s="5">
        <f t="shared" si="1"/>
        <v>381</v>
      </c>
    </row>
    <row r="17">
      <c r="A17" s="2">
        <v>40564.0</v>
      </c>
      <c r="B17" s="5">
        <v>0.0</v>
      </c>
      <c r="C17" s="5">
        <f t="shared" si="2"/>
        <v>259</v>
      </c>
      <c r="D17" s="5">
        <f t="shared" si="3"/>
        <v>280</v>
      </c>
      <c r="E17" s="5">
        <f t="shared" si="1"/>
        <v>229</v>
      </c>
    </row>
    <row r="18">
      <c r="A18" s="2">
        <v>40567.0</v>
      </c>
      <c r="B18" s="5">
        <v>396.0</v>
      </c>
      <c r="C18" s="5">
        <f t="shared" si="2"/>
        <v>259</v>
      </c>
      <c r="D18" s="5">
        <f t="shared" si="3"/>
        <v>261</v>
      </c>
      <c r="E18" s="5">
        <f t="shared" si="1"/>
        <v>137</v>
      </c>
    </row>
    <row r="19">
      <c r="A19" s="2">
        <v>40568.0</v>
      </c>
      <c r="B19" s="5">
        <v>132.0</v>
      </c>
      <c r="C19" s="5">
        <f t="shared" si="2"/>
        <v>268</v>
      </c>
      <c r="D19" s="5">
        <f t="shared" si="3"/>
        <v>270</v>
      </c>
      <c r="E19" s="5">
        <f t="shared" si="1"/>
        <v>241</v>
      </c>
    </row>
    <row r="20">
      <c r="A20" s="2">
        <v>40569.0</v>
      </c>
      <c r="B20" s="5">
        <v>372.0</v>
      </c>
      <c r="C20" s="5">
        <f t="shared" si="2"/>
        <v>185</v>
      </c>
      <c r="D20" s="5">
        <f t="shared" si="3"/>
        <v>262</v>
      </c>
      <c r="E20" s="5">
        <f t="shared" si="1"/>
        <v>197</v>
      </c>
    </row>
    <row r="21">
      <c r="A21" s="2">
        <v>40570.0</v>
      </c>
      <c r="B21" s="5">
        <v>36.0</v>
      </c>
      <c r="C21" s="5">
        <f t="shared" si="2"/>
        <v>180</v>
      </c>
      <c r="D21" s="5">
        <f t="shared" si="3"/>
        <v>268</v>
      </c>
      <c r="E21" s="5">
        <f t="shared" si="1"/>
        <v>267</v>
      </c>
    </row>
    <row r="22">
      <c r="A22" s="2">
        <v>40571.0</v>
      </c>
      <c r="B22" s="5">
        <v>0.0</v>
      </c>
      <c r="C22" s="5">
        <f t="shared" si="2"/>
        <v>187</v>
      </c>
      <c r="D22" s="5">
        <f t="shared" si="3"/>
        <v>256</v>
      </c>
      <c r="E22" s="5">
        <f t="shared" si="1"/>
        <v>175</v>
      </c>
    </row>
    <row r="23">
      <c r="A23" s="2">
        <v>40574.0</v>
      </c>
      <c r="B23" s="5">
        <v>360.0</v>
      </c>
      <c r="C23" s="5">
        <f t="shared" si="2"/>
        <v>187</v>
      </c>
      <c r="D23" s="5">
        <f t="shared" si="3"/>
        <v>243</v>
      </c>
      <c r="E23" s="5">
        <f t="shared" si="1"/>
        <v>105</v>
      </c>
    </row>
    <row r="24">
      <c r="A24" s="2">
        <v>40575.0</v>
      </c>
      <c r="B24" s="5">
        <v>348.0</v>
      </c>
      <c r="C24" s="5">
        <f t="shared" si="2"/>
        <v>180</v>
      </c>
      <c r="D24" s="5">
        <f t="shared" si="3"/>
        <v>248</v>
      </c>
      <c r="E24" s="5">
        <f t="shared" si="1"/>
        <v>207</v>
      </c>
      <c r="L24" s="5">
        <f t="shared" ref="L24:L570" si="4">B24-C24</f>
        <v>168</v>
      </c>
      <c r="M24" s="19">
        <f t="shared" ref="M24:M570" si="5">IF(B24=0, IF(C24=0, 0, 1), ABS(B24-C24)/B24)</f>
        <v>0.4827586207</v>
      </c>
      <c r="N24" s="5">
        <f t="shared" ref="N24:N570" si="6">(B24-C24)^2</f>
        <v>28224</v>
      </c>
      <c r="P24" s="5">
        <f t="shared" ref="P24:P570" si="7">B24-D24</f>
        <v>100</v>
      </c>
      <c r="Q24" s="19">
        <f t="shared" ref="Q24:Q570" si="8">IF(B24=0, IF(D24=0, 0, 1), ABS(B24-D24)/B24)</f>
        <v>0.2873563218</v>
      </c>
      <c r="R24" s="5">
        <f t="shared" ref="R24:R570" si="9">(B24-D24)^2</f>
        <v>10000</v>
      </c>
      <c r="T24" s="5">
        <f t="shared" ref="T24:T570" si="10">B24-E24</f>
        <v>141</v>
      </c>
      <c r="U24" s="19">
        <f t="shared" ref="U24:U570" si="11">IF(B24=0, IF(E24=0, 0, 1), ABS(B24-E24)/B24)</f>
        <v>0.4051724138</v>
      </c>
      <c r="V24" s="5">
        <f t="shared" ref="V24:V570" si="12">(B24-E24)^2</f>
        <v>19881</v>
      </c>
    </row>
    <row r="25">
      <c r="A25" s="2">
        <v>40576.0</v>
      </c>
      <c r="B25" s="5">
        <v>444.0</v>
      </c>
      <c r="C25" s="5">
        <f t="shared" si="2"/>
        <v>223</v>
      </c>
      <c r="D25" s="5">
        <f t="shared" si="3"/>
        <v>253</v>
      </c>
      <c r="E25" s="5">
        <f t="shared" si="1"/>
        <v>263</v>
      </c>
      <c r="L25" s="5">
        <f t="shared" si="4"/>
        <v>221</v>
      </c>
      <c r="M25" s="19">
        <f t="shared" si="5"/>
        <v>0.4977477477</v>
      </c>
      <c r="N25" s="5">
        <f t="shared" si="6"/>
        <v>48841</v>
      </c>
      <c r="P25" s="5">
        <f t="shared" si="7"/>
        <v>191</v>
      </c>
      <c r="Q25" s="19">
        <f t="shared" si="8"/>
        <v>0.4301801802</v>
      </c>
      <c r="R25" s="5">
        <f t="shared" si="9"/>
        <v>36481</v>
      </c>
      <c r="T25" s="5">
        <f t="shared" si="10"/>
        <v>181</v>
      </c>
      <c r="U25" s="19">
        <f t="shared" si="11"/>
        <v>0.4076576577</v>
      </c>
      <c r="V25" s="5">
        <f t="shared" si="12"/>
        <v>32761</v>
      </c>
    </row>
    <row r="26">
      <c r="A26" s="2">
        <v>40577.0</v>
      </c>
      <c r="B26" s="5">
        <v>14.0</v>
      </c>
      <c r="C26" s="5">
        <f t="shared" si="2"/>
        <v>238</v>
      </c>
      <c r="D26" s="5">
        <f t="shared" si="3"/>
        <v>261</v>
      </c>
      <c r="E26" s="5">
        <f t="shared" si="1"/>
        <v>335</v>
      </c>
      <c r="L26" s="5">
        <f t="shared" si="4"/>
        <v>-224</v>
      </c>
      <c r="M26" s="19">
        <f t="shared" si="5"/>
        <v>16</v>
      </c>
      <c r="N26" s="5">
        <f t="shared" si="6"/>
        <v>50176</v>
      </c>
      <c r="P26" s="5">
        <f t="shared" si="7"/>
        <v>-247</v>
      </c>
      <c r="Q26" s="19">
        <f t="shared" si="8"/>
        <v>17.64285714</v>
      </c>
      <c r="R26" s="5">
        <f t="shared" si="9"/>
        <v>61009</v>
      </c>
      <c r="T26" s="5">
        <f t="shared" si="10"/>
        <v>-321</v>
      </c>
      <c r="U26" s="19">
        <f t="shared" si="11"/>
        <v>22.92857143</v>
      </c>
      <c r="V26" s="5">
        <f t="shared" si="12"/>
        <v>103041</v>
      </c>
    </row>
    <row r="27">
      <c r="A27" s="2">
        <v>40578.0</v>
      </c>
      <c r="B27" s="5">
        <v>0.0</v>
      </c>
      <c r="C27" s="5">
        <f t="shared" si="2"/>
        <v>233</v>
      </c>
      <c r="D27" s="5">
        <f t="shared" si="3"/>
        <v>251</v>
      </c>
      <c r="E27" s="5">
        <f t="shared" si="1"/>
        <v>207</v>
      </c>
      <c r="L27" s="5">
        <f t="shared" si="4"/>
        <v>-233</v>
      </c>
      <c r="M27" s="19">
        <f t="shared" si="5"/>
        <v>1</v>
      </c>
      <c r="N27" s="5">
        <f t="shared" si="6"/>
        <v>54289</v>
      </c>
      <c r="P27" s="5">
        <f t="shared" si="7"/>
        <v>-251</v>
      </c>
      <c r="Q27" s="19">
        <f t="shared" si="8"/>
        <v>1</v>
      </c>
      <c r="R27" s="5">
        <f t="shared" si="9"/>
        <v>63001</v>
      </c>
      <c r="T27" s="5">
        <f t="shared" si="10"/>
        <v>-207</v>
      </c>
      <c r="U27" s="19">
        <f t="shared" si="11"/>
        <v>1</v>
      </c>
      <c r="V27" s="5">
        <f t="shared" si="12"/>
        <v>42849</v>
      </c>
    </row>
    <row r="28">
      <c r="A28" s="2">
        <v>40581.0</v>
      </c>
      <c r="B28" s="5">
        <v>504.0</v>
      </c>
      <c r="C28" s="5">
        <f t="shared" si="2"/>
        <v>233</v>
      </c>
      <c r="D28" s="5">
        <f t="shared" si="3"/>
        <v>241</v>
      </c>
      <c r="E28" s="5">
        <f t="shared" si="1"/>
        <v>124</v>
      </c>
      <c r="L28" s="5">
        <f t="shared" si="4"/>
        <v>271</v>
      </c>
      <c r="M28" s="19">
        <f t="shared" si="5"/>
        <v>0.5376984127</v>
      </c>
      <c r="N28" s="5">
        <f t="shared" si="6"/>
        <v>73441</v>
      </c>
      <c r="P28" s="5">
        <f t="shared" si="7"/>
        <v>263</v>
      </c>
      <c r="Q28" s="19">
        <f t="shared" si="8"/>
        <v>0.5218253968</v>
      </c>
      <c r="R28" s="5">
        <f t="shared" si="9"/>
        <v>69169</v>
      </c>
      <c r="T28" s="5">
        <f t="shared" si="10"/>
        <v>380</v>
      </c>
      <c r="U28" s="19">
        <f t="shared" si="11"/>
        <v>0.753968254</v>
      </c>
      <c r="V28" s="5">
        <f t="shared" si="12"/>
        <v>144400</v>
      </c>
    </row>
    <row r="29">
      <c r="A29" s="2">
        <v>40582.0</v>
      </c>
      <c r="B29" s="5">
        <v>546.0</v>
      </c>
      <c r="C29" s="5">
        <f t="shared" si="2"/>
        <v>262</v>
      </c>
      <c r="D29" s="5">
        <f t="shared" si="3"/>
        <v>251</v>
      </c>
      <c r="E29" s="5">
        <f t="shared" si="1"/>
        <v>276</v>
      </c>
      <c r="L29" s="5">
        <f t="shared" si="4"/>
        <v>284</v>
      </c>
      <c r="M29" s="19">
        <f t="shared" si="5"/>
        <v>0.5201465201</v>
      </c>
      <c r="N29" s="5">
        <f t="shared" si="6"/>
        <v>80656</v>
      </c>
      <c r="P29" s="5">
        <f t="shared" si="7"/>
        <v>295</v>
      </c>
      <c r="Q29" s="19">
        <f t="shared" si="8"/>
        <v>0.5402930403</v>
      </c>
      <c r="R29" s="5">
        <f t="shared" si="9"/>
        <v>87025</v>
      </c>
      <c r="T29" s="5">
        <f t="shared" si="10"/>
        <v>270</v>
      </c>
      <c r="U29" s="19">
        <f t="shared" si="11"/>
        <v>0.4945054945</v>
      </c>
      <c r="V29" s="5">
        <f t="shared" si="12"/>
        <v>72900</v>
      </c>
    </row>
    <row r="30">
      <c r="A30" s="2">
        <v>40583.0</v>
      </c>
      <c r="B30" s="5">
        <v>390.0</v>
      </c>
      <c r="C30" s="5">
        <f t="shared" si="2"/>
        <v>302</v>
      </c>
      <c r="D30" s="5">
        <f t="shared" si="3"/>
        <v>262</v>
      </c>
      <c r="E30" s="5">
        <f t="shared" si="1"/>
        <v>384</v>
      </c>
      <c r="L30" s="5">
        <f t="shared" si="4"/>
        <v>88</v>
      </c>
      <c r="M30" s="19">
        <f t="shared" si="5"/>
        <v>0.2256410256</v>
      </c>
      <c r="N30" s="5">
        <f t="shared" si="6"/>
        <v>7744</v>
      </c>
      <c r="P30" s="5">
        <f t="shared" si="7"/>
        <v>128</v>
      </c>
      <c r="Q30" s="19">
        <f t="shared" si="8"/>
        <v>0.3282051282</v>
      </c>
      <c r="R30" s="5">
        <f t="shared" si="9"/>
        <v>16384</v>
      </c>
      <c r="T30" s="5">
        <f t="shared" si="10"/>
        <v>6</v>
      </c>
      <c r="U30" s="19">
        <f t="shared" si="11"/>
        <v>0.01538461538</v>
      </c>
      <c r="V30" s="5">
        <f t="shared" si="12"/>
        <v>36</v>
      </c>
    </row>
    <row r="31">
      <c r="A31" s="2">
        <v>40584.0</v>
      </c>
      <c r="B31" s="5">
        <v>18.0</v>
      </c>
      <c r="C31" s="5">
        <f t="shared" si="2"/>
        <v>291</v>
      </c>
      <c r="D31" s="5">
        <f t="shared" si="3"/>
        <v>266</v>
      </c>
      <c r="E31" s="5">
        <f t="shared" si="1"/>
        <v>386</v>
      </c>
      <c r="L31" s="5">
        <f t="shared" si="4"/>
        <v>-273</v>
      </c>
      <c r="M31" s="19">
        <f t="shared" si="5"/>
        <v>15.16666667</v>
      </c>
      <c r="N31" s="5">
        <f t="shared" si="6"/>
        <v>74529</v>
      </c>
      <c r="P31" s="5">
        <f t="shared" si="7"/>
        <v>-248</v>
      </c>
      <c r="Q31" s="19">
        <f t="shared" si="8"/>
        <v>13.77777778</v>
      </c>
      <c r="R31" s="5">
        <f t="shared" si="9"/>
        <v>61504</v>
      </c>
      <c r="T31" s="5">
        <f t="shared" si="10"/>
        <v>-368</v>
      </c>
      <c r="U31" s="19">
        <f t="shared" si="11"/>
        <v>20.44444444</v>
      </c>
      <c r="V31" s="5">
        <f t="shared" si="12"/>
        <v>135424</v>
      </c>
    </row>
    <row r="32">
      <c r="A32" s="2">
        <v>40585.0</v>
      </c>
      <c r="B32" s="5">
        <v>0.0</v>
      </c>
      <c r="C32" s="5">
        <f t="shared" si="2"/>
        <v>292</v>
      </c>
      <c r="D32" s="5">
        <f t="shared" si="3"/>
        <v>258</v>
      </c>
      <c r="E32" s="5">
        <f t="shared" si="1"/>
        <v>239</v>
      </c>
      <c r="L32" s="5">
        <f t="shared" si="4"/>
        <v>-292</v>
      </c>
      <c r="M32" s="19">
        <f t="shared" si="5"/>
        <v>1</v>
      </c>
      <c r="N32" s="5">
        <f t="shared" si="6"/>
        <v>85264</v>
      </c>
      <c r="P32" s="5">
        <f t="shared" si="7"/>
        <v>-258</v>
      </c>
      <c r="Q32" s="19">
        <f t="shared" si="8"/>
        <v>1</v>
      </c>
      <c r="R32" s="5">
        <f t="shared" si="9"/>
        <v>66564</v>
      </c>
      <c r="T32" s="5">
        <f t="shared" si="10"/>
        <v>-239</v>
      </c>
      <c r="U32" s="19">
        <f t="shared" si="11"/>
        <v>1</v>
      </c>
      <c r="V32" s="5">
        <f t="shared" si="12"/>
        <v>57121</v>
      </c>
    </row>
    <row r="33">
      <c r="A33" s="2">
        <v>40588.0</v>
      </c>
      <c r="B33" s="5">
        <v>342.0</v>
      </c>
      <c r="C33" s="5">
        <f t="shared" si="2"/>
        <v>292</v>
      </c>
      <c r="D33" s="5">
        <f t="shared" si="3"/>
        <v>249</v>
      </c>
      <c r="E33" s="5">
        <f t="shared" si="1"/>
        <v>143</v>
      </c>
      <c r="L33" s="5">
        <f t="shared" si="4"/>
        <v>50</v>
      </c>
      <c r="M33" s="19">
        <f t="shared" si="5"/>
        <v>0.1461988304</v>
      </c>
      <c r="N33" s="5">
        <f t="shared" si="6"/>
        <v>2500</v>
      </c>
      <c r="P33" s="5">
        <f t="shared" si="7"/>
        <v>93</v>
      </c>
      <c r="Q33" s="19">
        <f t="shared" si="8"/>
        <v>0.2719298246</v>
      </c>
      <c r="R33" s="5">
        <f t="shared" si="9"/>
        <v>8649</v>
      </c>
      <c r="T33" s="5">
        <f t="shared" si="10"/>
        <v>199</v>
      </c>
      <c r="U33" s="19">
        <f t="shared" si="11"/>
        <v>0.581871345</v>
      </c>
      <c r="V33" s="5">
        <f t="shared" si="12"/>
        <v>39601</v>
      </c>
    </row>
    <row r="34">
      <c r="A34" s="2">
        <v>40589.0</v>
      </c>
      <c r="B34" s="5">
        <v>392.0</v>
      </c>
      <c r="C34" s="5">
        <f t="shared" si="2"/>
        <v>259</v>
      </c>
      <c r="D34" s="5">
        <f t="shared" si="3"/>
        <v>252</v>
      </c>
      <c r="E34" s="5">
        <f t="shared" si="1"/>
        <v>223</v>
      </c>
      <c r="L34" s="5">
        <f t="shared" si="4"/>
        <v>133</v>
      </c>
      <c r="M34" s="19">
        <f t="shared" si="5"/>
        <v>0.3392857143</v>
      </c>
      <c r="N34" s="5">
        <f t="shared" si="6"/>
        <v>17689</v>
      </c>
      <c r="P34" s="5">
        <f t="shared" si="7"/>
        <v>140</v>
      </c>
      <c r="Q34" s="19">
        <f t="shared" si="8"/>
        <v>0.3571428571</v>
      </c>
      <c r="R34" s="5">
        <f t="shared" si="9"/>
        <v>19600</v>
      </c>
      <c r="T34" s="5">
        <f t="shared" si="10"/>
        <v>169</v>
      </c>
      <c r="U34" s="19">
        <f t="shared" si="11"/>
        <v>0.431122449</v>
      </c>
      <c r="V34" s="5">
        <f t="shared" si="12"/>
        <v>28561</v>
      </c>
    </row>
    <row r="35">
      <c r="A35" s="2">
        <v>40590.0</v>
      </c>
      <c r="B35" s="5">
        <v>0.0</v>
      </c>
      <c r="C35" s="5">
        <f t="shared" si="2"/>
        <v>228</v>
      </c>
      <c r="D35" s="5">
        <f t="shared" si="3"/>
        <v>257</v>
      </c>
      <c r="E35" s="5">
        <f t="shared" si="1"/>
        <v>291</v>
      </c>
      <c r="L35" s="5">
        <f t="shared" si="4"/>
        <v>-228</v>
      </c>
      <c r="M35" s="19">
        <f t="shared" si="5"/>
        <v>1</v>
      </c>
      <c r="N35" s="5">
        <f t="shared" si="6"/>
        <v>51984</v>
      </c>
      <c r="P35" s="5">
        <f t="shared" si="7"/>
        <v>-257</v>
      </c>
      <c r="Q35" s="19">
        <f t="shared" si="8"/>
        <v>1</v>
      </c>
      <c r="R35" s="5">
        <f t="shared" si="9"/>
        <v>66049</v>
      </c>
      <c r="T35" s="5">
        <f t="shared" si="10"/>
        <v>-291</v>
      </c>
      <c r="U35" s="19">
        <f t="shared" si="11"/>
        <v>1</v>
      </c>
      <c r="V35" s="5">
        <f t="shared" si="12"/>
        <v>84681</v>
      </c>
    </row>
    <row r="36">
      <c r="A36" s="2">
        <v>40591.0</v>
      </c>
      <c r="B36" s="5">
        <v>0.0</v>
      </c>
      <c r="C36" s="5">
        <f t="shared" si="2"/>
        <v>150</v>
      </c>
      <c r="D36" s="5">
        <f t="shared" si="3"/>
        <v>249</v>
      </c>
      <c r="E36" s="5">
        <f t="shared" si="1"/>
        <v>175</v>
      </c>
      <c r="L36" s="5">
        <f t="shared" si="4"/>
        <v>-150</v>
      </c>
      <c r="M36" s="19">
        <f t="shared" si="5"/>
        <v>1</v>
      </c>
      <c r="N36" s="5">
        <f t="shared" si="6"/>
        <v>22500</v>
      </c>
      <c r="P36" s="5">
        <f t="shared" si="7"/>
        <v>-249</v>
      </c>
      <c r="Q36" s="19">
        <f t="shared" si="8"/>
        <v>1</v>
      </c>
      <c r="R36" s="5">
        <f t="shared" si="9"/>
        <v>62001</v>
      </c>
      <c r="T36" s="5">
        <f t="shared" si="10"/>
        <v>-175</v>
      </c>
      <c r="U36" s="19">
        <f t="shared" si="11"/>
        <v>1</v>
      </c>
      <c r="V36" s="5">
        <f t="shared" si="12"/>
        <v>30625</v>
      </c>
    </row>
    <row r="37">
      <c r="A37" s="2">
        <v>40592.0</v>
      </c>
      <c r="B37" s="5">
        <v>0.0</v>
      </c>
      <c r="C37" s="5">
        <f t="shared" si="2"/>
        <v>147</v>
      </c>
      <c r="D37" s="5">
        <f t="shared" si="3"/>
        <v>242</v>
      </c>
      <c r="E37" s="5">
        <f t="shared" si="1"/>
        <v>105</v>
      </c>
      <c r="L37" s="5">
        <f t="shared" si="4"/>
        <v>-147</v>
      </c>
      <c r="M37" s="19">
        <f t="shared" si="5"/>
        <v>1</v>
      </c>
      <c r="N37" s="5">
        <f t="shared" si="6"/>
        <v>21609</v>
      </c>
      <c r="P37" s="5">
        <f t="shared" si="7"/>
        <v>-242</v>
      </c>
      <c r="Q37" s="19">
        <f t="shared" si="8"/>
        <v>1</v>
      </c>
      <c r="R37" s="5">
        <f t="shared" si="9"/>
        <v>58564</v>
      </c>
      <c r="T37" s="5">
        <f t="shared" si="10"/>
        <v>-105</v>
      </c>
      <c r="U37" s="19">
        <f t="shared" si="11"/>
        <v>1</v>
      </c>
      <c r="V37" s="5">
        <f t="shared" si="12"/>
        <v>11025</v>
      </c>
    </row>
    <row r="38">
      <c r="A38" s="2">
        <v>40596.0</v>
      </c>
      <c r="B38" s="5">
        <v>18.0</v>
      </c>
      <c r="C38" s="5">
        <f t="shared" si="2"/>
        <v>147</v>
      </c>
      <c r="D38" s="5">
        <f t="shared" si="3"/>
        <v>235</v>
      </c>
      <c r="E38" s="5">
        <f t="shared" si="1"/>
        <v>63</v>
      </c>
      <c r="L38" s="5">
        <f t="shared" si="4"/>
        <v>-129</v>
      </c>
      <c r="M38" s="19">
        <f t="shared" si="5"/>
        <v>7.166666667</v>
      </c>
      <c r="N38" s="5">
        <f t="shared" si="6"/>
        <v>16641</v>
      </c>
      <c r="P38" s="5">
        <f t="shared" si="7"/>
        <v>-217</v>
      </c>
      <c r="Q38" s="19">
        <f t="shared" si="8"/>
        <v>12.05555556</v>
      </c>
      <c r="R38" s="5">
        <f t="shared" si="9"/>
        <v>47089</v>
      </c>
      <c r="T38" s="5">
        <f t="shared" si="10"/>
        <v>-45</v>
      </c>
      <c r="U38" s="19">
        <f t="shared" si="11"/>
        <v>2.5</v>
      </c>
      <c r="V38" s="5">
        <f t="shared" si="12"/>
        <v>2025</v>
      </c>
    </row>
    <row r="39">
      <c r="A39" s="2">
        <v>40597.0</v>
      </c>
      <c r="B39" s="5">
        <v>414.0</v>
      </c>
      <c r="C39" s="5">
        <f t="shared" si="2"/>
        <v>82</v>
      </c>
      <c r="D39" s="5">
        <f t="shared" si="3"/>
        <v>229</v>
      </c>
      <c r="E39" s="5">
        <f t="shared" si="1"/>
        <v>45</v>
      </c>
      <c r="L39" s="5">
        <f t="shared" si="4"/>
        <v>332</v>
      </c>
      <c r="M39" s="19">
        <f t="shared" si="5"/>
        <v>0.8019323671</v>
      </c>
      <c r="N39" s="5">
        <f t="shared" si="6"/>
        <v>110224</v>
      </c>
      <c r="P39" s="5">
        <f t="shared" si="7"/>
        <v>185</v>
      </c>
      <c r="Q39" s="19">
        <f t="shared" si="8"/>
        <v>0.4468599034</v>
      </c>
      <c r="R39" s="5">
        <f t="shared" si="9"/>
        <v>34225</v>
      </c>
      <c r="T39" s="5">
        <f t="shared" si="10"/>
        <v>369</v>
      </c>
      <c r="U39" s="19">
        <f t="shared" si="11"/>
        <v>0.8913043478</v>
      </c>
      <c r="V39" s="5">
        <f t="shared" si="12"/>
        <v>136161</v>
      </c>
    </row>
    <row r="40">
      <c r="A40" s="2">
        <v>40598.0</v>
      </c>
      <c r="B40" s="5">
        <v>0.0</v>
      </c>
      <c r="C40" s="5">
        <f t="shared" si="2"/>
        <v>86</v>
      </c>
      <c r="D40" s="5">
        <f t="shared" si="3"/>
        <v>234</v>
      </c>
      <c r="E40" s="5">
        <f t="shared" si="1"/>
        <v>193</v>
      </c>
      <c r="L40" s="5">
        <f t="shared" si="4"/>
        <v>-86</v>
      </c>
      <c r="M40" s="19">
        <f t="shared" si="5"/>
        <v>1</v>
      </c>
      <c r="N40" s="5">
        <f t="shared" si="6"/>
        <v>7396</v>
      </c>
      <c r="P40" s="5">
        <f t="shared" si="7"/>
        <v>-234</v>
      </c>
      <c r="Q40" s="19">
        <f t="shared" si="8"/>
        <v>1</v>
      </c>
      <c r="R40" s="5">
        <f t="shared" si="9"/>
        <v>54756</v>
      </c>
      <c r="T40" s="5">
        <f t="shared" si="10"/>
        <v>-193</v>
      </c>
      <c r="U40" s="19">
        <f t="shared" si="11"/>
        <v>1</v>
      </c>
      <c r="V40" s="5">
        <f t="shared" si="12"/>
        <v>37249</v>
      </c>
    </row>
    <row r="41">
      <c r="A41" s="2">
        <v>40599.0</v>
      </c>
      <c r="B41" s="5">
        <v>0.0</v>
      </c>
      <c r="C41" s="5">
        <f t="shared" si="2"/>
        <v>86</v>
      </c>
      <c r="D41" s="5">
        <f t="shared" si="3"/>
        <v>228</v>
      </c>
      <c r="E41" s="5">
        <f t="shared" si="1"/>
        <v>116</v>
      </c>
      <c r="L41" s="5">
        <f t="shared" si="4"/>
        <v>-86</v>
      </c>
      <c r="M41" s="19">
        <f t="shared" si="5"/>
        <v>1</v>
      </c>
      <c r="N41" s="5">
        <f t="shared" si="6"/>
        <v>7396</v>
      </c>
      <c r="P41" s="5">
        <f t="shared" si="7"/>
        <v>-228</v>
      </c>
      <c r="Q41" s="19">
        <f t="shared" si="8"/>
        <v>1</v>
      </c>
      <c r="R41" s="5">
        <f t="shared" si="9"/>
        <v>51984</v>
      </c>
      <c r="T41" s="5">
        <f t="shared" si="10"/>
        <v>-116</v>
      </c>
      <c r="U41" s="19">
        <f t="shared" si="11"/>
        <v>1</v>
      </c>
      <c r="V41" s="5">
        <f t="shared" si="12"/>
        <v>13456</v>
      </c>
    </row>
    <row r="42">
      <c r="A42" s="2">
        <v>40602.0</v>
      </c>
      <c r="B42" s="5">
        <v>429.0</v>
      </c>
      <c r="C42" s="5">
        <f t="shared" si="2"/>
        <v>86</v>
      </c>
      <c r="D42" s="5">
        <f t="shared" si="3"/>
        <v>222</v>
      </c>
      <c r="E42" s="5">
        <f t="shared" si="1"/>
        <v>70</v>
      </c>
      <c r="L42" s="5">
        <f t="shared" si="4"/>
        <v>343</v>
      </c>
      <c r="M42" s="19">
        <f t="shared" si="5"/>
        <v>0.7995337995</v>
      </c>
      <c r="N42" s="5">
        <f t="shared" si="6"/>
        <v>117649</v>
      </c>
      <c r="P42" s="5">
        <f t="shared" si="7"/>
        <v>207</v>
      </c>
      <c r="Q42" s="19">
        <f t="shared" si="8"/>
        <v>0.4825174825</v>
      </c>
      <c r="R42" s="5">
        <f t="shared" si="9"/>
        <v>42849</v>
      </c>
      <c r="T42" s="5">
        <f t="shared" si="10"/>
        <v>359</v>
      </c>
      <c r="U42" s="19">
        <f t="shared" si="11"/>
        <v>0.8368298368</v>
      </c>
      <c r="V42" s="5">
        <f t="shared" si="12"/>
        <v>128881</v>
      </c>
    </row>
    <row r="43">
      <c r="A43" s="2">
        <v>40603.0</v>
      </c>
      <c r="B43" s="5">
        <v>0.0</v>
      </c>
      <c r="C43" s="5">
        <f t="shared" si="2"/>
        <v>172</v>
      </c>
      <c r="D43" s="5">
        <f t="shared" si="3"/>
        <v>227</v>
      </c>
      <c r="E43" s="5">
        <f t="shared" si="1"/>
        <v>214</v>
      </c>
      <c r="L43" s="5">
        <f t="shared" si="4"/>
        <v>-172</v>
      </c>
      <c r="M43" s="19">
        <f t="shared" si="5"/>
        <v>1</v>
      </c>
      <c r="N43" s="5">
        <f t="shared" si="6"/>
        <v>29584</v>
      </c>
      <c r="P43" s="5">
        <f t="shared" si="7"/>
        <v>-227</v>
      </c>
      <c r="Q43" s="19">
        <f t="shared" si="8"/>
        <v>1</v>
      </c>
      <c r="R43" s="5">
        <f t="shared" si="9"/>
        <v>51529</v>
      </c>
      <c r="T43" s="5">
        <f t="shared" si="10"/>
        <v>-214</v>
      </c>
      <c r="U43" s="19">
        <f t="shared" si="11"/>
        <v>1</v>
      </c>
      <c r="V43" s="5">
        <f t="shared" si="12"/>
        <v>45796</v>
      </c>
    </row>
    <row r="44">
      <c r="A44" s="2">
        <v>40604.0</v>
      </c>
      <c r="B44" s="5">
        <v>2229.0</v>
      </c>
      <c r="C44" s="5">
        <f t="shared" si="2"/>
        <v>169</v>
      </c>
      <c r="D44" s="5">
        <f t="shared" si="3"/>
        <v>221</v>
      </c>
      <c r="E44" s="5">
        <f t="shared" si="1"/>
        <v>128</v>
      </c>
      <c r="L44" s="5">
        <f t="shared" si="4"/>
        <v>2060</v>
      </c>
      <c r="M44" s="19">
        <f t="shared" si="5"/>
        <v>0.9241812472</v>
      </c>
      <c r="N44" s="5">
        <f t="shared" si="6"/>
        <v>4243600</v>
      </c>
      <c r="P44" s="5">
        <f t="shared" si="7"/>
        <v>2008</v>
      </c>
      <c r="Q44" s="19">
        <f t="shared" si="8"/>
        <v>0.9008524002</v>
      </c>
      <c r="R44" s="5">
        <f t="shared" si="9"/>
        <v>4032064</v>
      </c>
      <c r="T44" s="5">
        <f t="shared" si="10"/>
        <v>2101</v>
      </c>
      <c r="U44" s="19">
        <f t="shared" si="11"/>
        <v>0.9425751458</v>
      </c>
      <c r="V44" s="5">
        <f t="shared" si="12"/>
        <v>4414201</v>
      </c>
    </row>
    <row r="45">
      <c r="A45" s="2">
        <v>40605.0</v>
      </c>
      <c r="B45" s="5">
        <v>19.0</v>
      </c>
      <c r="C45" s="5">
        <f t="shared" si="2"/>
        <v>532</v>
      </c>
      <c r="D45" s="5">
        <f t="shared" si="3"/>
        <v>269</v>
      </c>
      <c r="E45" s="5">
        <f t="shared" si="1"/>
        <v>968</v>
      </c>
      <c r="L45" s="5">
        <f t="shared" si="4"/>
        <v>-513</v>
      </c>
      <c r="M45" s="19">
        <f t="shared" si="5"/>
        <v>27</v>
      </c>
      <c r="N45" s="5">
        <f t="shared" si="6"/>
        <v>263169</v>
      </c>
      <c r="P45" s="5">
        <f t="shared" si="7"/>
        <v>-250</v>
      </c>
      <c r="Q45" s="19">
        <f t="shared" si="8"/>
        <v>13.15789474</v>
      </c>
      <c r="R45" s="5">
        <f t="shared" si="9"/>
        <v>62500</v>
      </c>
      <c r="T45" s="5">
        <f t="shared" si="10"/>
        <v>-949</v>
      </c>
      <c r="U45" s="19">
        <f t="shared" si="11"/>
        <v>49.94736842</v>
      </c>
      <c r="V45" s="5">
        <f t="shared" si="12"/>
        <v>900601</v>
      </c>
    </row>
    <row r="46">
      <c r="A46" s="2">
        <v>40606.0</v>
      </c>
      <c r="B46" s="5">
        <v>0.0</v>
      </c>
      <c r="C46" s="5">
        <f t="shared" si="2"/>
        <v>535</v>
      </c>
      <c r="D46" s="5">
        <f t="shared" si="3"/>
        <v>263</v>
      </c>
      <c r="E46" s="5">
        <f t="shared" si="1"/>
        <v>588</v>
      </c>
      <c r="L46" s="5">
        <f t="shared" si="4"/>
        <v>-535</v>
      </c>
      <c r="M46" s="19">
        <f t="shared" si="5"/>
        <v>1</v>
      </c>
      <c r="N46" s="5">
        <f t="shared" si="6"/>
        <v>286225</v>
      </c>
      <c r="P46" s="5">
        <f t="shared" si="7"/>
        <v>-263</v>
      </c>
      <c r="Q46" s="19">
        <f t="shared" si="8"/>
        <v>1</v>
      </c>
      <c r="R46" s="5">
        <f t="shared" si="9"/>
        <v>69169</v>
      </c>
      <c r="T46" s="5">
        <f t="shared" si="10"/>
        <v>-588</v>
      </c>
      <c r="U46" s="19">
        <f t="shared" si="11"/>
        <v>1</v>
      </c>
      <c r="V46" s="5">
        <f t="shared" si="12"/>
        <v>345744</v>
      </c>
    </row>
    <row r="47">
      <c r="A47" s="2">
        <v>40609.0</v>
      </c>
      <c r="B47" s="5">
        <v>417.0</v>
      </c>
      <c r="C47" s="5">
        <f t="shared" si="2"/>
        <v>535</v>
      </c>
      <c r="D47" s="5">
        <f t="shared" si="3"/>
        <v>257</v>
      </c>
      <c r="E47" s="5">
        <f t="shared" si="1"/>
        <v>353</v>
      </c>
      <c r="L47" s="5">
        <f t="shared" si="4"/>
        <v>-118</v>
      </c>
      <c r="M47" s="19">
        <f t="shared" si="5"/>
        <v>0.2829736211</v>
      </c>
      <c r="N47" s="5">
        <f t="shared" si="6"/>
        <v>13924</v>
      </c>
      <c r="P47" s="5">
        <f t="shared" si="7"/>
        <v>160</v>
      </c>
      <c r="Q47" s="19">
        <f t="shared" si="8"/>
        <v>0.3836930456</v>
      </c>
      <c r="R47" s="5">
        <f t="shared" si="9"/>
        <v>25600</v>
      </c>
      <c r="T47" s="5">
        <f t="shared" si="10"/>
        <v>64</v>
      </c>
      <c r="U47" s="19">
        <f t="shared" si="11"/>
        <v>0.1534772182</v>
      </c>
      <c r="V47" s="5">
        <f t="shared" si="12"/>
        <v>4096</v>
      </c>
    </row>
    <row r="48">
      <c r="A48" s="2">
        <v>40610.0</v>
      </c>
      <c r="B48" s="5">
        <v>516.0</v>
      </c>
      <c r="C48" s="5">
        <f t="shared" si="2"/>
        <v>533</v>
      </c>
      <c r="D48" s="5">
        <f t="shared" si="3"/>
        <v>261</v>
      </c>
      <c r="E48" s="5">
        <f t="shared" si="1"/>
        <v>379</v>
      </c>
      <c r="L48" s="5">
        <f t="shared" si="4"/>
        <v>-17</v>
      </c>
      <c r="M48" s="19">
        <f t="shared" si="5"/>
        <v>0.03294573643</v>
      </c>
      <c r="N48" s="5">
        <f t="shared" si="6"/>
        <v>289</v>
      </c>
      <c r="P48" s="5">
        <f t="shared" si="7"/>
        <v>255</v>
      </c>
      <c r="Q48" s="19">
        <f t="shared" si="8"/>
        <v>0.4941860465</v>
      </c>
      <c r="R48" s="5">
        <f t="shared" si="9"/>
        <v>65025</v>
      </c>
      <c r="T48" s="5">
        <f t="shared" si="10"/>
        <v>137</v>
      </c>
      <c r="U48" s="19">
        <f t="shared" si="11"/>
        <v>0.265503876</v>
      </c>
      <c r="V48" s="5">
        <f t="shared" si="12"/>
        <v>18769</v>
      </c>
    </row>
    <row r="49">
      <c r="A49" s="2">
        <v>40611.0</v>
      </c>
      <c r="B49" s="5">
        <v>702.0</v>
      </c>
      <c r="C49" s="5">
        <f t="shared" si="2"/>
        <v>636</v>
      </c>
      <c r="D49" s="5">
        <f t="shared" si="3"/>
        <v>266</v>
      </c>
      <c r="E49" s="5">
        <f t="shared" si="1"/>
        <v>434</v>
      </c>
      <c r="L49" s="5">
        <f t="shared" si="4"/>
        <v>66</v>
      </c>
      <c r="M49" s="19">
        <f t="shared" si="5"/>
        <v>0.09401709402</v>
      </c>
      <c r="N49" s="5">
        <f t="shared" si="6"/>
        <v>4356</v>
      </c>
      <c r="P49" s="5">
        <f t="shared" si="7"/>
        <v>436</v>
      </c>
      <c r="Q49" s="19">
        <f t="shared" si="8"/>
        <v>0.6210826211</v>
      </c>
      <c r="R49" s="5">
        <f t="shared" si="9"/>
        <v>190096</v>
      </c>
      <c r="T49" s="5">
        <f t="shared" si="10"/>
        <v>268</v>
      </c>
      <c r="U49" s="19">
        <f t="shared" si="11"/>
        <v>0.3817663818</v>
      </c>
      <c r="V49" s="5">
        <f t="shared" si="12"/>
        <v>71824</v>
      </c>
    </row>
    <row r="50">
      <c r="A50" s="2">
        <v>40612.0</v>
      </c>
      <c r="B50" s="5">
        <v>43.0</v>
      </c>
      <c r="C50" s="5">
        <f t="shared" si="2"/>
        <v>331</v>
      </c>
      <c r="D50" s="5">
        <f t="shared" si="3"/>
        <v>276</v>
      </c>
      <c r="E50" s="5">
        <f t="shared" si="1"/>
        <v>541</v>
      </c>
      <c r="L50" s="5">
        <f t="shared" si="4"/>
        <v>-288</v>
      </c>
      <c r="M50" s="19">
        <f t="shared" si="5"/>
        <v>6.697674419</v>
      </c>
      <c r="N50" s="5">
        <f t="shared" si="6"/>
        <v>82944</v>
      </c>
      <c r="P50" s="5">
        <f t="shared" si="7"/>
        <v>-233</v>
      </c>
      <c r="Q50" s="19">
        <f t="shared" si="8"/>
        <v>5.418604651</v>
      </c>
      <c r="R50" s="5">
        <f t="shared" si="9"/>
        <v>54289</v>
      </c>
      <c r="T50" s="5">
        <f t="shared" si="10"/>
        <v>-498</v>
      </c>
      <c r="U50" s="19">
        <f t="shared" si="11"/>
        <v>11.58139535</v>
      </c>
      <c r="V50" s="5">
        <f t="shared" si="12"/>
        <v>248004</v>
      </c>
    </row>
    <row r="51">
      <c r="A51" s="2">
        <v>40613.0</v>
      </c>
      <c r="B51" s="5">
        <v>0.0</v>
      </c>
      <c r="C51" s="5">
        <f t="shared" si="2"/>
        <v>336</v>
      </c>
      <c r="D51" s="5">
        <f t="shared" si="3"/>
        <v>271</v>
      </c>
      <c r="E51" s="5">
        <f t="shared" si="1"/>
        <v>342</v>
      </c>
      <c r="L51" s="5">
        <f t="shared" si="4"/>
        <v>-336</v>
      </c>
      <c r="M51" s="19">
        <f t="shared" si="5"/>
        <v>1</v>
      </c>
      <c r="N51" s="5">
        <f t="shared" si="6"/>
        <v>112896</v>
      </c>
      <c r="P51" s="5">
        <f t="shared" si="7"/>
        <v>-271</v>
      </c>
      <c r="Q51" s="19">
        <f t="shared" si="8"/>
        <v>1</v>
      </c>
      <c r="R51" s="5">
        <f t="shared" si="9"/>
        <v>73441</v>
      </c>
      <c r="T51" s="5">
        <f t="shared" si="10"/>
        <v>-342</v>
      </c>
      <c r="U51" s="19">
        <f t="shared" si="11"/>
        <v>1</v>
      </c>
      <c r="V51" s="5">
        <f t="shared" si="12"/>
        <v>116964</v>
      </c>
    </row>
    <row r="52">
      <c r="A52" s="2">
        <v>40616.0</v>
      </c>
      <c r="B52" s="5">
        <v>474.0</v>
      </c>
      <c r="C52" s="5">
        <f t="shared" si="2"/>
        <v>336</v>
      </c>
      <c r="D52" s="5">
        <f t="shared" si="3"/>
        <v>265</v>
      </c>
      <c r="E52" s="5">
        <f t="shared" si="1"/>
        <v>205</v>
      </c>
      <c r="L52" s="5">
        <f t="shared" si="4"/>
        <v>138</v>
      </c>
      <c r="M52" s="19">
        <f t="shared" si="5"/>
        <v>0.2911392405</v>
      </c>
      <c r="N52" s="5">
        <f t="shared" si="6"/>
        <v>19044</v>
      </c>
      <c r="P52" s="5">
        <f t="shared" si="7"/>
        <v>209</v>
      </c>
      <c r="Q52" s="19">
        <f t="shared" si="8"/>
        <v>0.44092827</v>
      </c>
      <c r="R52" s="5">
        <f t="shared" si="9"/>
        <v>43681</v>
      </c>
      <c r="T52" s="5">
        <f t="shared" si="10"/>
        <v>269</v>
      </c>
      <c r="U52" s="19">
        <f t="shared" si="11"/>
        <v>0.5675105485</v>
      </c>
      <c r="V52" s="5">
        <f t="shared" si="12"/>
        <v>72361</v>
      </c>
    </row>
    <row r="53">
      <c r="A53" s="2">
        <v>40617.0</v>
      </c>
      <c r="B53" s="5">
        <v>642.0</v>
      </c>
      <c r="C53" s="5">
        <f t="shared" si="2"/>
        <v>347</v>
      </c>
      <c r="D53" s="5">
        <f t="shared" si="3"/>
        <v>269</v>
      </c>
      <c r="E53" s="5">
        <f t="shared" si="1"/>
        <v>313</v>
      </c>
      <c r="L53" s="5">
        <f t="shared" si="4"/>
        <v>295</v>
      </c>
      <c r="M53" s="19">
        <f t="shared" si="5"/>
        <v>0.4595015576</v>
      </c>
      <c r="N53" s="5">
        <f t="shared" si="6"/>
        <v>87025</v>
      </c>
      <c r="P53" s="5">
        <f t="shared" si="7"/>
        <v>373</v>
      </c>
      <c r="Q53" s="19">
        <f t="shared" si="8"/>
        <v>0.5809968847</v>
      </c>
      <c r="R53" s="5">
        <f t="shared" si="9"/>
        <v>139129</v>
      </c>
      <c r="T53" s="5">
        <f t="shared" si="10"/>
        <v>329</v>
      </c>
      <c r="U53" s="19">
        <f t="shared" si="11"/>
        <v>0.5124610592</v>
      </c>
      <c r="V53" s="5">
        <f t="shared" si="12"/>
        <v>108241</v>
      </c>
    </row>
    <row r="54">
      <c r="A54" s="2">
        <v>40618.0</v>
      </c>
      <c r="B54" s="5">
        <v>594.0</v>
      </c>
      <c r="C54" s="5">
        <f t="shared" si="2"/>
        <v>372</v>
      </c>
      <c r="D54" s="5">
        <f t="shared" si="3"/>
        <v>277</v>
      </c>
      <c r="E54" s="5">
        <f t="shared" si="1"/>
        <v>445</v>
      </c>
      <c r="L54" s="5">
        <f t="shared" si="4"/>
        <v>222</v>
      </c>
      <c r="M54" s="19">
        <f t="shared" si="5"/>
        <v>0.3737373737</v>
      </c>
      <c r="N54" s="5">
        <f t="shared" si="6"/>
        <v>49284</v>
      </c>
      <c r="P54" s="5">
        <f t="shared" si="7"/>
        <v>317</v>
      </c>
      <c r="Q54" s="19">
        <f t="shared" si="8"/>
        <v>0.5336700337</v>
      </c>
      <c r="R54" s="5">
        <f t="shared" si="9"/>
        <v>100489</v>
      </c>
      <c r="T54" s="5">
        <f t="shared" si="10"/>
        <v>149</v>
      </c>
      <c r="U54" s="19">
        <f t="shared" si="11"/>
        <v>0.2508417508</v>
      </c>
      <c r="V54" s="5">
        <f t="shared" si="12"/>
        <v>22201</v>
      </c>
    </row>
    <row r="55">
      <c r="A55" s="2">
        <v>40619.0</v>
      </c>
      <c r="B55" s="5">
        <v>0.0</v>
      </c>
      <c r="C55" s="5">
        <f t="shared" si="2"/>
        <v>351</v>
      </c>
      <c r="D55" s="5">
        <f t="shared" si="3"/>
        <v>283</v>
      </c>
      <c r="E55" s="5">
        <f t="shared" si="1"/>
        <v>505</v>
      </c>
      <c r="L55" s="5">
        <f t="shared" si="4"/>
        <v>-351</v>
      </c>
      <c r="M55" s="19">
        <f t="shared" si="5"/>
        <v>1</v>
      </c>
      <c r="N55" s="5">
        <f t="shared" si="6"/>
        <v>123201</v>
      </c>
      <c r="P55" s="5">
        <f t="shared" si="7"/>
        <v>-283</v>
      </c>
      <c r="Q55" s="19">
        <f t="shared" si="8"/>
        <v>1</v>
      </c>
      <c r="R55" s="5">
        <f t="shared" si="9"/>
        <v>80089</v>
      </c>
      <c r="T55" s="5">
        <f t="shared" si="10"/>
        <v>-505</v>
      </c>
      <c r="U55" s="19">
        <f t="shared" si="11"/>
        <v>1</v>
      </c>
      <c r="V55" s="5">
        <f t="shared" si="12"/>
        <v>255025</v>
      </c>
    </row>
    <row r="56">
      <c r="A56" s="2">
        <v>40620.0</v>
      </c>
      <c r="B56" s="5">
        <v>0.0</v>
      </c>
      <c r="C56" s="5">
        <f t="shared" si="2"/>
        <v>342</v>
      </c>
      <c r="D56" s="5">
        <f t="shared" si="3"/>
        <v>278</v>
      </c>
      <c r="E56" s="5">
        <f t="shared" si="1"/>
        <v>303</v>
      </c>
      <c r="L56" s="5">
        <f t="shared" si="4"/>
        <v>-342</v>
      </c>
      <c r="M56" s="19">
        <f t="shared" si="5"/>
        <v>1</v>
      </c>
      <c r="N56" s="5">
        <f t="shared" si="6"/>
        <v>116964</v>
      </c>
      <c r="P56" s="5">
        <f t="shared" si="7"/>
        <v>-278</v>
      </c>
      <c r="Q56" s="19">
        <f t="shared" si="8"/>
        <v>1</v>
      </c>
      <c r="R56" s="5">
        <f t="shared" si="9"/>
        <v>77284</v>
      </c>
      <c r="T56" s="5">
        <f t="shared" si="10"/>
        <v>-303</v>
      </c>
      <c r="U56" s="19">
        <f t="shared" si="11"/>
        <v>1</v>
      </c>
      <c r="V56" s="5">
        <f t="shared" si="12"/>
        <v>91809</v>
      </c>
    </row>
    <row r="57">
      <c r="A57" s="2">
        <v>40623.0</v>
      </c>
      <c r="B57" s="5">
        <v>324.0</v>
      </c>
      <c r="C57" s="5">
        <f t="shared" si="2"/>
        <v>342</v>
      </c>
      <c r="D57" s="5">
        <f t="shared" si="3"/>
        <v>272</v>
      </c>
      <c r="E57" s="5">
        <f t="shared" si="1"/>
        <v>182</v>
      </c>
      <c r="L57" s="5">
        <f t="shared" si="4"/>
        <v>-18</v>
      </c>
      <c r="M57" s="19">
        <f t="shared" si="5"/>
        <v>0.05555555556</v>
      </c>
      <c r="N57" s="5">
        <f t="shared" si="6"/>
        <v>324</v>
      </c>
      <c r="P57" s="5">
        <f t="shared" si="7"/>
        <v>52</v>
      </c>
      <c r="Q57" s="19">
        <f t="shared" si="8"/>
        <v>0.1604938272</v>
      </c>
      <c r="R57" s="5">
        <f t="shared" si="9"/>
        <v>2704</v>
      </c>
      <c r="T57" s="5">
        <f t="shared" si="10"/>
        <v>142</v>
      </c>
      <c r="U57" s="19">
        <f t="shared" si="11"/>
        <v>0.4382716049</v>
      </c>
      <c r="V57" s="5">
        <f t="shared" si="12"/>
        <v>20164</v>
      </c>
    </row>
    <row r="58">
      <c r="A58" s="2">
        <v>40624.0</v>
      </c>
      <c r="B58" s="5">
        <v>482.0</v>
      </c>
      <c r="C58" s="5">
        <f t="shared" si="2"/>
        <v>312</v>
      </c>
      <c r="D58" s="5">
        <f t="shared" si="3"/>
        <v>273</v>
      </c>
      <c r="E58" s="5">
        <f t="shared" si="1"/>
        <v>239</v>
      </c>
      <c r="L58" s="5">
        <f t="shared" si="4"/>
        <v>170</v>
      </c>
      <c r="M58" s="19">
        <f t="shared" si="5"/>
        <v>0.3526970954</v>
      </c>
      <c r="N58" s="5">
        <f t="shared" si="6"/>
        <v>28900</v>
      </c>
      <c r="P58" s="5">
        <f t="shared" si="7"/>
        <v>209</v>
      </c>
      <c r="Q58" s="19">
        <f t="shared" si="8"/>
        <v>0.4336099585</v>
      </c>
      <c r="R58" s="5">
        <f t="shared" si="9"/>
        <v>43681</v>
      </c>
      <c r="T58" s="5">
        <f t="shared" si="10"/>
        <v>243</v>
      </c>
      <c r="U58" s="19">
        <f t="shared" si="11"/>
        <v>0.5041493776</v>
      </c>
      <c r="V58" s="5">
        <f t="shared" si="12"/>
        <v>59049</v>
      </c>
    </row>
    <row r="59">
      <c r="A59" s="2">
        <v>40625.0</v>
      </c>
      <c r="B59" s="5">
        <v>492.0</v>
      </c>
      <c r="C59" s="5">
        <f t="shared" si="2"/>
        <v>280</v>
      </c>
      <c r="D59" s="5">
        <f t="shared" si="3"/>
        <v>277</v>
      </c>
      <c r="E59" s="5">
        <f t="shared" si="1"/>
        <v>336</v>
      </c>
      <c r="L59" s="5">
        <f t="shared" si="4"/>
        <v>212</v>
      </c>
      <c r="M59" s="19">
        <f t="shared" si="5"/>
        <v>0.4308943089</v>
      </c>
      <c r="N59" s="5">
        <f t="shared" si="6"/>
        <v>44944</v>
      </c>
      <c r="P59" s="5">
        <f t="shared" si="7"/>
        <v>215</v>
      </c>
      <c r="Q59" s="19">
        <f t="shared" si="8"/>
        <v>0.4369918699</v>
      </c>
      <c r="R59" s="5">
        <f t="shared" si="9"/>
        <v>46225</v>
      </c>
      <c r="T59" s="5">
        <f t="shared" si="10"/>
        <v>156</v>
      </c>
      <c r="U59" s="19">
        <f t="shared" si="11"/>
        <v>0.3170731707</v>
      </c>
      <c r="V59" s="5">
        <f t="shared" si="12"/>
        <v>24336</v>
      </c>
    </row>
    <row r="60">
      <c r="A60" s="2">
        <v>40626.0</v>
      </c>
      <c r="B60" s="5">
        <v>30.0</v>
      </c>
      <c r="C60" s="5">
        <f t="shared" si="2"/>
        <v>260</v>
      </c>
      <c r="D60" s="5">
        <f t="shared" si="3"/>
        <v>281</v>
      </c>
      <c r="E60" s="5">
        <f t="shared" si="1"/>
        <v>398</v>
      </c>
      <c r="L60" s="5">
        <f t="shared" si="4"/>
        <v>-230</v>
      </c>
      <c r="M60" s="19">
        <f t="shared" si="5"/>
        <v>7.666666667</v>
      </c>
      <c r="N60" s="5">
        <f t="shared" si="6"/>
        <v>52900</v>
      </c>
      <c r="P60" s="5">
        <f t="shared" si="7"/>
        <v>-251</v>
      </c>
      <c r="Q60" s="19">
        <f t="shared" si="8"/>
        <v>8.366666667</v>
      </c>
      <c r="R60" s="5">
        <f t="shared" si="9"/>
        <v>63001</v>
      </c>
      <c r="T60" s="5">
        <f t="shared" si="10"/>
        <v>-368</v>
      </c>
      <c r="U60" s="19">
        <f t="shared" si="11"/>
        <v>12.26666667</v>
      </c>
      <c r="V60" s="5">
        <f t="shared" si="12"/>
        <v>135424</v>
      </c>
    </row>
    <row r="61">
      <c r="A61" s="2">
        <v>40627.0</v>
      </c>
      <c r="B61" s="5">
        <v>0.0</v>
      </c>
      <c r="C61" s="5">
        <f t="shared" si="2"/>
        <v>266</v>
      </c>
      <c r="D61" s="5">
        <f t="shared" si="3"/>
        <v>277</v>
      </c>
      <c r="E61" s="5">
        <f t="shared" si="1"/>
        <v>251</v>
      </c>
      <c r="L61" s="5">
        <f t="shared" si="4"/>
        <v>-266</v>
      </c>
      <c r="M61" s="19">
        <f t="shared" si="5"/>
        <v>1</v>
      </c>
      <c r="N61" s="5">
        <f t="shared" si="6"/>
        <v>70756</v>
      </c>
      <c r="P61" s="5">
        <f t="shared" si="7"/>
        <v>-277</v>
      </c>
      <c r="Q61" s="19">
        <f t="shared" si="8"/>
        <v>1</v>
      </c>
      <c r="R61" s="5">
        <f t="shared" si="9"/>
        <v>76729</v>
      </c>
      <c r="T61" s="5">
        <f t="shared" si="10"/>
        <v>-251</v>
      </c>
      <c r="U61" s="19">
        <f t="shared" si="11"/>
        <v>1</v>
      </c>
      <c r="V61" s="5">
        <f t="shared" si="12"/>
        <v>63001</v>
      </c>
    </row>
    <row r="62">
      <c r="A62" s="2">
        <v>40630.0</v>
      </c>
      <c r="B62" s="5">
        <v>356.0</v>
      </c>
      <c r="C62" s="5">
        <f t="shared" si="2"/>
        <v>266</v>
      </c>
      <c r="D62" s="5">
        <f t="shared" si="3"/>
        <v>272</v>
      </c>
      <c r="E62" s="5">
        <f t="shared" si="1"/>
        <v>151</v>
      </c>
      <c r="L62" s="5">
        <f t="shared" si="4"/>
        <v>90</v>
      </c>
      <c r="M62" s="19">
        <f t="shared" si="5"/>
        <v>0.2528089888</v>
      </c>
      <c r="N62" s="5">
        <f t="shared" si="6"/>
        <v>8100</v>
      </c>
      <c r="P62" s="5">
        <f t="shared" si="7"/>
        <v>84</v>
      </c>
      <c r="Q62" s="19">
        <f t="shared" si="8"/>
        <v>0.2359550562</v>
      </c>
      <c r="R62" s="5">
        <f t="shared" si="9"/>
        <v>7056</v>
      </c>
      <c r="T62" s="5">
        <f t="shared" si="10"/>
        <v>205</v>
      </c>
      <c r="U62" s="19">
        <f t="shared" si="11"/>
        <v>0.5758426966</v>
      </c>
      <c r="V62" s="5">
        <f t="shared" si="12"/>
        <v>42025</v>
      </c>
    </row>
    <row r="63">
      <c r="A63" s="2">
        <v>40631.0</v>
      </c>
      <c r="B63" s="5">
        <v>464.0</v>
      </c>
      <c r="C63" s="5">
        <f t="shared" si="2"/>
        <v>272</v>
      </c>
      <c r="D63" s="5">
        <f t="shared" si="3"/>
        <v>273</v>
      </c>
      <c r="E63" s="5">
        <f t="shared" si="1"/>
        <v>233</v>
      </c>
      <c r="L63" s="5">
        <f t="shared" si="4"/>
        <v>192</v>
      </c>
      <c r="M63" s="19">
        <f t="shared" si="5"/>
        <v>0.4137931034</v>
      </c>
      <c r="N63" s="5">
        <f t="shared" si="6"/>
        <v>36864</v>
      </c>
      <c r="P63" s="5">
        <f t="shared" si="7"/>
        <v>191</v>
      </c>
      <c r="Q63" s="19">
        <f t="shared" si="8"/>
        <v>0.411637931</v>
      </c>
      <c r="R63" s="5">
        <f t="shared" si="9"/>
        <v>36481</v>
      </c>
      <c r="T63" s="5">
        <f t="shared" si="10"/>
        <v>231</v>
      </c>
      <c r="U63" s="19">
        <f t="shared" si="11"/>
        <v>0.4978448276</v>
      </c>
      <c r="V63" s="5">
        <f t="shared" si="12"/>
        <v>53361</v>
      </c>
    </row>
    <row r="64">
      <c r="A64" s="2">
        <v>40632.0</v>
      </c>
      <c r="B64" s="5">
        <v>498.0</v>
      </c>
      <c r="C64" s="5">
        <f t="shared" si="2"/>
        <v>268</v>
      </c>
      <c r="D64" s="5">
        <f t="shared" si="3"/>
        <v>276</v>
      </c>
      <c r="E64" s="5">
        <f t="shared" si="1"/>
        <v>325</v>
      </c>
      <c r="L64" s="5">
        <f t="shared" si="4"/>
        <v>230</v>
      </c>
      <c r="M64" s="19">
        <f t="shared" si="5"/>
        <v>0.4618473896</v>
      </c>
      <c r="N64" s="5">
        <f t="shared" si="6"/>
        <v>52900</v>
      </c>
      <c r="P64" s="5">
        <f t="shared" si="7"/>
        <v>222</v>
      </c>
      <c r="Q64" s="19">
        <f t="shared" si="8"/>
        <v>0.4457831325</v>
      </c>
      <c r="R64" s="5">
        <f t="shared" si="9"/>
        <v>49284</v>
      </c>
      <c r="T64" s="5">
        <f t="shared" si="10"/>
        <v>173</v>
      </c>
      <c r="U64" s="19">
        <f t="shared" si="11"/>
        <v>0.3473895582</v>
      </c>
      <c r="V64" s="5">
        <f t="shared" si="12"/>
        <v>29929</v>
      </c>
    </row>
    <row r="65">
      <c r="A65" s="2">
        <v>40633.0</v>
      </c>
      <c r="B65" s="5">
        <v>24.0</v>
      </c>
      <c r="C65" s="5">
        <f t="shared" si="2"/>
        <v>270</v>
      </c>
      <c r="D65" s="5">
        <f t="shared" si="3"/>
        <v>280</v>
      </c>
      <c r="E65" s="5">
        <f t="shared" si="1"/>
        <v>394</v>
      </c>
      <c r="L65" s="5">
        <f t="shared" si="4"/>
        <v>-246</v>
      </c>
      <c r="M65" s="19">
        <f t="shared" si="5"/>
        <v>10.25</v>
      </c>
      <c r="N65" s="5">
        <f t="shared" si="6"/>
        <v>60516</v>
      </c>
      <c r="P65" s="5">
        <f t="shared" si="7"/>
        <v>-256</v>
      </c>
      <c r="Q65" s="19">
        <f t="shared" si="8"/>
        <v>10.66666667</v>
      </c>
      <c r="R65" s="5">
        <f t="shared" si="9"/>
        <v>65536</v>
      </c>
      <c r="T65" s="5">
        <f t="shared" si="10"/>
        <v>-370</v>
      </c>
      <c r="U65" s="19">
        <f t="shared" si="11"/>
        <v>15.41666667</v>
      </c>
      <c r="V65" s="5">
        <f t="shared" si="12"/>
        <v>136900</v>
      </c>
    </row>
    <row r="66">
      <c r="A66" s="2">
        <v>40634.0</v>
      </c>
      <c r="B66" s="5">
        <v>0.0</v>
      </c>
      <c r="C66" s="5">
        <f t="shared" si="2"/>
        <v>268</v>
      </c>
      <c r="D66" s="5">
        <f t="shared" si="3"/>
        <v>276</v>
      </c>
      <c r="E66" s="5">
        <f t="shared" si="1"/>
        <v>246</v>
      </c>
      <c r="L66" s="5">
        <f t="shared" si="4"/>
        <v>-268</v>
      </c>
      <c r="M66" s="19">
        <f t="shared" si="5"/>
        <v>1</v>
      </c>
      <c r="N66" s="5">
        <f t="shared" si="6"/>
        <v>71824</v>
      </c>
      <c r="P66" s="5">
        <f t="shared" si="7"/>
        <v>-276</v>
      </c>
      <c r="Q66" s="19">
        <f t="shared" si="8"/>
        <v>1</v>
      </c>
      <c r="R66" s="5">
        <f t="shared" si="9"/>
        <v>76176</v>
      </c>
      <c r="T66" s="5">
        <f t="shared" si="10"/>
        <v>-246</v>
      </c>
      <c r="U66" s="19">
        <f t="shared" si="11"/>
        <v>1</v>
      </c>
      <c r="V66" s="5">
        <f t="shared" si="12"/>
        <v>60516</v>
      </c>
    </row>
    <row r="67">
      <c r="A67" s="2">
        <v>40637.0</v>
      </c>
      <c r="B67" s="5">
        <v>594.0</v>
      </c>
      <c r="C67" s="5">
        <f t="shared" si="2"/>
        <v>268</v>
      </c>
      <c r="D67" s="5">
        <f t="shared" si="3"/>
        <v>272</v>
      </c>
      <c r="E67" s="5">
        <f t="shared" si="1"/>
        <v>148</v>
      </c>
      <c r="L67" s="5">
        <f t="shared" si="4"/>
        <v>326</v>
      </c>
      <c r="M67" s="19">
        <f t="shared" si="5"/>
        <v>0.5488215488</v>
      </c>
      <c r="N67" s="5">
        <f t="shared" si="6"/>
        <v>106276</v>
      </c>
      <c r="P67" s="5">
        <f t="shared" si="7"/>
        <v>322</v>
      </c>
      <c r="Q67" s="19">
        <f t="shared" si="8"/>
        <v>0.5420875421</v>
      </c>
      <c r="R67" s="5">
        <f t="shared" si="9"/>
        <v>103684</v>
      </c>
      <c r="T67" s="5">
        <f t="shared" si="10"/>
        <v>446</v>
      </c>
      <c r="U67" s="19">
        <f t="shared" si="11"/>
        <v>0.7508417508</v>
      </c>
      <c r="V67" s="5">
        <f t="shared" si="12"/>
        <v>198916</v>
      </c>
    </row>
    <row r="68">
      <c r="A68" s="2">
        <v>40638.0</v>
      </c>
      <c r="B68" s="5">
        <v>517.0</v>
      </c>
      <c r="C68" s="5">
        <f t="shared" si="2"/>
        <v>316</v>
      </c>
      <c r="D68" s="5">
        <f t="shared" si="3"/>
        <v>277</v>
      </c>
      <c r="E68" s="5">
        <f t="shared" si="1"/>
        <v>326</v>
      </c>
      <c r="L68" s="5">
        <f t="shared" si="4"/>
        <v>201</v>
      </c>
      <c r="M68" s="19">
        <f t="shared" si="5"/>
        <v>0.3887814313</v>
      </c>
      <c r="N68" s="5">
        <f t="shared" si="6"/>
        <v>40401</v>
      </c>
      <c r="P68" s="5">
        <f t="shared" si="7"/>
        <v>240</v>
      </c>
      <c r="Q68" s="19">
        <f t="shared" si="8"/>
        <v>0.4642166344</v>
      </c>
      <c r="R68" s="5">
        <f t="shared" si="9"/>
        <v>57600</v>
      </c>
      <c r="T68" s="5">
        <f t="shared" si="10"/>
        <v>191</v>
      </c>
      <c r="U68" s="19">
        <f t="shared" si="11"/>
        <v>0.3694390716</v>
      </c>
      <c r="V68" s="5">
        <f t="shared" si="12"/>
        <v>36481</v>
      </c>
    </row>
    <row r="69">
      <c r="A69" s="2">
        <v>40639.0</v>
      </c>
      <c r="B69" s="5">
        <v>444.0</v>
      </c>
      <c r="C69" s="5">
        <f t="shared" si="2"/>
        <v>327</v>
      </c>
      <c r="D69" s="5">
        <f t="shared" si="3"/>
        <v>280</v>
      </c>
      <c r="E69" s="5">
        <f t="shared" si="1"/>
        <v>402</v>
      </c>
      <c r="L69" s="5">
        <f t="shared" si="4"/>
        <v>117</v>
      </c>
      <c r="M69" s="19">
        <f t="shared" si="5"/>
        <v>0.2635135135</v>
      </c>
      <c r="N69" s="5">
        <f t="shared" si="6"/>
        <v>13689</v>
      </c>
      <c r="P69" s="5">
        <f t="shared" si="7"/>
        <v>164</v>
      </c>
      <c r="Q69" s="19">
        <f t="shared" si="8"/>
        <v>0.3693693694</v>
      </c>
      <c r="R69" s="5">
        <f t="shared" si="9"/>
        <v>26896</v>
      </c>
      <c r="T69" s="5">
        <f t="shared" si="10"/>
        <v>42</v>
      </c>
      <c r="U69" s="19">
        <f t="shared" si="11"/>
        <v>0.09459459459</v>
      </c>
      <c r="V69" s="5">
        <f t="shared" si="12"/>
        <v>1764</v>
      </c>
    </row>
    <row r="70">
      <c r="A70" s="2">
        <v>40640.0</v>
      </c>
      <c r="B70" s="5">
        <v>36.0</v>
      </c>
      <c r="C70" s="5">
        <f t="shared" si="2"/>
        <v>316</v>
      </c>
      <c r="D70" s="5">
        <f t="shared" si="3"/>
        <v>283</v>
      </c>
      <c r="E70" s="5">
        <f t="shared" si="1"/>
        <v>419</v>
      </c>
      <c r="L70" s="5">
        <f t="shared" si="4"/>
        <v>-280</v>
      </c>
      <c r="M70" s="19">
        <f t="shared" si="5"/>
        <v>7.777777778</v>
      </c>
      <c r="N70" s="5">
        <f t="shared" si="6"/>
        <v>78400</v>
      </c>
      <c r="P70" s="5">
        <f t="shared" si="7"/>
        <v>-247</v>
      </c>
      <c r="Q70" s="19">
        <f t="shared" si="8"/>
        <v>6.861111111</v>
      </c>
      <c r="R70" s="5">
        <f t="shared" si="9"/>
        <v>61009</v>
      </c>
      <c r="T70" s="5">
        <f t="shared" si="10"/>
        <v>-383</v>
      </c>
      <c r="U70" s="19">
        <f t="shared" si="11"/>
        <v>10.63888889</v>
      </c>
      <c r="V70" s="5">
        <f t="shared" si="12"/>
        <v>146689</v>
      </c>
    </row>
    <row r="71">
      <c r="A71" s="2">
        <v>40641.0</v>
      </c>
      <c r="B71" s="5">
        <v>0.0</v>
      </c>
      <c r="C71" s="5">
        <f t="shared" si="2"/>
        <v>318</v>
      </c>
      <c r="D71" s="5">
        <f t="shared" si="3"/>
        <v>279</v>
      </c>
      <c r="E71" s="5">
        <f t="shared" si="1"/>
        <v>266</v>
      </c>
      <c r="L71" s="5">
        <f t="shared" si="4"/>
        <v>-318</v>
      </c>
      <c r="M71" s="19">
        <f t="shared" si="5"/>
        <v>1</v>
      </c>
      <c r="N71" s="5">
        <f t="shared" si="6"/>
        <v>101124</v>
      </c>
      <c r="P71" s="5">
        <f t="shared" si="7"/>
        <v>-279</v>
      </c>
      <c r="Q71" s="19">
        <f t="shared" si="8"/>
        <v>1</v>
      </c>
      <c r="R71" s="5">
        <f t="shared" si="9"/>
        <v>77841</v>
      </c>
      <c r="T71" s="5">
        <f t="shared" si="10"/>
        <v>-266</v>
      </c>
      <c r="U71" s="19">
        <f t="shared" si="11"/>
        <v>1</v>
      </c>
      <c r="V71" s="5">
        <f t="shared" si="12"/>
        <v>70756</v>
      </c>
    </row>
    <row r="72">
      <c r="A72" s="2">
        <v>40644.0</v>
      </c>
      <c r="B72" s="5">
        <v>396.0</v>
      </c>
      <c r="C72" s="5">
        <f t="shared" si="2"/>
        <v>318</v>
      </c>
      <c r="D72" s="5">
        <f t="shared" si="3"/>
        <v>275</v>
      </c>
      <c r="E72" s="5">
        <f t="shared" si="1"/>
        <v>160</v>
      </c>
      <c r="L72" s="5">
        <f t="shared" si="4"/>
        <v>78</v>
      </c>
      <c r="M72" s="19">
        <f t="shared" si="5"/>
        <v>0.196969697</v>
      </c>
      <c r="N72" s="5">
        <f t="shared" si="6"/>
        <v>6084</v>
      </c>
      <c r="P72" s="5">
        <f t="shared" si="7"/>
        <v>121</v>
      </c>
      <c r="Q72" s="19">
        <f t="shared" si="8"/>
        <v>0.3055555556</v>
      </c>
      <c r="R72" s="5">
        <f t="shared" si="9"/>
        <v>14641</v>
      </c>
      <c r="T72" s="5">
        <f t="shared" si="10"/>
        <v>236</v>
      </c>
      <c r="U72" s="19">
        <f t="shared" si="11"/>
        <v>0.595959596</v>
      </c>
      <c r="V72" s="5">
        <f t="shared" si="12"/>
        <v>55696</v>
      </c>
    </row>
    <row r="73">
      <c r="A73" s="2">
        <v>40645.0</v>
      </c>
      <c r="B73" s="5">
        <v>30.0</v>
      </c>
      <c r="C73" s="5">
        <f t="shared" si="2"/>
        <v>279</v>
      </c>
      <c r="D73" s="5">
        <f t="shared" si="3"/>
        <v>277</v>
      </c>
      <c r="E73" s="5">
        <f t="shared" si="1"/>
        <v>254</v>
      </c>
      <c r="L73" s="5">
        <f t="shared" si="4"/>
        <v>-249</v>
      </c>
      <c r="M73" s="19">
        <f t="shared" si="5"/>
        <v>8.3</v>
      </c>
      <c r="N73" s="5">
        <f t="shared" si="6"/>
        <v>62001</v>
      </c>
      <c r="P73" s="5">
        <f t="shared" si="7"/>
        <v>-247</v>
      </c>
      <c r="Q73" s="19">
        <f t="shared" si="8"/>
        <v>8.233333333</v>
      </c>
      <c r="R73" s="5">
        <f t="shared" si="9"/>
        <v>61009</v>
      </c>
      <c r="T73" s="5">
        <f t="shared" si="10"/>
        <v>-224</v>
      </c>
      <c r="U73" s="19">
        <f t="shared" si="11"/>
        <v>7.466666667</v>
      </c>
      <c r="V73" s="5">
        <f t="shared" si="12"/>
        <v>50176</v>
      </c>
    </row>
    <row r="74">
      <c r="A74" s="2">
        <v>40646.0</v>
      </c>
      <c r="B74" s="5">
        <v>0.0</v>
      </c>
      <c r="C74" s="5">
        <f t="shared" si="2"/>
        <v>181</v>
      </c>
      <c r="D74" s="5">
        <f t="shared" si="3"/>
        <v>273</v>
      </c>
      <c r="E74" s="5">
        <f t="shared" si="1"/>
        <v>164</v>
      </c>
      <c r="L74" s="5">
        <f t="shared" si="4"/>
        <v>-181</v>
      </c>
      <c r="M74" s="19">
        <f t="shared" si="5"/>
        <v>1</v>
      </c>
      <c r="N74" s="5">
        <f t="shared" si="6"/>
        <v>32761</v>
      </c>
      <c r="P74" s="5">
        <f t="shared" si="7"/>
        <v>-273</v>
      </c>
      <c r="Q74" s="19">
        <f t="shared" si="8"/>
        <v>1</v>
      </c>
      <c r="R74" s="5">
        <f t="shared" si="9"/>
        <v>74529</v>
      </c>
      <c r="T74" s="5">
        <f t="shared" si="10"/>
        <v>-164</v>
      </c>
      <c r="U74" s="19">
        <f t="shared" si="11"/>
        <v>1</v>
      </c>
      <c r="V74" s="5">
        <f t="shared" si="12"/>
        <v>26896</v>
      </c>
    </row>
    <row r="75">
      <c r="A75" s="2">
        <v>40647.0</v>
      </c>
      <c r="B75" s="5">
        <v>24.0</v>
      </c>
      <c r="C75" s="5">
        <f t="shared" si="2"/>
        <v>92</v>
      </c>
      <c r="D75" s="5">
        <f t="shared" si="3"/>
        <v>269</v>
      </c>
      <c r="E75" s="5">
        <f t="shared" si="1"/>
        <v>98</v>
      </c>
      <c r="L75" s="5">
        <f t="shared" si="4"/>
        <v>-68</v>
      </c>
      <c r="M75" s="19">
        <f t="shared" si="5"/>
        <v>2.833333333</v>
      </c>
      <c r="N75" s="5">
        <f t="shared" si="6"/>
        <v>4624</v>
      </c>
      <c r="P75" s="5">
        <f t="shared" si="7"/>
        <v>-245</v>
      </c>
      <c r="Q75" s="19">
        <f t="shared" si="8"/>
        <v>10.20833333</v>
      </c>
      <c r="R75" s="5">
        <f t="shared" si="9"/>
        <v>60025</v>
      </c>
      <c r="T75" s="5">
        <f t="shared" si="10"/>
        <v>-74</v>
      </c>
      <c r="U75" s="19">
        <f t="shared" si="11"/>
        <v>3.083333333</v>
      </c>
      <c r="V75" s="5">
        <f t="shared" si="12"/>
        <v>5476</v>
      </c>
    </row>
    <row r="76">
      <c r="A76" s="2">
        <v>40648.0</v>
      </c>
      <c r="B76" s="5">
        <v>0.0</v>
      </c>
      <c r="C76" s="5">
        <f t="shared" si="2"/>
        <v>90</v>
      </c>
      <c r="D76" s="5">
        <f t="shared" si="3"/>
        <v>266</v>
      </c>
      <c r="E76" s="5">
        <f t="shared" si="1"/>
        <v>68</v>
      </c>
      <c r="L76" s="5">
        <f t="shared" si="4"/>
        <v>-90</v>
      </c>
      <c r="M76" s="19">
        <f t="shared" si="5"/>
        <v>1</v>
      </c>
      <c r="N76" s="5">
        <f t="shared" si="6"/>
        <v>8100</v>
      </c>
      <c r="P76" s="5">
        <f t="shared" si="7"/>
        <v>-266</v>
      </c>
      <c r="Q76" s="19">
        <f t="shared" si="8"/>
        <v>1</v>
      </c>
      <c r="R76" s="5">
        <f t="shared" si="9"/>
        <v>70756</v>
      </c>
      <c r="T76" s="5">
        <f t="shared" si="10"/>
        <v>-68</v>
      </c>
      <c r="U76" s="19">
        <f t="shared" si="11"/>
        <v>1</v>
      </c>
      <c r="V76" s="5">
        <f t="shared" si="12"/>
        <v>4624</v>
      </c>
    </row>
    <row r="77">
      <c r="A77" s="2">
        <v>40651.0</v>
      </c>
      <c r="B77" s="5">
        <v>0.0</v>
      </c>
      <c r="C77" s="5">
        <f t="shared" si="2"/>
        <v>90</v>
      </c>
      <c r="D77" s="5">
        <f t="shared" si="3"/>
        <v>262</v>
      </c>
      <c r="E77" s="5">
        <f t="shared" si="1"/>
        <v>41</v>
      </c>
      <c r="L77" s="5">
        <f t="shared" si="4"/>
        <v>-90</v>
      </c>
      <c r="M77" s="19">
        <f t="shared" si="5"/>
        <v>1</v>
      </c>
      <c r="N77" s="5">
        <f t="shared" si="6"/>
        <v>8100</v>
      </c>
      <c r="P77" s="5">
        <f t="shared" si="7"/>
        <v>-262</v>
      </c>
      <c r="Q77" s="19">
        <f t="shared" si="8"/>
        <v>1</v>
      </c>
      <c r="R77" s="5">
        <f t="shared" si="9"/>
        <v>68644</v>
      </c>
      <c r="T77" s="5">
        <f t="shared" si="10"/>
        <v>-41</v>
      </c>
      <c r="U77" s="19">
        <f t="shared" si="11"/>
        <v>1</v>
      </c>
      <c r="V77" s="5">
        <f t="shared" si="12"/>
        <v>1681</v>
      </c>
    </row>
    <row r="78">
      <c r="A78" s="2">
        <v>40652.0</v>
      </c>
      <c r="B78" s="5">
        <v>420.0</v>
      </c>
      <c r="C78" s="5">
        <f t="shared" si="2"/>
        <v>11</v>
      </c>
      <c r="D78" s="5">
        <f t="shared" si="3"/>
        <v>259</v>
      </c>
      <c r="E78" s="5">
        <f t="shared" si="1"/>
        <v>25</v>
      </c>
      <c r="L78" s="5">
        <f t="shared" si="4"/>
        <v>409</v>
      </c>
      <c r="M78" s="19">
        <f t="shared" si="5"/>
        <v>0.9738095238</v>
      </c>
      <c r="N78" s="5">
        <f t="shared" si="6"/>
        <v>167281</v>
      </c>
      <c r="P78" s="5">
        <f t="shared" si="7"/>
        <v>161</v>
      </c>
      <c r="Q78" s="19">
        <f t="shared" si="8"/>
        <v>0.3833333333</v>
      </c>
      <c r="R78" s="5">
        <f t="shared" si="9"/>
        <v>25921</v>
      </c>
      <c r="T78" s="5">
        <f t="shared" si="10"/>
        <v>395</v>
      </c>
      <c r="U78" s="19">
        <f t="shared" si="11"/>
        <v>0.9404761905</v>
      </c>
      <c r="V78" s="5">
        <f t="shared" si="12"/>
        <v>156025</v>
      </c>
    </row>
    <row r="79">
      <c r="A79" s="2">
        <v>40653.0</v>
      </c>
      <c r="B79" s="5">
        <v>1328.0</v>
      </c>
      <c r="C79" s="5">
        <f t="shared" si="2"/>
        <v>89</v>
      </c>
      <c r="D79" s="5">
        <f t="shared" si="3"/>
        <v>261</v>
      </c>
      <c r="E79" s="5">
        <f t="shared" si="1"/>
        <v>183</v>
      </c>
      <c r="L79" s="5">
        <f t="shared" si="4"/>
        <v>1239</v>
      </c>
      <c r="M79" s="19">
        <f t="shared" si="5"/>
        <v>0.9329819277</v>
      </c>
      <c r="N79" s="5">
        <f t="shared" si="6"/>
        <v>1535121</v>
      </c>
      <c r="P79" s="5">
        <f t="shared" si="7"/>
        <v>1067</v>
      </c>
      <c r="Q79" s="19">
        <f t="shared" si="8"/>
        <v>0.8034638554</v>
      </c>
      <c r="R79" s="5">
        <f t="shared" si="9"/>
        <v>1138489</v>
      </c>
      <c r="T79" s="5">
        <f t="shared" si="10"/>
        <v>1145</v>
      </c>
      <c r="U79" s="19">
        <f t="shared" si="11"/>
        <v>0.8621987952</v>
      </c>
      <c r="V79" s="5">
        <f t="shared" si="12"/>
        <v>1311025</v>
      </c>
    </row>
    <row r="80">
      <c r="A80" s="2">
        <v>40654.0</v>
      </c>
      <c r="B80" s="5">
        <v>42.0</v>
      </c>
      <c r="C80" s="5">
        <f t="shared" si="2"/>
        <v>354</v>
      </c>
      <c r="D80" s="5">
        <f t="shared" si="3"/>
        <v>275</v>
      </c>
      <c r="E80" s="5">
        <f t="shared" si="1"/>
        <v>641</v>
      </c>
      <c r="L80" s="5">
        <f t="shared" si="4"/>
        <v>-312</v>
      </c>
      <c r="M80" s="19">
        <f t="shared" si="5"/>
        <v>7.428571429</v>
      </c>
      <c r="N80" s="5">
        <f t="shared" si="6"/>
        <v>97344</v>
      </c>
      <c r="P80" s="5">
        <f t="shared" si="7"/>
        <v>-233</v>
      </c>
      <c r="Q80" s="19">
        <f t="shared" si="8"/>
        <v>5.547619048</v>
      </c>
      <c r="R80" s="5">
        <f t="shared" si="9"/>
        <v>54289</v>
      </c>
      <c r="T80" s="5">
        <f t="shared" si="10"/>
        <v>-599</v>
      </c>
      <c r="U80" s="19">
        <f t="shared" si="11"/>
        <v>14.26190476</v>
      </c>
      <c r="V80" s="5">
        <f t="shared" si="12"/>
        <v>358801</v>
      </c>
    </row>
    <row r="81">
      <c r="A81" s="2">
        <v>40655.0</v>
      </c>
      <c r="B81" s="5">
        <v>0.0</v>
      </c>
      <c r="C81" s="5">
        <f t="shared" si="2"/>
        <v>358</v>
      </c>
      <c r="D81" s="5">
        <f t="shared" si="3"/>
        <v>272</v>
      </c>
      <c r="E81" s="5">
        <f t="shared" si="1"/>
        <v>401</v>
      </c>
      <c r="L81" s="5">
        <f t="shared" si="4"/>
        <v>-358</v>
      </c>
      <c r="M81" s="19">
        <f t="shared" si="5"/>
        <v>1</v>
      </c>
      <c r="N81" s="5">
        <f t="shared" si="6"/>
        <v>128164</v>
      </c>
      <c r="P81" s="5">
        <f t="shared" si="7"/>
        <v>-272</v>
      </c>
      <c r="Q81" s="19">
        <f t="shared" si="8"/>
        <v>1</v>
      </c>
      <c r="R81" s="5">
        <f t="shared" si="9"/>
        <v>73984</v>
      </c>
      <c r="T81" s="5">
        <f t="shared" si="10"/>
        <v>-401</v>
      </c>
      <c r="U81" s="19">
        <f t="shared" si="11"/>
        <v>1</v>
      </c>
      <c r="V81" s="5">
        <f t="shared" si="12"/>
        <v>160801</v>
      </c>
    </row>
    <row r="82">
      <c r="A82" s="2">
        <v>40658.0</v>
      </c>
      <c r="B82" s="5">
        <v>234.0</v>
      </c>
      <c r="C82" s="5">
        <f t="shared" si="2"/>
        <v>358</v>
      </c>
      <c r="D82" s="5">
        <f t="shared" si="3"/>
        <v>268</v>
      </c>
      <c r="E82" s="5">
        <f t="shared" si="1"/>
        <v>241</v>
      </c>
      <c r="L82" s="5">
        <f t="shared" si="4"/>
        <v>-124</v>
      </c>
      <c r="M82" s="19">
        <f t="shared" si="5"/>
        <v>0.5299145299</v>
      </c>
      <c r="N82" s="5">
        <f t="shared" si="6"/>
        <v>15376</v>
      </c>
      <c r="P82" s="5">
        <f t="shared" si="7"/>
        <v>-34</v>
      </c>
      <c r="Q82" s="19">
        <f t="shared" si="8"/>
        <v>0.1452991453</v>
      </c>
      <c r="R82" s="5">
        <f t="shared" si="9"/>
        <v>1156</v>
      </c>
      <c r="T82" s="5">
        <f t="shared" si="10"/>
        <v>-7</v>
      </c>
      <c r="U82" s="19">
        <f t="shared" si="11"/>
        <v>0.02991452991</v>
      </c>
      <c r="V82" s="5">
        <f t="shared" si="12"/>
        <v>49</v>
      </c>
    </row>
    <row r="83">
      <c r="A83" s="2">
        <v>40659.0</v>
      </c>
      <c r="B83" s="5">
        <v>378.0</v>
      </c>
      <c r="C83" s="5">
        <f t="shared" si="2"/>
        <v>405</v>
      </c>
      <c r="D83" s="5">
        <f t="shared" si="3"/>
        <v>268</v>
      </c>
      <c r="E83" s="5">
        <f t="shared" si="1"/>
        <v>238</v>
      </c>
      <c r="L83" s="5">
        <f t="shared" si="4"/>
        <v>-27</v>
      </c>
      <c r="M83" s="19">
        <f t="shared" si="5"/>
        <v>0.07142857143</v>
      </c>
      <c r="N83" s="5">
        <f t="shared" si="6"/>
        <v>729</v>
      </c>
      <c r="P83" s="5">
        <f t="shared" si="7"/>
        <v>110</v>
      </c>
      <c r="Q83" s="19">
        <f t="shared" si="8"/>
        <v>0.291005291</v>
      </c>
      <c r="R83" s="5">
        <f t="shared" si="9"/>
        <v>12100</v>
      </c>
      <c r="T83" s="5">
        <f t="shared" si="10"/>
        <v>140</v>
      </c>
      <c r="U83" s="19">
        <f t="shared" si="11"/>
        <v>0.3703703704</v>
      </c>
      <c r="V83" s="5">
        <f t="shared" si="12"/>
        <v>19600</v>
      </c>
    </row>
    <row r="84">
      <c r="A84" s="2">
        <v>40660.0</v>
      </c>
      <c r="B84" s="5">
        <v>457.0</v>
      </c>
      <c r="C84" s="5">
        <f t="shared" si="2"/>
        <v>396</v>
      </c>
      <c r="D84" s="5">
        <f t="shared" si="3"/>
        <v>269</v>
      </c>
      <c r="E84" s="5">
        <f t="shared" si="1"/>
        <v>294</v>
      </c>
      <c r="L84" s="5">
        <f t="shared" si="4"/>
        <v>61</v>
      </c>
      <c r="M84" s="19">
        <f t="shared" si="5"/>
        <v>0.1334792123</v>
      </c>
      <c r="N84" s="5">
        <f t="shared" si="6"/>
        <v>3721</v>
      </c>
      <c r="P84" s="5">
        <f t="shared" si="7"/>
        <v>188</v>
      </c>
      <c r="Q84" s="19">
        <f t="shared" si="8"/>
        <v>0.4113785558</v>
      </c>
      <c r="R84" s="5">
        <f t="shared" si="9"/>
        <v>35344</v>
      </c>
      <c r="T84" s="5">
        <f t="shared" si="10"/>
        <v>163</v>
      </c>
      <c r="U84" s="19">
        <f t="shared" si="11"/>
        <v>0.3566739606</v>
      </c>
      <c r="V84" s="5">
        <f t="shared" si="12"/>
        <v>26569</v>
      </c>
    </row>
    <row r="85">
      <c r="A85" s="2">
        <v>40661.0</v>
      </c>
      <c r="B85" s="5">
        <v>18.0</v>
      </c>
      <c r="C85" s="5">
        <f t="shared" si="2"/>
        <v>222</v>
      </c>
      <c r="D85" s="5">
        <f t="shared" si="3"/>
        <v>272</v>
      </c>
      <c r="E85" s="5">
        <f t="shared" si="1"/>
        <v>359</v>
      </c>
      <c r="L85" s="5">
        <f t="shared" si="4"/>
        <v>-204</v>
      </c>
      <c r="M85" s="19">
        <f t="shared" si="5"/>
        <v>11.33333333</v>
      </c>
      <c r="N85" s="5">
        <f t="shared" si="6"/>
        <v>41616</v>
      </c>
      <c r="P85" s="5">
        <f t="shared" si="7"/>
        <v>-254</v>
      </c>
      <c r="Q85" s="19">
        <f t="shared" si="8"/>
        <v>14.11111111</v>
      </c>
      <c r="R85" s="5">
        <f t="shared" si="9"/>
        <v>64516</v>
      </c>
      <c r="T85" s="5">
        <f t="shared" si="10"/>
        <v>-341</v>
      </c>
      <c r="U85" s="19">
        <f t="shared" si="11"/>
        <v>18.94444444</v>
      </c>
      <c r="V85" s="5">
        <f t="shared" si="12"/>
        <v>116281</v>
      </c>
    </row>
    <row r="86">
      <c r="A86" s="2">
        <v>40662.0</v>
      </c>
      <c r="B86" s="5">
        <v>0.0</v>
      </c>
      <c r="C86" s="5">
        <f t="shared" si="2"/>
        <v>217</v>
      </c>
      <c r="D86" s="5">
        <f t="shared" si="3"/>
        <v>269</v>
      </c>
      <c r="E86" s="5">
        <f t="shared" si="1"/>
        <v>223</v>
      </c>
      <c r="L86" s="5">
        <f t="shared" si="4"/>
        <v>-217</v>
      </c>
      <c r="M86" s="19">
        <f t="shared" si="5"/>
        <v>1</v>
      </c>
      <c r="N86" s="5">
        <f t="shared" si="6"/>
        <v>47089</v>
      </c>
      <c r="P86" s="5">
        <f t="shared" si="7"/>
        <v>-269</v>
      </c>
      <c r="Q86" s="19">
        <f t="shared" si="8"/>
        <v>1</v>
      </c>
      <c r="R86" s="5">
        <f t="shared" si="9"/>
        <v>72361</v>
      </c>
      <c r="T86" s="5">
        <f t="shared" si="10"/>
        <v>-223</v>
      </c>
      <c r="U86" s="19">
        <f t="shared" si="11"/>
        <v>1</v>
      </c>
      <c r="V86" s="5">
        <f t="shared" si="12"/>
        <v>49729</v>
      </c>
    </row>
    <row r="87">
      <c r="A87" s="4">
        <v>40665.0</v>
      </c>
      <c r="B87" s="5">
        <v>354.0</v>
      </c>
      <c r="C87" s="5">
        <f t="shared" si="2"/>
        <v>217</v>
      </c>
      <c r="D87" s="5">
        <f t="shared" si="3"/>
        <v>265</v>
      </c>
      <c r="E87" s="5">
        <f t="shared" si="1"/>
        <v>134</v>
      </c>
      <c r="L87" s="5">
        <f t="shared" si="4"/>
        <v>137</v>
      </c>
      <c r="M87" s="19">
        <f t="shared" si="5"/>
        <v>0.3870056497</v>
      </c>
      <c r="N87" s="5">
        <f t="shared" si="6"/>
        <v>18769</v>
      </c>
      <c r="P87" s="5">
        <f t="shared" si="7"/>
        <v>89</v>
      </c>
      <c r="Q87" s="19">
        <f t="shared" si="8"/>
        <v>0.2514124294</v>
      </c>
      <c r="R87" s="5">
        <f t="shared" si="9"/>
        <v>7921</v>
      </c>
      <c r="T87" s="5">
        <f t="shared" si="10"/>
        <v>220</v>
      </c>
      <c r="U87" s="19">
        <f t="shared" si="11"/>
        <v>0.6214689266</v>
      </c>
      <c r="V87" s="5">
        <f t="shared" si="12"/>
        <v>48400</v>
      </c>
    </row>
    <row r="88">
      <c r="A88" s="4">
        <v>40666.0</v>
      </c>
      <c r="B88" s="5">
        <v>396.0</v>
      </c>
      <c r="C88" s="5">
        <f t="shared" si="2"/>
        <v>241</v>
      </c>
      <c r="D88" s="5">
        <f t="shared" si="3"/>
        <v>266</v>
      </c>
      <c r="E88" s="5">
        <f t="shared" si="1"/>
        <v>222</v>
      </c>
      <c r="L88" s="5">
        <f t="shared" si="4"/>
        <v>155</v>
      </c>
      <c r="M88" s="19">
        <f t="shared" si="5"/>
        <v>0.3914141414</v>
      </c>
      <c r="N88" s="5">
        <f t="shared" si="6"/>
        <v>24025</v>
      </c>
      <c r="P88" s="5">
        <f t="shared" si="7"/>
        <v>130</v>
      </c>
      <c r="Q88" s="19">
        <f t="shared" si="8"/>
        <v>0.3282828283</v>
      </c>
      <c r="R88" s="5">
        <f t="shared" si="9"/>
        <v>16900</v>
      </c>
      <c r="T88" s="5">
        <f t="shared" si="10"/>
        <v>174</v>
      </c>
      <c r="U88" s="19">
        <f t="shared" si="11"/>
        <v>0.4393939394</v>
      </c>
      <c r="V88" s="5">
        <f t="shared" si="12"/>
        <v>30276</v>
      </c>
    </row>
    <row r="89">
      <c r="A89" s="4">
        <v>40667.0</v>
      </c>
      <c r="B89" s="5">
        <v>528.0</v>
      </c>
      <c r="C89" s="5">
        <f t="shared" si="2"/>
        <v>245</v>
      </c>
      <c r="D89" s="5">
        <f t="shared" si="3"/>
        <v>268</v>
      </c>
      <c r="E89" s="5">
        <f t="shared" si="1"/>
        <v>292</v>
      </c>
      <c r="L89" s="5">
        <f t="shared" si="4"/>
        <v>283</v>
      </c>
      <c r="M89" s="19">
        <f t="shared" si="5"/>
        <v>0.5359848485</v>
      </c>
      <c r="N89" s="5">
        <f t="shared" si="6"/>
        <v>80089</v>
      </c>
      <c r="P89" s="5">
        <f t="shared" si="7"/>
        <v>260</v>
      </c>
      <c r="Q89" s="19">
        <f t="shared" si="8"/>
        <v>0.4924242424</v>
      </c>
      <c r="R89" s="5">
        <f t="shared" si="9"/>
        <v>67600</v>
      </c>
      <c r="T89" s="5">
        <f t="shared" si="10"/>
        <v>236</v>
      </c>
      <c r="U89" s="19">
        <f t="shared" si="11"/>
        <v>0.446969697</v>
      </c>
      <c r="V89" s="5">
        <f t="shared" si="12"/>
        <v>55696</v>
      </c>
    </row>
    <row r="90">
      <c r="A90" s="4">
        <v>40668.0</v>
      </c>
      <c r="B90" s="5">
        <v>6.0</v>
      </c>
      <c r="C90" s="5">
        <f t="shared" si="2"/>
        <v>259</v>
      </c>
      <c r="D90" s="5">
        <f t="shared" si="3"/>
        <v>271</v>
      </c>
      <c r="E90" s="5">
        <f t="shared" si="1"/>
        <v>386</v>
      </c>
      <c r="L90" s="5">
        <f t="shared" si="4"/>
        <v>-253</v>
      </c>
      <c r="M90" s="19">
        <f t="shared" si="5"/>
        <v>42.16666667</v>
      </c>
      <c r="N90" s="5">
        <f t="shared" si="6"/>
        <v>64009</v>
      </c>
      <c r="P90" s="5">
        <f t="shared" si="7"/>
        <v>-265</v>
      </c>
      <c r="Q90" s="19">
        <f t="shared" si="8"/>
        <v>44.16666667</v>
      </c>
      <c r="R90" s="5">
        <f t="shared" si="9"/>
        <v>70225</v>
      </c>
      <c r="T90" s="5">
        <f t="shared" si="10"/>
        <v>-380</v>
      </c>
      <c r="U90" s="19">
        <f t="shared" si="11"/>
        <v>63.33333333</v>
      </c>
      <c r="V90" s="5">
        <f t="shared" si="12"/>
        <v>144400</v>
      </c>
    </row>
    <row r="91">
      <c r="A91" s="4">
        <v>40669.0</v>
      </c>
      <c r="B91" s="5">
        <v>0.0</v>
      </c>
      <c r="C91" s="5">
        <f t="shared" si="2"/>
        <v>257</v>
      </c>
      <c r="D91" s="5">
        <f t="shared" si="3"/>
        <v>268</v>
      </c>
      <c r="E91" s="5">
        <f t="shared" si="1"/>
        <v>234</v>
      </c>
      <c r="L91" s="5">
        <f t="shared" si="4"/>
        <v>-257</v>
      </c>
      <c r="M91" s="19">
        <f t="shared" si="5"/>
        <v>1</v>
      </c>
      <c r="N91" s="5">
        <f t="shared" si="6"/>
        <v>66049</v>
      </c>
      <c r="P91" s="5">
        <f t="shared" si="7"/>
        <v>-268</v>
      </c>
      <c r="Q91" s="19">
        <f t="shared" si="8"/>
        <v>1</v>
      </c>
      <c r="R91" s="5">
        <f t="shared" si="9"/>
        <v>71824</v>
      </c>
      <c r="T91" s="5">
        <f t="shared" si="10"/>
        <v>-234</v>
      </c>
      <c r="U91" s="19">
        <f t="shared" si="11"/>
        <v>1</v>
      </c>
      <c r="V91" s="5">
        <f t="shared" si="12"/>
        <v>54756</v>
      </c>
    </row>
    <row r="92">
      <c r="A92" s="4">
        <v>40672.0</v>
      </c>
      <c r="B92" s="5">
        <v>312.0</v>
      </c>
      <c r="C92" s="5">
        <f t="shared" si="2"/>
        <v>257</v>
      </c>
      <c r="D92" s="5">
        <f t="shared" si="3"/>
        <v>265</v>
      </c>
      <c r="E92" s="5">
        <f t="shared" si="1"/>
        <v>140</v>
      </c>
      <c r="L92" s="5">
        <f t="shared" si="4"/>
        <v>55</v>
      </c>
      <c r="M92" s="19">
        <f t="shared" si="5"/>
        <v>0.1762820513</v>
      </c>
      <c r="N92" s="5">
        <f t="shared" si="6"/>
        <v>3025</v>
      </c>
      <c r="P92" s="5">
        <f t="shared" si="7"/>
        <v>47</v>
      </c>
      <c r="Q92" s="19">
        <f t="shared" si="8"/>
        <v>0.1506410256</v>
      </c>
      <c r="R92" s="5">
        <f t="shared" si="9"/>
        <v>2209</v>
      </c>
      <c r="T92" s="5">
        <f t="shared" si="10"/>
        <v>172</v>
      </c>
      <c r="U92" s="19">
        <f t="shared" si="11"/>
        <v>0.5512820513</v>
      </c>
      <c r="V92" s="5">
        <f t="shared" si="12"/>
        <v>29584</v>
      </c>
    </row>
    <row r="93">
      <c r="A93" s="4">
        <v>40673.0</v>
      </c>
      <c r="B93" s="5">
        <v>432.0</v>
      </c>
      <c r="C93" s="5">
        <f t="shared" si="2"/>
        <v>248</v>
      </c>
      <c r="D93" s="5">
        <f t="shared" si="3"/>
        <v>265</v>
      </c>
      <c r="E93" s="5">
        <f t="shared" si="1"/>
        <v>209</v>
      </c>
      <c r="L93" s="5">
        <f t="shared" si="4"/>
        <v>184</v>
      </c>
      <c r="M93" s="19">
        <f t="shared" si="5"/>
        <v>0.4259259259</v>
      </c>
      <c r="N93" s="5">
        <f t="shared" si="6"/>
        <v>33856</v>
      </c>
      <c r="P93" s="5">
        <f t="shared" si="7"/>
        <v>167</v>
      </c>
      <c r="Q93" s="19">
        <f t="shared" si="8"/>
        <v>0.3865740741</v>
      </c>
      <c r="R93" s="5">
        <f t="shared" si="9"/>
        <v>27889</v>
      </c>
      <c r="T93" s="5">
        <f t="shared" si="10"/>
        <v>223</v>
      </c>
      <c r="U93" s="19">
        <f t="shared" si="11"/>
        <v>0.5162037037</v>
      </c>
      <c r="V93" s="5">
        <f t="shared" si="12"/>
        <v>49729</v>
      </c>
    </row>
    <row r="94">
      <c r="A94" s="4">
        <v>40674.0</v>
      </c>
      <c r="B94" s="5">
        <v>396.0</v>
      </c>
      <c r="C94" s="5">
        <f t="shared" si="2"/>
        <v>256</v>
      </c>
      <c r="D94" s="5">
        <f t="shared" si="3"/>
        <v>267</v>
      </c>
      <c r="E94" s="5">
        <f t="shared" si="1"/>
        <v>298</v>
      </c>
      <c r="L94" s="5">
        <f t="shared" si="4"/>
        <v>140</v>
      </c>
      <c r="M94" s="19">
        <f t="shared" si="5"/>
        <v>0.3535353535</v>
      </c>
      <c r="N94" s="5">
        <f t="shared" si="6"/>
        <v>19600</v>
      </c>
      <c r="P94" s="5">
        <f t="shared" si="7"/>
        <v>129</v>
      </c>
      <c r="Q94" s="19">
        <f t="shared" si="8"/>
        <v>0.3257575758</v>
      </c>
      <c r="R94" s="5">
        <f t="shared" si="9"/>
        <v>16641</v>
      </c>
      <c r="T94" s="5">
        <f t="shared" si="10"/>
        <v>98</v>
      </c>
      <c r="U94" s="19">
        <f t="shared" si="11"/>
        <v>0.2474747475</v>
      </c>
      <c r="V94" s="5">
        <f t="shared" si="12"/>
        <v>9604</v>
      </c>
    </row>
    <row r="95">
      <c r="A95" s="4">
        <v>40675.0</v>
      </c>
      <c r="B95" s="5">
        <v>6.0</v>
      </c>
      <c r="C95" s="5">
        <f t="shared" si="2"/>
        <v>229</v>
      </c>
      <c r="D95" s="5">
        <f t="shared" si="3"/>
        <v>269</v>
      </c>
      <c r="E95" s="5">
        <f t="shared" si="1"/>
        <v>337</v>
      </c>
      <c r="L95" s="5">
        <f t="shared" si="4"/>
        <v>-223</v>
      </c>
      <c r="M95" s="19">
        <f t="shared" si="5"/>
        <v>37.16666667</v>
      </c>
      <c r="N95" s="5">
        <f t="shared" si="6"/>
        <v>49729</v>
      </c>
      <c r="P95" s="5">
        <f t="shared" si="7"/>
        <v>-263</v>
      </c>
      <c r="Q95" s="19">
        <f t="shared" si="8"/>
        <v>43.83333333</v>
      </c>
      <c r="R95" s="5">
        <f t="shared" si="9"/>
        <v>69169</v>
      </c>
      <c r="T95" s="5">
        <f t="shared" si="10"/>
        <v>-331</v>
      </c>
      <c r="U95" s="19">
        <f t="shared" si="11"/>
        <v>55.16666667</v>
      </c>
      <c r="V95" s="5">
        <f t="shared" si="12"/>
        <v>109561</v>
      </c>
    </row>
    <row r="96">
      <c r="A96" s="4">
        <v>40676.0</v>
      </c>
      <c r="B96" s="5">
        <v>0.0</v>
      </c>
      <c r="C96" s="5">
        <f t="shared" si="2"/>
        <v>229</v>
      </c>
      <c r="D96" s="5">
        <f t="shared" si="3"/>
        <v>266</v>
      </c>
      <c r="E96" s="5">
        <f t="shared" si="1"/>
        <v>205</v>
      </c>
      <c r="L96" s="5">
        <f t="shared" si="4"/>
        <v>-229</v>
      </c>
      <c r="M96" s="19">
        <f t="shared" si="5"/>
        <v>1</v>
      </c>
      <c r="N96" s="5">
        <f t="shared" si="6"/>
        <v>52441</v>
      </c>
      <c r="P96" s="5">
        <f t="shared" si="7"/>
        <v>-266</v>
      </c>
      <c r="Q96" s="19">
        <f t="shared" si="8"/>
        <v>1</v>
      </c>
      <c r="R96" s="5">
        <f t="shared" si="9"/>
        <v>70756</v>
      </c>
      <c r="T96" s="5">
        <f t="shared" si="10"/>
        <v>-205</v>
      </c>
      <c r="U96" s="19">
        <f t="shared" si="11"/>
        <v>1</v>
      </c>
      <c r="V96" s="5">
        <f t="shared" si="12"/>
        <v>42025</v>
      </c>
    </row>
    <row r="97">
      <c r="A97" s="4">
        <v>40679.0</v>
      </c>
      <c r="B97" s="5">
        <v>240.0</v>
      </c>
      <c r="C97" s="5">
        <f t="shared" si="2"/>
        <v>229</v>
      </c>
      <c r="D97" s="5">
        <f t="shared" si="3"/>
        <v>263</v>
      </c>
      <c r="E97" s="5">
        <f t="shared" si="1"/>
        <v>123</v>
      </c>
      <c r="L97" s="5">
        <f t="shared" si="4"/>
        <v>11</v>
      </c>
      <c r="M97" s="19">
        <f t="shared" si="5"/>
        <v>0.04583333333</v>
      </c>
      <c r="N97" s="5">
        <f t="shared" si="6"/>
        <v>121</v>
      </c>
      <c r="P97" s="5">
        <f t="shared" si="7"/>
        <v>-23</v>
      </c>
      <c r="Q97" s="19">
        <f t="shared" si="8"/>
        <v>0.09583333333</v>
      </c>
      <c r="R97" s="5">
        <f t="shared" si="9"/>
        <v>529</v>
      </c>
      <c r="T97" s="5">
        <f t="shared" si="10"/>
        <v>117</v>
      </c>
      <c r="U97" s="19">
        <f t="shared" si="11"/>
        <v>0.4875</v>
      </c>
      <c r="V97" s="5">
        <f t="shared" si="12"/>
        <v>13689</v>
      </c>
    </row>
    <row r="98">
      <c r="A98" s="4">
        <v>40680.0</v>
      </c>
      <c r="B98" s="5">
        <v>414.0</v>
      </c>
      <c r="C98" s="5">
        <f t="shared" si="2"/>
        <v>215</v>
      </c>
      <c r="D98" s="5">
        <f t="shared" si="3"/>
        <v>263</v>
      </c>
      <c r="E98" s="5">
        <f t="shared" si="1"/>
        <v>170</v>
      </c>
      <c r="L98" s="5">
        <f t="shared" si="4"/>
        <v>199</v>
      </c>
      <c r="M98" s="19">
        <f t="shared" si="5"/>
        <v>0.4806763285</v>
      </c>
      <c r="N98" s="5">
        <f t="shared" si="6"/>
        <v>39601</v>
      </c>
      <c r="P98" s="5">
        <f t="shared" si="7"/>
        <v>151</v>
      </c>
      <c r="Q98" s="19">
        <f t="shared" si="8"/>
        <v>0.3647342995</v>
      </c>
      <c r="R98" s="5">
        <f t="shared" si="9"/>
        <v>22801</v>
      </c>
      <c r="T98" s="5">
        <f t="shared" si="10"/>
        <v>244</v>
      </c>
      <c r="U98" s="19">
        <f t="shared" si="11"/>
        <v>0.5893719807</v>
      </c>
      <c r="V98" s="5">
        <f t="shared" si="12"/>
        <v>59536</v>
      </c>
    </row>
    <row r="99">
      <c r="A99" s="4">
        <v>40681.0</v>
      </c>
      <c r="B99" s="5">
        <v>684.0</v>
      </c>
      <c r="C99" s="5">
        <f t="shared" si="2"/>
        <v>211</v>
      </c>
      <c r="D99" s="5">
        <f t="shared" si="3"/>
        <v>264</v>
      </c>
      <c r="E99" s="5">
        <f t="shared" si="1"/>
        <v>268</v>
      </c>
      <c r="L99" s="5">
        <f t="shared" si="4"/>
        <v>473</v>
      </c>
      <c r="M99" s="19">
        <f t="shared" si="5"/>
        <v>0.6915204678</v>
      </c>
      <c r="N99" s="5">
        <f t="shared" si="6"/>
        <v>223729</v>
      </c>
      <c r="P99" s="5">
        <f t="shared" si="7"/>
        <v>420</v>
      </c>
      <c r="Q99" s="19">
        <f t="shared" si="8"/>
        <v>0.6140350877</v>
      </c>
      <c r="R99" s="5">
        <f t="shared" si="9"/>
        <v>176400</v>
      </c>
      <c r="T99" s="5">
        <f t="shared" si="10"/>
        <v>416</v>
      </c>
      <c r="U99" s="19">
        <f t="shared" si="11"/>
        <v>0.6081871345</v>
      </c>
      <c r="V99" s="5">
        <f t="shared" si="12"/>
        <v>173056</v>
      </c>
    </row>
    <row r="100">
      <c r="A100" s="4">
        <v>40682.0</v>
      </c>
      <c r="B100" s="5">
        <v>0.0</v>
      </c>
      <c r="C100" s="5">
        <f t="shared" si="2"/>
        <v>269</v>
      </c>
      <c r="D100" s="5">
        <f t="shared" si="3"/>
        <v>269</v>
      </c>
      <c r="E100" s="5">
        <f t="shared" si="1"/>
        <v>434</v>
      </c>
      <c r="L100" s="5">
        <f t="shared" si="4"/>
        <v>-269</v>
      </c>
      <c r="M100" s="19">
        <f t="shared" si="5"/>
        <v>1</v>
      </c>
      <c r="N100" s="5">
        <f t="shared" si="6"/>
        <v>72361</v>
      </c>
      <c r="P100" s="5">
        <f t="shared" si="7"/>
        <v>-269</v>
      </c>
      <c r="Q100" s="19">
        <f t="shared" si="8"/>
        <v>1</v>
      </c>
      <c r="R100" s="5">
        <f t="shared" si="9"/>
        <v>72361</v>
      </c>
      <c r="T100" s="5">
        <f t="shared" si="10"/>
        <v>-434</v>
      </c>
      <c r="U100" s="19">
        <f t="shared" si="11"/>
        <v>1</v>
      </c>
      <c r="V100" s="5">
        <f t="shared" si="12"/>
        <v>188356</v>
      </c>
    </row>
    <row r="101">
      <c r="A101" s="4">
        <v>40683.0</v>
      </c>
      <c r="B101" s="5">
        <v>0.0</v>
      </c>
      <c r="C101" s="5">
        <f t="shared" si="2"/>
        <v>268</v>
      </c>
      <c r="D101" s="5">
        <f t="shared" si="3"/>
        <v>266</v>
      </c>
      <c r="E101" s="5">
        <f t="shared" si="1"/>
        <v>260</v>
      </c>
      <c r="L101" s="5">
        <f t="shared" si="4"/>
        <v>-268</v>
      </c>
      <c r="M101" s="19">
        <f t="shared" si="5"/>
        <v>1</v>
      </c>
      <c r="N101" s="5">
        <f t="shared" si="6"/>
        <v>71824</v>
      </c>
      <c r="P101" s="5">
        <f t="shared" si="7"/>
        <v>-266</v>
      </c>
      <c r="Q101" s="19">
        <f t="shared" si="8"/>
        <v>1</v>
      </c>
      <c r="R101" s="5">
        <f t="shared" si="9"/>
        <v>70756</v>
      </c>
      <c r="T101" s="5">
        <f t="shared" si="10"/>
        <v>-260</v>
      </c>
      <c r="U101" s="19">
        <f t="shared" si="11"/>
        <v>1</v>
      </c>
      <c r="V101" s="5">
        <f t="shared" si="12"/>
        <v>67600</v>
      </c>
    </row>
    <row r="102">
      <c r="A102" s="4">
        <v>40686.0</v>
      </c>
      <c r="B102" s="5">
        <v>366.0</v>
      </c>
      <c r="C102" s="5">
        <f t="shared" si="2"/>
        <v>268</v>
      </c>
      <c r="D102" s="5">
        <f t="shared" si="3"/>
        <v>263</v>
      </c>
      <c r="E102" s="5">
        <f t="shared" si="1"/>
        <v>156</v>
      </c>
      <c r="L102" s="5">
        <f t="shared" si="4"/>
        <v>98</v>
      </c>
      <c r="M102" s="19">
        <f t="shared" si="5"/>
        <v>0.2677595628</v>
      </c>
      <c r="N102" s="5">
        <f t="shared" si="6"/>
        <v>9604</v>
      </c>
      <c r="P102" s="5">
        <f t="shared" si="7"/>
        <v>103</v>
      </c>
      <c r="Q102" s="19">
        <f t="shared" si="8"/>
        <v>0.281420765</v>
      </c>
      <c r="R102" s="5">
        <f t="shared" si="9"/>
        <v>10609</v>
      </c>
      <c r="T102" s="5">
        <f t="shared" si="10"/>
        <v>210</v>
      </c>
      <c r="U102" s="19">
        <f t="shared" si="11"/>
        <v>0.5737704918</v>
      </c>
      <c r="V102" s="5">
        <f t="shared" si="12"/>
        <v>44100</v>
      </c>
    </row>
    <row r="103">
      <c r="A103" s="4">
        <v>40687.0</v>
      </c>
      <c r="B103" s="5">
        <v>432.0</v>
      </c>
      <c r="C103" s="5">
        <f t="shared" si="2"/>
        <v>293</v>
      </c>
      <c r="D103" s="5">
        <f t="shared" si="3"/>
        <v>264</v>
      </c>
      <c r="E103" s="5">
        <f t="shared" si="1"/>
        <v>240</v>
      </c>
      <c r="L103" s="5">
        <f t="shared" si="4"/>
        <v>139</v>
      </c>
      <c r="M103" s="19">
        <f t="shared" si="5"/>
        <v>0.3217592593</v>
      </c>
      <c r="N103" s="5">
        <f t="shared" si="6"/>
        <v>19321</v>
      </c>
      <c r="P103" s="5">
        <f t="shared" si="7"/>
        <v>168</v>
      </c>
      <c r="Q103" s="19">
        <f t="shared" si="8"/>
        <v>0.3888888889</v>
      </c>
      <c r="R103" s="5">
        <f t="shared" si="9"/>
        <v>28224</v>
      </c>
      <c r="T103" s="5">
        <f t="shared" si="10"/>
        <v>192</v>
      </c>
      <c r="U103" s="19">
        <f t="shared" si="11"/>
        <v>0.4444444444</v>
      </c>
      <c r="V103" s="5">
        <f t="shared" si="12"/>
        <v>36864</v>
      </c>
    </row>
    <row r="104">
      <c r="A104" s="4">
        <v>40688.0</v>
      </c>
      <c r="B104" s="5">
        <v>606.0</v>
      </c>
      <c r="C104" s="5">
        <f t="shared" si="2"/>
        <v>296</v>
      </c>
      <c r="D104" s="5">
        <f t="shared" si="3"/>
        <v>266</v>
      </c>
      <c r="E104" s="5">
        <f t="shared" si="1"/>
        <v>317</v>
      </c>
      <c r="L104" s="5">
        <f t="shared" si="4"/>
        <v>310</v>
      </c>
      <c r="M104" s="19">
        <f t="shared" si="5"/>
        <v>0.5115511551</v>
      </c>
      <c r="N104" s="5">
        <f t="shared" si="6"/>
        <v>96100</v>
      </c>
      <c r="P104" s="5">
        <f t="shared" si="7"/>
        <v>340</v>
      </c>
      <c r="Q104" s="19">
        <f t="shared" si="8"/>
        <v>0.5610561056</v>
      </c>
      <c r="R104" s="5">
        <f t="shared" si="9"/>
        <v>115600</v>
      </c>
      <c r="T104" s="5">
        <f t="shared" si="10"/>
        <v>289</v>
      </c>
      <c r="U104" s="19">
        <f t="shared" si="11"/>
        <v>0.4768976898</v>
      </c>
      <c r="V104" s="5">
        <f t="shared" si="12"/>
        <v>83521</v>
      </c>
    </row>
    <row r="105">
      <c r="A105" s="4">
        <v>40689.0</v>
      </c>
      <c r="B105" s="5">
        <v>30.0</v>
      </c>
      <c r="C105" s="5">
        <f t="shared" si="2"/>
        <v>281</v>
      </c>
      <c r="D105" s="5">
        <f t="shared" si="3"/>
        <v>269</v>
      </c>
      <c r="E105" s="5">
        <f t="shared" si="1"/>
        <v>433</v>
      </c>
      <c r="L105" s="5">
        <f t="shared" si="4"/>
        <v>-251</v>
      </c>
      <c r="M105" s="19">
        <f t="shared" si="5"/>
        <v>8.366666667</v>
      </c>
      <c r="N105" s="5">
        <f t="shared" si="6"/>
        <v>63001</v>
      </c>
      <c r="P105" s="5">
        <f t="shared" si="7"/>
        <v>-239</v>
      </c>
      <c r="Q105" s="19">
        <f t="shared" si="8"/>
        <v>7.966666667</v>
      </c>
      <c r="R105" s="5">
        <f t="shared" si="9"/>
        <v>57121</v>
      </c>
      <c r="T105" s="5">
        <f t="shared" si="10"/>
        <v>-403</v>
      </c>
      <c r="U105" s="19">
        <f t="shared" si="11"/>
        <v>13.43333333</v>
      </c>
      <c r="V105" s="5">
        <f t="shared" si="12"/>
        <v>162409</v>
      </c>
    </row>
    <row r="106">
      <c r="A106" s="4">
        <v>40690.0</v>
      </c>
      <c r="B106" s="5">
        <v>0.0</v>
      </c>
      <c r="C106" s="5">
        <f t="shared" si="2"/>
        <v>287</v>
      </c>
      <c r="D106" s="5">
        <f t="shared" si="3"/>
        <v>267</v>
      </c>
      <c r="E106" s="5">
        <f t="shared" si="1"/>
        <v>272</v>
      </c>
      <c r="L106" s="5">
        <f t="shared" si="4"/>
        <v>-287</v>
      </c>
      <c r="M106" s="19">
        <f t="shared" si="5"/>
        <v>1</v>
      </c>
      <c r="N106" s="5">
        <f t="shared" si="6"/>
        <v>82369</v>
      </c>
      <c r="P106" s="5">
        <f t="shared" si="7"/>
        <v>-267</v>
      </c>
      <c r="Q106" s="19">
        <f t="shared" si="8"/>
        <v>1</v>
      </c>
      <c r="R106" s="5">
        <f t="shared" si="9"/>
        <v>71289</v>
      </c>
      <c r="T106" s="5">
        <f t="shared" si="10"/>
        <v>-272</v>
      </c>
      <c r="U106" s="19">
        <f t="shared" si="11"/>
        <v>1</v>
      </c>
      <c r="V106" s="5">
        <f t="shared" si="12"/>
        <v>73984</v>
      </c>
    </row>
    <row r="107">
      <c r="A107" s="4">
        <v>40694.0</v>
      </c>
      <c r="B107" s="5">
        <v>708.0</v>
      </c>
      <c r="C107" s="5">
        <f t="shared" si="2"/>
        <v>287</v>
      </c>
      <c r="D107" s="5">
        <f t="shared" si="3"/>
        <v>264</v>
      </c>
      <c r="E107" s="5">
        <f t="shared" si="1"/>
        <v>163</v>
      </c>
      <c r="L107" s="5">
        <f t="shared" si="4"/>
        <v>421</v>
      </c>
      <c r="M107" s="19">
        <f t="shared" si="5"/>
        <v>0.5946327684</v>
      </c>
      <c r="N107" s="5">
        <f t="shared" si="6"/>
        <v>177241</v>
      </c>
      <c r="P107" s="5">
        <f t="shared" si="7"/>
        <v>444</v>
      </c>
      <c r="Q107" s="19">
        <f t="shared" si="8"/>
        <v>0.6271186441</v>
      </c>
      <c r="R107" s="5">
        <f t="shared" si="9"/>
        <v>197136</v>
      </c>
      <c r="T107" s="5">
        <f t="shared" si="10"/>
        <v>545</v>
      </c>
      <c r="U107" s="19">
        <f t="shared" si="11"/>
        <v>0.7697740113</v>
      </c>
      <c r="V107" s="5">
        <f t="shared" si="12"/>
        <v>297025</v>
      </c>
    </row>
    <row r="108">
      <c r="A108" s="2">
        <v>40695.0</v>
      </c>
      <c r="B108" s="5">
        <v>342.0</v>
      </c>
      <c r="C108" s="5">
        <f t="shared" si="2"/>
        <v>355</v>
      </c>
      <c r="D108" s="5">
        <f t="shared" si="3"/>
        <v>269</v>
      </c>
      <c r="E108" s="5">
        <f t="shared" si="1"/>
        <v>381</v>
      </c>
      <c r="L108" s="5">
        <f t="shared" si="4"/>
        <v>-13</v>
      </c>
      <c r="M108" s="19">
        <f t="shared" si="5"/>
        <v>0.03801169591</v>
      </c>
      <c r="N108" s="5">
        <f t="shared" si="6"/>
        <v>169</v>
      </c>
      <c r="P108" s="5">
        <f t="shared" si="7"/>
        <v>73</v>
      </c>
      <c r="Q108" s="19">
        <f t="shared" si="8"/>
        <v>0.2134502924</v>
      </c>
      <c r="R108" s="5">
        <f t="shared" si="9"/>
        <v>5329</v>
      </c>
      <c r="T108" s="5">
        <f t="shared" si="10"/>
        <v>-39</v>
      </c>
      <c r="U108" s="19">
        <f t="shared" si="11"/>
        <v>0.1140350877</v>
      </c>
      <c r="V108" s="5">
        <f t="shared" si="12"/>
        <v>1521</v>
      </c>
    </row>
    <row r="109">
      <c r="A109" s="2">
        <v>40696.0</v>
      </c>
      <c r="B109" s="5">
        <v>12.0</v>
      </c>
      <c r="C109" s="5">
        <f t="shared" si="2"/>
        <v>337</v>
      </c>
      <c r="D109" s="5">
        <f t="shared" si="3"/>
        <v>269</v>
      </c>
      <c r="E109" s="5">
        <f t="shared" si="1"/>
        <v>365</v>
      </c>
      <c r="L109" s="5">
        <f t="shared" si="4"/>
        <v>-325</v>
      </c>
      <c r="M109" s="19">
        <f t="shared" si="5"/>
        <v>27.08333333</v>
      </c>
      <c r="N109" s="5">
        <f t="shared" si="6"/>
        <v>105625</v>
      </c>
      <c r="P109" s="5">
        <f t="shared" si="7"/>
        <v>-257</v>
      </c>
      <c r="Q109" s="19">
        <f t="shared" si="8"/>
        <v>21.41666667</v>
      </c>
      <c r="R109" s="5">
        <f t="shared" si="9"/>
        <v>66049</v>
      </c>
      <c r="T109" s="5">
        <f t="shared" si="10"/>
        <v>-353</v>
      </c>
      <c r="U109" s="19">
        <f t="shared" si="11"/>
        <v>29.41666667</v>
      </c>
      <c r="V109" s="5">
        <f t="shared" si="12"/>
        <v>124609</v>
      </c>
    </row>
    <row r="110">
      <c r="A110" s="2">
        <v>40697.0</v>
      </c>
      <c r="B110" s="5">
        <v>0.0</v>
      </c>
      <c r="C110" s="5">
        <f t="shared" si="2"/>
        <v>218</v>
      </c>
      <c r="D110" s="5">
        <f t="shared" si="3"/>
        <v>267</v>
      </c>
      <c r="E110" s="5">
        <f t="shared" si="1"/>
        <v>224</v>
      </c>
      <c r="L110" s="5">
        <f t="shared" si="4"/>
        <v>-218</v>
      </c>
      <c r="M110" s="19">
        <f t="shared" si="5"/>
        <v>1</v>
      </c>
      <c r="N110" s="5">
        <f t="shared" si="6"/>
        <v>47524</v>
      </c>
      <c r="P110" s="5">
        <f t="shared" si="7"/>
        <v>-267</v>
      </c>
      <c r="Q110" s="19">
        <f t="shared" si="8"/>
        <v>1</v>
      </c>
      <c r="R110" s="5">
        <f t="shared" si="9"/>
        <v>71289</v>
      </c>
      <c r="T110" s="5">
        <f t="shared" si="10"/>
        <v>-224</v>
      </c>
      <c r="U110" s="19">
        <f t="shared" si="11"/>
        <v>1</v>
      </c>
      <c r="V110" s="5">
        <f t="shared" si="12"/>
        <v>50176</v>
      </c>
    </row>
    <row r="111">
      <c r="A111" s="2">
        <v>40700.0</v>
      </c>
      <c r="B111" s="5">
        <v>468.0</v>
      </c>
      <c r="C111" s="5">
        <f t="shared" si="2"/>
        <v>212</v>
      </c>
      <c r="D111" s="5">
        <f t="shared" si="3"/>
        <v>264</v>
      </c>
      <c r="E111" s="5">
        <f t="shared" si="1"/>
        <v>134</v>
      </c>
      <c r="L111" s="5">
        <f t="shared" si="4"/>
        <v>256</v>
      </c>
      <c r="M111" s="19">
        <f t="shared" si="5"/>
        <v>0.547008547</v>
      </c>
      <c r="N111" s="5">
        <f t="shared" si="6"/>
        <v>65536</v>
      </c>
      <c r="P111" s="5">
        <f t="shared" si="7"/>
        <v>204</v>
      </c>
      <c r="Q111" s="19">
        <f t="shared" si="8"/>
        <v>0.4358974359</v>
      </c>
      <c r="R111" s="5">
        <f t="shared" si="9"/>
        <v>41616</v>
      </c>
      <c r="T111" s="5">
        <f t="shared" si="10"/>
        <v>334</v>
      </c>
      <c r="U111" s="19">
        <f t="shared" si="11"/>
        <v>0.7136752137</v>
      </c>
      <c r="V111" s="5">
        <f t="shared" si="12"/>
        <v>111556</v>
      </c>
    </row>
    <row r="112">
      <c r="A112" s="2">
        <v>40701.0</v>
      </c>
      <c r="B112" s="5">
        <v>420.0</v>
      </c>
      <c r="C112" s="5">
        <f t="shared" si="2"/>
        <v>306</v>
      </c>
      <c r="D112" s="5">
        <f t="shared" si="3"/>
        <v>266</v>
      </c>
      <c r="E112" s="5">
        <f t="shared" si="1"/>
        <v>268</v>
      </c>
      <c r="L112" s="5">
        <f t="shared" si="4"/>
        <v>114</v>
      </c>
      <c r="M112" s="19">
        <f t="shared" si="5"/>
        <v>0.2714285714</v>
      </c>
      <c r="N112" s="5">
        <f t="shared" si="6"/>
        <v>12996</v>
      </c>
      <c r="P112" s="5">
        <f t="shared" si="7"/>
        <v>154</v>
      </c>
      <c r="Q112" s="19">
        <f t="shared" si="8"/>
        <v>0.3666666667</v>
      </c>
      <c r="R112" s="5">
        <f t="shared" si="9"/>
        <v>23716</v>
      </c>
      <c r="T112" s="5">
        <f t="shared" si="10"/>
        <v>152</v>
      </c>
      <c r="U112" s="19">
        <f t="shared" si="11"/>
        <v>0.3619047619</v>
      </c>
      <c r="V112" s="5">
        <f t="shared" si="12"/>
        <v>23104</v>
      </c>
    </row>
    <row r="113">
      <c r="A113" s="2">
        <v>40702.0</v>
      </c>
      <c r="B113" s="5">
        <v>432.0</v>
      </c>
      <c r="C113" s="5">
        <f t="shared" si="2"/>
        <v>248</v>
      </c>
      <c r="D113" s="5">
        <f t="shared" si="3"/>
        <v>268</v>
      </c>
      <c r="E113" s="5">
        <f t="shared" si="1"/>
        <v>329</v>
      </c>
      <c r="L113" s="5">
        <f t="shared" si="4"/>
        <v>184</v>
      </c>
      <c r="M113" s="19">
        <f t="shared" si="5"/>
        <v>0.4259259259</v>
      </c>
      <c r="N113" s="5">
        <f t="shared" si="6"/>
        <v>33856</v>
      </c>
      <c r="P113" s="5">
        <f t="shared" si="7"/>
        <v>164</v>
      </c>
      <c r="Q113" s="19">
        <f t="shared" si="8"/>
        <v>0.3796296296</v>
      </c>
      <c r="R113" s="5">
        <f t="shared" si="9"/>
        <v>26896</v>
      </c>
      <c r="T113" s="5">
        <f t="shared" si="10"/>
        <v>103</v>
      </c>
      <c r="U113" s="19">
        <f t="shared" si="11"/>
        <v>0.2384259259</v>
      </c>
      <c r="V113" s="5">
        <f t="shared" si="12"/>
        <v>10609</v>
      </c>
    </row>
    <row r="114">
      <c r="A114" s="2">
        <v>40703.0</v>
      </c>
      <c r="B114" s="5">
        <v>12.0</v>
      </c>
      <c r="C114" s="5">
        <f t="shared" si="2"/>
        <v>266</v>
      </c>
      <c r="D114" s="5">
        <f t="shared" si="3"/>
        <v>269</v>
      </c>
      <c r="E114" s="5">
        <f t="shared" si="1"/>
        <v>370</v>
      </c>
      <c r="L114" s="5">
        <f t="shared" si="4"/>
        <v>-254</v>
      </c>
      <c r="M114" s="19">
        <f t="shared" si="5"/>
        <v>21.16666667</v>
      </c>
      <c r="N114" s="5">
        <f t="shared" si="6"/>
        <v>64516</v>
      </c>
      <c r="P114" s="5">
        <f t="shared" si="7"/>
        <v>-257</v>
      </c>
      <c r="Q114" s="19">
        <f t="shared" si="8"/>
        <v>21.41666667</v>
      </c>
      <c r="R114" s="5">
        <f t="shared" si="9"/>
        <v>66049</v>
      </c>
      <c r="T114" s="5">
        <f t="shared" si="10"/>
        <v>-358</v>
      </c>
      <c r="U114" s="19">
        <f t="shared" si="11"/>
        <v>29.83333333</v>
      </c>
      <c r="V114" s="5">
        <f t="shared" si="12"/>
        <v>128164</v>
      </c>
    </row>
    <row r="115">
      <c r="A115" s="2">
        <v>40704.0</v>
      </c>
      <c r="B115" s="5">
        <v>0.0</v>
      </c>
      <c r="C115" s="5">
        <f t="shared" si="2"/>
        <v>266</v>
      </c>
      <c r="D115" s="5">
        <f t="shared" si="3"/>
        <v>267</v>
      </c>
      <c r="E115" s="5">
        <f t="shared" si="1"/>
        <v>227</v>
      </c>
      <c r="L115" s="5">
        <f t="shared" si="4"/>
        <v>-266</v>
      </c>
      <c r="M115" s="19">
        <f t="shared" si="5"/>
        <v>1</v>
      </c>
      <c r="N115" s="5">
        <f t="shared" si="6"/>
        <v>70756</v>
      </c>
      <c r="P115" s="5">
        <f t="shared" si="7"/>
        <v>-267</v>
      </c>
      <c r="Q115" s="19">
        <f t="shared" si="8"/>
        <v>1</v>
      </c>
      <c r="R115" s="5">
        <f t="shared" si="9"/>
        <v>71289</v>
      </c>
      <c r="T115" s="5">
        <f t="shared" si="10"/>
        <v>-227</v>
      </c>
      <c r="U115" s="19">
        <f t="shared" si="11"/>
        <v>1</v>
      </c>
      <c r="V115" s="5">
        <f t="shared" si="12"/>
        <v>51529</v>
      </c>
    </row>
    <row r="116">
      <c r="A116" s="2">
        <v>40707.0</v>
      </c>
      <c r="B116" s="5">
        <v>336.0</v>
      </c>
      <c r="C116" s="5">
        <f t="shared" si="2"/>
        <v>266</v>
      </c>
      <c r="D116" s="5">
        <f t="shared" si="3"/>
        <v>265</v>
      </c>
      <c r="E116" s="5">
        <f t="shared" si="1"/>
        <v>136</v>
      </c>
      <c r="L116" s="5">
        <f t="shared" si="4"/>
        <v>70</v>
      </c>
      <c r="M116" s="19">
        <f t="shared" si="5"/>
        <v>0.2083333333</v>
      </c>
      <c r="N116" s="5">
        <f t="shared" si="6"/>
        <v>4900</v>
      </c>
      <c r="P116" s="5">
        <f t="shared" si="7"/>
        <v>71</v>
      </c>
      <c r="Q116" s="19">
        <f t="shared" si="8"/>
        <v>0.2113095238</v>
      </c>
      <c r="R116" s="5">
        <f t="shared" si="9"/>
        <v>5041</v>
      </c>
      <c r="T116" s="5">
        <f t="shared" si="10"/>
        <v>200</v>
      </c>
      <c r="U116" s="19">
        <f t="shared" si="11"/>
        <v>0.5952380952</v>
      </c>
      <c r="V116" s="5">
        <f t="shared" si="12"/>
        <v>40000</v>
      </c>
    </row>
    <row r="117">
      <c r="A117" s="2">
        <v>40708.0</v>
      </c>
      <c r="B117" s="5">
        <v>180.0</v>
      </c>
      <c r="C117" s="5">
        <f t="shared" si="2"/>
        <v>240</v>
      </c>
      <c r="D117" s="5">
        <f t="shared" si="3"/>
        <v>265</v>
      </c>
      <c r="E117" s="5">
        <f t="shared" si="1"/>
        <v>216</v>
      </c>
      <c r="L117" s="5">
        <f t="shared" si="4"/>
        <v>-60</v>
      </c>
      <c r="M117" s="19">
        <f t="shared" si="5"/>
        <v>0.3333333333</v>
      </c>
      <c r="N117" s="5">
        <f t="shared" si="6"/>
        <v>3600</v>
      </c>
      <c r="P117" s="5">
        <f t="shared" si="7"/>
        <v>-85</v>
      </c>
      <c r="Q117" s="19">
        <f t="shared" si="8"/>
        <v>0.4722222222</v>
      </c>
      <c r="R117" s="5">
        <f t="shared" si="9"/>
        <v>7225</v>
      </c>
      <c r="T117" s="5">
        <f t="shared" si="10"/>
        <v>-36</v>
      </c>
      <c r="U117" s="19">
        <f t="shared" si="11"/>
        <v>0.2</v>
      </c>
      <c r="V117" s="5">
        <f t="shared" si="12"/>
        <v>1296</v>
      </c>
    </row>
    <row r="118">
      <c r="A118" s="2">
        <v>40709.0</v>
      </c>
      <c r="B118" s="5">
        <v>414.0</v>
      </c>
      <c r="C118" s="5">
        <f t="shared" si="2"/>
        <v>192</v>
      </c>
      <c r="D118" s="5">
        <f t="shared" si="3"/>
        <v>264</v>
      </c>
      <c r="E118" s="5">
        <f t="shared" si="1"/>
        <v>202</v>
      </c>
      <c r="L118" s="5">
        <f t="shared" si="4"/>
        <v>222</v>
      </c>
      <c r="M118" s="19">
        <f t="shared" si="5"/>
        <v>0.5362318841</v>
      </c>
      <c r="N118" s="5">
        <f t="shared" si="6"/>
        <v>49284</v>
      </c>
      <c r="P118" s="5">
        <f t="shared" si="7"/>
        <v>150</v>
      </c>
      <c r="Q118" s="19">
        <f t="shared" si="8"/>
        <v>0.3623188406</v>
      </c>
      <c r="R118" s="5">
        <f t="shared" si="9"/>
        <v>22500</v>
      </c>
      <c r="T118" s="5">
        <f t="shared" si="10"/>
        <v>212</v>
      </c>
      <c r="U118" s="19">
        <f t="shared" si="11"/>
        <v>0.5120772947</v>
      </c>
      <c r="V118" s="5">
        <f t="shared" si="12"/>
        <v>44944</v>
      </c>
    </row>
    <row r="119">
      <c r="A119" s="2">
        <v>40710.0</v>
      </c>
      <c r="B119" s="5">
        <v>0.0</v>
      </c>
      <c r="C119" s="5">
        <f t="shared" si="2"/>
        <v>188</v>
      </c>
      <c r="D119" s="5">
        <f t="shared" si="3"/>
        <v>266</v>
      </c>
      <c r="E119" s="5">
        <f t="shared" si="1"/>
        <v>287</v>
      </c>
      <c r="L119" s="5">
        <f t="shared" si="4"/>
        <v>-188</v>
      </c>
      <c r="M119" s="19">
        <f t="shared" si="5"/>
        <v>1</v>
      </c>
      <c r="N119" s="5">
        <f t="shared" si="6"/>
        <v>35344</v>
      </c>
      <c r="P119" s="5">
        <f t="shared" si="7"/>
        <v>-266</v>
      </c>
      <c r="Q119" s="19">
        <f t="shared" si="8"/>
        <v>1</v>
      </c>
      <c r="R119" s="5">
        <f t="shared" si="9"/>
        <v>70756</v>
      </c>
      <c r="T119" s="5">
        <f t="shared" si="10"/>
        <v>-287</v>
      </c>
      <c r="U119" s="19">
        <f t="shared" si="11"/>
        <v>1</v>
      </c>
      <c r="V119" s="5">
        <f t="shared" si="12"/>
        <v>82369</v>
      </c>
    </row>
    <row r="120">
      <c r="A120" s="2">
        <v>40711.0</v>
      </c>
      <c r="B120" s="5">
        <v>0.0</v>
      </c>
      <c r="C120" s="5">
        <f t="shared" si="2"/>
        <v>186</v>
      </c>
      <c r="D120" s="5">
        <f t="shared" si="3"/>
        <v>263</v>
      </c>
      <c r="E120" s="5">
        <f t="shared" si="1"/>
        <v>172</v>
      </c>
      <c r="L120" s="5">
        <f t="shared" si="4"/>
        <v>-186</v>
      </c>
      <c r="M120" s="19">
        <f t="shared" si="5"/>
        <v>1</v>
      </c>
      <c r="N120" s="5">
        <f t="shared" si="6"/>
        <v>34596</v>
      </c>
      <c r="P120" s="5">
        <f t="shared" si="7"/>
        <v>-263</v>
      </c>
      <c r="Q120" s="19">
        <f t="shared" si="8"/>
        <v>1</v>
      </c>
      <c r="R120" s="5">
        <f t="shared" si="9"/>
        <v>69169</v>
      </c>
      <c r="T120" s="5">
        <f t="shared" si="10"/>
        <v>-172</v>
      </c>
      <c r="U120" s="19">
        <f t="shared" si="11"/>
        <v>1</v>
      </c>
      <c r="V120" s="5">
        <f t="shared" si="12"/>
        <v>29584</v>
      </c>
    </row>
    <row r="121">
      <c r="A121" s="2">
        <v>40714.0</v>
      </c>
      <c r="B121" s="5">
        <v>354.0</v>
      </c>
      <c r="C121" s="5">
        <f t="shared" si="2"/>
        <v>186</v>
      </c>
      <c r="D121" s="5">
        <f t="shared" si="3"/>
        <v>261</v>
      </c>
      <c r="E121" s="5">
        <f t="shared" si="1"/>
        <v>103</v>
      </c>
      <c r="L121" s="5">
        <f t="shared" si="4"/>
        <v>168</v>
      </c>
      <c r="M121" s="19">
        <f t="shared" si="5"/>
        <v>0.4745762712</v>
      </c>
      <c r="N121" s="5">
        <f t="shared" si="6"/>
        <v>28224</v>
      </c>
      <c r="P121" s="5">
        <f t="shared" si="7"/>
        <v>93</v>
      </c>
      <c r="Q121" s="19">
        <f t="shared" si="8"/>
        <v>0.2627118644</v>
      </c>
      <c r="R121" s="5">
        <f t="shared" si="9"/>
        <v>8649</v>
      </c>
      <c r="T121" s="5">
        <f t="shared" si="10"/>
        <v>251</v>
      </c>
      <c r="U121" s="19">
        <f t="shared" si="11"/>
        <v>0.709039548</v>
      </c>
      <c r="V121" s="5">
        <f t="shared" si="12"/>
        <v>63001</v>
      </c>
    </row>
    <row r="122">
      <c r="A122" s="2">
        <v>40715.0</v>
      </c>
      <c r="B122" s="5">
        <v>498.0</v>
      </c>
      <c r="C122" s="5">
        <f t="shared" si="2"/>
        <v>190</v>
      </c>
      <c r="D122" s="5">
        <f t="shared" si="3"/>
        <v>262</v>
      </c>
      <c r="E122" s="5">
        <f t="shared" si="1"/>
        <v>203</v>
      </c>
      <c r="L122" s="5">
        <f t="shared" si="4"/>
        <v>308</v>
      </c>
      <c r="M122" s="19">
        <f t="shared" si="5"/>
        <v>0.6184738956</v>
      </c>
      <c r="N122" s="5">
        <f t="shared" si="6"/>
        <v>94864</v>
      </c>
      <c r="P122" s="5">
        <f t="shared" si="7"/>
        <v>236</v>
      </c>
      <c r="Q122" s="19">
        <f t="shared" si="8"/>
        <v>0.4738955823</v>
      </c>
      <c r="R122" s="5">
        <f t="shared" si="9"/>
        <v>55696</v>
      </c>
      <c r="T122" s="5">
        <f t="shared" si="10"/>
        <v>295</v>
      </c>
      <c r="U122" s="19">
        <f t="shared" si="11"/>
        <v>0.5923694779</v>
      </c>
      <c r="V122" s="5">
        <f t="shared" si="12"/>
        <v>87025</v>
      </c>
    </row>
    <row r="123">
      <c r="A123" s="2">
        <v>40716.0</v>
      </c>
      <c r="B123" s="5">
        <v>630.0</v>
      </c>
      <c r="C123" s="5">
        <f t="shared" si="2"/>
        <v>253</v>
      </c>
      <c r="D123" s="5">
        <f t="shared" si="3"/>
        <v>264</v>
      </c>
      <c r="E123" s="5">
        <f t="shared" si="1"/>
        <v>321</v>
      </c>
      <c r="L123" s="5">
        <f t="shared" si="4"/>
        <v>377</v>
      </c>
      <c r="M123" s="19">
        <f t="shared" si="5"/>
        <v>0.5984126984</v>
      </c>
      <c r="N123" s="5">
        <f t="shared" si="6"/>
        <v>142129</v>
      </c>
      <c r="P123" s="5">
        <f t="shared" si="7"/>
        <v>366</v>
      </c>
      <c r="Q123" s="19">
        <f t="shared" si="8"/>
        <v>0.580952381</v>
      </c>
      <c r="R123" s="5">
        <f t="shared" si="9"/>
        <v>133956</v>
      </c>
      <c r="T123" s="5">
        <f t="shared" si="10"/>
        <v>309</v>
      </c>
      <c r="U123" s="19">
        <f t="shared" si="11"/>
        <v>0.4904761905</v>
      </c>
      <c r="V123" s="5">
        <f t="shared" si="12"/>
        <v>95481</v>
      </c>
    </row>
    <row r="124">
      <c r="A124" s="2">
        <v>40717.0</v>
      </c>
      <c r="B124" s="5">
        <v>12.0</v>
      </c>
      <c r="C124" s="5">
        <f t="shared" si="2"/>
        <v>296</v>
      </c>
      <c r="D124" s="5">
        <f t="shared" si="3"/>
        <v>267</v>
      </c>
      <c r="E124" s="5">
        <f t="shared" si="1"/>
        <v>445</v>
      </c>
      <c r="L124" s="5">
        <f t="shared" si="4"/>
        <v>-284</v>
      </c>
      <c r="M124" s="19">
        <f t="shared" si="5"/>
        <v>23.66666667</v>
      </c>
      <c r="N124" s="5">
        <f t="shared" si="6"/>
        <v>80656</v>
      </c>
      <c r="P124" s="5">
        <f t="shared" si="7"/>
        <v>-255</v>
      </c>
      <c r="Q124" s="19">
        <f t="shared" si="8"/>
        <v>21.25</v>
      </c>
      <c r="R124" s="5">
        <f t="shared" si="9"/>
        <v>65025</v>
      </c>
      <c r="T124" s="5">
        <f t="shared" si="10"/>
        <v>-433</v>
      </c>
      <c r="U124" s="19">
        <f t="shared" si="11"/>
        <v>36.08333333</v>
      </c>
      <c r="V124" s="5">
        <f t="shared" si="12"/>
        <v>187489</v>
      </c>
    </row>
    <row r="125">
      <c r="A125" s="2">
        <v>40718.0</v>
      </c>
      <c r="B125" s="5">
        <v>0.0</v>
      </c>
      <c r="C125" s="5">
        <f t="shared" si="2"/>
        <v>299</v>
      </c>
      <c r="D125" s="5">
        <f t="shared" si="3"/>
        <v>265</v>
      </c>
      <c r="E125" s="5">
        <f t="shared" si="1"/>
        <v>272</v>
      </c>
      <c r="L125" s="5">
        <f t="shared" si="4"/>
        <v>-299</v>
      </c>
      <c r="M125" s="19">
        <f t="shared" si="5"/>
        <v>1</v>
      </c>
      <c r="N125" s="5">
        <f t="shared" si="6"/>
        <v>89401</v>
      </c>
      <c r="P125" s="5">
        <f t="shared" si="7"/>
        <v>-265</v>
      </c>
      <c r="Q125" s="19">
        <f t="shared" si="8"/>
        <v>1</v>
      </c>
      <c r="R125" s="5">
        <f t="shared" si="9"/>
        <v>70225</v>
      </c>
      <c r="T125" s="5">
        <f t="shared" si="10"/>
        <v>-272</v>
      </c>
      <c r="U125" s="19">
        <f t="shared" si="11"/>
        <v>1</v>
      </c>
      <c r="V125" s="5">
        <f t="shared" si="12"/>
        <v>73984</v>
      </c>
    </row>
    <row r="126">
      <c r="A126" s="2">
        <v>40721.0</v>
      </c>
      <c r="B126" s="5">
        <v>336.0</v>
      </c>
      <c r="C126" s="5">
        <f t="shared" si="2"/>
        <v>299</v>
      </c>
      <c r="D126" s="5">
        <f t="shared" si="3"/>
        <v>263</v>
      </c>
      <c r="E126" s="5">
        <f t="shared" si="1"/>
        <v>163</v>
      </c>
      <c r="L126" s="5">
        <f t="shared" si="4"/>
        <v>37</v>
      </c>
      <c r="M126" s="19">
        <f t="shared" si="5"/>
        <v>0.1101190476</v>
      </c>
      <c r="N126" s="5">
        <f t="shared" si="6"/>
        <v>1369</v>
      </c>
      <c r="P126" s="5">
        <f t="shared" si="7"/>
        <v>73</v>
      </c>
      <c r="Q126" s="19">
        <f t="shared" si="8"/>
        <v>0.2172619048</v>
      </c>
      <c r="R126" s="5">
        <f t="shared" si="9"/>
        <v>5329</v>
      </c>
      <c r="T126" s="5">
        <f t="shared" si="10"/>
        <v>173</v>
      </c>
      <c r="U126" s="19">
        <f t="shared" si="11"/>
        <v>0.5148809524</v>
      </c>
      <c r="V126" s="5">
        <f t="shared" si="12"/>
        <v>29929</v>
      </c>
    </row>
    <row r="127">
      <c r="A127" s="2">
        <v>40722.0</v>
      </c>
      <c r="B127" s="5">
        <v>462.0</v>
      </c>
      <c r="C127" s="5">
        <f t="shared" si="2"/>
        <v>295</v>
      </c>
      <c r="D127" s="5">
        <f t="shared" si="3"/>
        <v>263</v>
      </c>
      <c r="E127" s="5">
        <f t="shared" si="1"/>
        <v>232</v>
      </c>
      <c r="L127" s="5">
        <f t="shared" si="4"/>
        <v>167</v>
      </c>
      <c r="M127" s="19">
        <f t="shared" si="5"/>
        <v>0.3614718615</v>
      </c>
      <c r="N127" s="5">
        <f t="shared" si="6"/>
        <v>27889</v>
      </c>
      <c r="P127" s="5">
        <f t="shared" si="7"/>
        <v>199</v>
      </c>
      <c r="Q127" s="19">
        <f t="shared" si="8"/>
        <v>0.4307359307</v>
      </c>
      <c r="R127" s="5">
        <f t="shared" si="9"/>
        <v>39601</v>
      </c>
      <c r="T127" s="5">
        <f t="shared" si="10"/>
        <v>230</v>
      </c>
      <c r="U127" s="19">
        <f t="shared" si="11"/>
        <v>0.4978354978</v>
      </c>
      <c r="V127" s="5">
        <f t="shared" si="12"/>
        <v>52900</v>
      </c>
    </row>
    <row r="128">
      <c r="A128" s="2">
        <v>40723.0</v>
      </c>
      <c r="B128" s="5">
        <v>295.0</v>
      </c>
      <c r="C128" s="5">
        <f t="shared" si="2"/>
        <v>288</v>
      </c>
      <c r="D128" s="5">
        <f t="shared" si="3"/>
        <v>265</v>
      </c>
      <c r="E128" s="5">
        <f t="shared" si="1"/>
        <v>324</v>
      </c>
      <c r="L128" s="5">
        <f t="shared" si="4"/>
        <v>7</v>
      </c>
      <c r="M128" s="19">
        <f t="shared" si="5"/>
        <v>0.02372881356</v>
      </c>
      <c r="N128" s="5">
        <f t="shared" si="6"/>
        <v>49</v>
      </c>
      <c r="P128" s="5">
        <f t="shared" si="7"/>
        <v>30</v>
      </c>
      <c r="Q128" s="19">
        <f t="shared" si="8"/>
        <v>0.1016949153</v>
      </c>
      <c r="R128" s="5">
        <f t="shared" si="9"/>
        <v>900</v>
      </c>
      <c r="T128" s="5">
        <f t="shared" si="10"/>
        <v>-29</v>
      </c>
      <c r="U128" s="19">
        <f t="shared" si="11"/>
        <v>0.09830508475</v>
      </c>
      <c r="V128" s="5">
        <f t="shared" si="12"/>
        <v>841</v>
      </c>
    </row>
    <row r="129">
      <c r="A129" s="2">
        <v>40724.0</v>
      </c>
      <c r="B129" s="5">
        <v>24.0</v>
      </c>
      <c r="C129" s="5">
        <f t="shared" si="2"/>
        <v>221</v>
      </c>
      <c r="D129" s="5">
        <f t="shared" si="3"/>
        <v>265</v>
      </c>
      <c r="E129" s="5">
        <f t="shared" si="1"/>
        <v>312</v>
      </c>
      <c r="L129" s="5">
        <f t="shared" si="4"/>
        <v>-197</v>
      </c>
      <c r="M129" s="19">
        <f t="shared" si="5"/>
        <v>8.208333333</v>
      </c>
      <c r="N129" s="5">
        <f t="shared" si="6"/>
        <v>38809</v>
      </c>
      <c r="P129" s="5">
        <f t="shared" si="7"/>
        <v>-241</v>
      </c>
      <c r="Q129" s="19">
        <f t="shared" si="8"/>
        <v>10.04166667</v>
      </c>
      <c r="R129" s="5">
        <f t="shared" si="9"/>
        <v>58081</v>
      </c>
      <c r="T129" s="5">
        <f t="shared" si="10"/>
        <v>-288</v>
      </c>
      <c r="U129" s="19">
        <f t="shared" si="11"/>
        <v>12</v>
      </c>
      <c r="V129" s="5">
        <f t="shared" si="12"/>
        <v>82944</v>
      </c>
    </row>
    <row r="130">
      <c r="A130" s="2">
        <v>40725.0</v>
      </c>
      <c r="B130" s="5">
        <v>0.0</v>
      </c>
      <c r="C130" s="5">
        <f t="shared" si="2"/>
        <v>223</v>
      </c>
      <c r="D130" s="5">
        <f t="shared" si="3"/>
        <v>263</v>
      </c>
      <c r="E130" s="5">
        <f t="shared" si="1"/>
        <v>197</v>
      </c>
      <c r="L130" s="5">
        <f t="shared" si="4"/>
        <v>-223</v>
      </c>
      <c r="M130" s="19">
        <f t="shared" si="5"/>
        <v>1</v>
      </c>
      <c r="N130" s="5">
        <f t="shared" si="6"/>
        <v>49729</v>
      </c>
      <c r="P130" s="5">
        <f t="shared" si="7"/>
        <v>-263</v>
      </c>
      <c r="Q130" s="19">
        <f t="shared" si="8"/>
        <v>1</v>
      </c>
      <c r="R130" s="5">
        <f t="shared" si="9"/>
        <v>69169</v>
      </c>
      <c r="T130" s="5">
        <f t="shared" si="10"/>
        <v>-197</v>
      </c>
      <c r="U130" s="19">
        <f t="shared" si="11"/>
        <v>1</v>
      </c>
      <c r="V130" s="5">
        <f t="shared" si="12"/>
        <v>38809</v>
      </c>
    </row>
    <row r="131">
      <c r="A131" s="2">
        <v>40729.0</v>
      </c>
      <c r="B131" s="5">
        <v>654.0</v>
      </c>
      <c r="C131" s="5">
        <f t="shared" si="2"/>
        <v>223</v>
      </c>
      <c r="D131" s="5">
        <f t="shared" si="3"/>
        <v>261</v>
      </c>
      <c r="E131" s="5">
        <f t="shared" si="1"/>
        <v>118</v>
      </c>
      <c r="L131" s="5">
        <f t="shared" si="4"/>
        <v>431</v>
      </c>
      <c r="M131" s="19">
        <f t="shared" si="5"/>
        <v>0.6590214067</v>
      </c>
      <c r="N131" s="5">
        <f t="shared" si="6"/>
        <v>185761</v>
      </c>
      <c r="P131" s="5">
        <f t="shared" si="7"/>
        <v>393</v>
      </c>
      <c r="Q131" s="19">
        <f t="shared" si="8"/>
        <v>0.6009174312</v>
      </c>
      <c r="R131" s="5">
        <f t="shared" si="9"/>
        <v>154449</v>
      </c>
      <c r="T131" s="5">
        <f t="shared" si="10"/>
        <v>536</v>
      </c>
      <c r="U131" s="19">
        <f t="shared" si="11"/>
        <v>0.8195718654</v>
      </c>
      <c r="V131" s="5">
        <f t="shared" si="12"/>
        <v>287296</v>
      </c>
    </row>
    <row r="132">
      <c r="A132" s="2">
        <v>40730.0</v>
      </c>
      <c r="B132" s="5">
        <v>750.0</v>
      </c>
      <c r="C132" s="5">
        <f t="shared" si="2"/>
        <v>287</v>
      </c>
      <c r="D132" s="5">
        <f t="shared" si="3"/>
        <v>264</v>
      </c>
      <c r="E132" s="5">
        <f t="shared" si="1"/>
        <v>332</v>
      </c>
      <c r="L132" s="5">
        <f t="shared" si="4"/>
        <v>463</v>
      </c>
      <c r="M132" s="19">
        <f t="shared" si="5"/>
        <v>0.6173333333</v>
      </c>
      <c r="N132" s="5">
        <f t="shared" si="6"/>
        <v>214369</v>
      </c>
      <c r="P132" s="5">
        <f t="shared" si="7"/>
        <v>486</v>
      </c>
      <c r="Q132" s="19">
        <f t="shared" si="8"/>
        <v>0.648</v>
      </c>
      <c r="R132" s="5">
        <f t="shared" si="9"/>
        <v>236196</v>
      </c>
      <c r="T132" s="5">
        <f t="shared" si="10"/>
        <v>418</v>
      </c>
      <c r="U132" s="19">
        <f t="shared" si="11"/>
        <v>0.5573333333</v>
      </c>
      <c r="V132" s="5">
        <f t="shared" si="12"/>
        <v>174724</v>
      </c>
    </row>
    <row r="133">
      <c r="A133" s="2">
        <v>40731.0</v>
      </c>
      <c r="B133" s="5">
        <v>18.0</v>
      </c>
      <c r="C133" s="5">
        <f t="shared" si="2"/>
        <v>345</v>
      </c>
      <c r="D133" s="5">
        <f t="shared" si="3"/>
        <v>268</v>
      </c>
      <c r="E133" s="5">
        <f t="shared" si="1"/>
        <v>499</v>
      </c>
      <c r="L133" s="5">
        <f t="shared" si="4"/>
        <v>-327</v>
      </c>
      <c r="M133" s="19">
        <f t="shared" si="5"/>
        <v>18.16666667</v>
      </c>
      <c r="N133" s="5">
        <f t="shared" si="6"/>
        <v>106929</v>
      </c>
      <c r="P133" s="5">
        <f t="shared" si="7"/>
        <v>-250</v>
      </c>
      <c r="Q133" s="19">
        <f t="shared" si="8"/>
        <v>13.88888889</v>
      </c>
      <c r="R133" s="5">
        <f t="shared" si="9"/>
        <v>62500</v>
      </c>
      <c r="T133" s="5">
        <f t="shared" si="10"/>
        <v>-481</v>
      </c>
      <c r="U133" s="19">
        <f t="shared" si="11"/>
        <v>26.72222222</v>
      </c>
      <c r="V133" s="5">
        <f t="shared" si="12"/>
        <v>231361</v>
      </c>
    </row>
    <row r="134">
      <c r="A134" s="2">
        <v>40732.0</v>
      </c>
      <c r="B134" s="5">
        <v>0.0</v>
      </c>
      <c r="C134" s="5">
        <f t="shared" si="2"/>
        <v>289</v>
      </c>
      <c r="D134" s="5">
        <f t="shared" si="3"/>
        <v>266</v>
      </c>
      <c r="E134" s="5">
        <f t="shared" si="1"/>
        <v>307</v>
      </c>
      <c r="L134" s="5">
        <f t="shared" si="4"/>
        <v>-289</v>
      </c>
      <c r="M134" s="19">
        <f t="shared" si="5"/>
        <v>1</v>
      </c>
      <c r="N134" s="5">
        <f t="shared" si="6"/>
        <v>83521</v>
      </c>
      <c r="P134" s="5">
        <f t="shared" si="7"/>
        <v>-266</v>
      </c>
      <c r="Q134" s="19">
        <f t="shared" si="8"/>
        <v>1</v>
      </c>
      <c r="R134" s="5">
        <f t="shared" si="9"/>
        <v>70756</v>
      </c>
      <c r="T134" s="5">
        <f t="shared" si="10"/>
        <v>-307</v>
      </c>
      <c r="U134" s="19">
        <f t="shared" si="11"/>
        <v>1</v>
      </c>
      <c r="V134" s="5">
        <f t="shared" si="12"/>
        <v>94249</v>
      </c>
    </row>
    <row r="135">
      <c r="A135" s="2">
        <v>40735.0</v>
      </c>
      <c r="B135" s="5">
        <v>264.0</v>
      </c>
      <c r="C135" s="5">
        <f t="shared" si="2"/>
        <v>284</v>
      </c>
      <c r="D135" s="5">
        <f t="shared" si="3"/>
        <v>264</v>
      </c>
      <c r="E135" s="5">
        <f t="shared" si="1"/>
        <v>184</v>
      </c>
      <c r="L135" s="5">
        <f t="shared" si="4"/>
        <v>-20</v>
      </c>
      <c r="M135" s="19">
        <f t="shared" si="5"/>
        <v>0.07575757576</v>
      </c>
      <c r="N135" s="5">
        <f t="shared" si="6"/>
        <v>400</v>
      </c>
      <c r="P135" s="5">
        <f t="shared" si="7"/>
        <v>0</v>
      </c>
      <c r="Q135" s="19">
        <f t="shared" si="8"/>
        <v>0</v>
      </c>
      <c r="R135" s="5">
        <f t="shared" si="9"/>
        <v>0</v>
      </c>
      <c r="T135" s="5">
        <f t="shared" si="10"/>
        <v>80</v>
      </c>
      <c r="U135" s="19">
        <f t="shared" si="11"/>
        <v>0.303030303</v>
      </c>
      <c r="V135" s="5">
        <f t="shared" si="12"/>
        <v>6400</v>
      </c>
    </row>
    <row r="136">
      <c r="A136" s="2">
        <v>40736.0</v>
      </c>
      <c r="B136" s="5">
        <v>426.0</v>
      </c>
      <c r="C136" s="5">
        <f t="shared" si="2"/>
        <v>337</v>
      </c>
      <c r="D136" s="5">
        <f t="shared" si="3"/>
        <v>264</v>
      </c>
      <c r="E136" s="5">
        <f t="shared" si="1"/>
        <v>216</v>
      </c>
      <c r="L136" s="5">
        <f t="shared" si="4"/>
        <v>89</v>
      </c>
      <c r="M136" s="19">
        <f t="shared" si="5"/>
        <v>0.2089201878</v>
      </c>
      <c r="N136" s="5">
        <f t="shared" si="6"/>
        <v>7921</v>
      </c>
      <c r="P136" s="5">
        <f t="shared" si="7"/>
        <v>162</v>
      </c>
      <c r="Q136" s="19">
        <f t="shared" si="8"/>
        <v>0.3802816901</v>
      </c>
      <c r="R136" s="5">
        <f t="shared" si="9"/>
        <v>26244</v>
      </c>
      <c r="T136" s="5">
        <f t="shared" si="10"/>
        <v>210</v>
      </c>
      <c r="U136" s="19">
        <f t="shared" si="11"/>
        <v>0.4929577465</v>
      </c>
      <c r="V136" s="5">
        <f t="shared" si="12"/>
        <v>44100</v>
      </c>
    </row>
    <row r="137">
      <c r="A137" s="2">
        <v>40737.0</v>
      </c>
      <c r="B137" s="5">
        <v>456.0</v>
      </c>
      <c r="C137" s="5">
        <f t="shared" si="2"/>
        <v>292</v>
      </c>
      <c r="D137" s="5">
        <f t="shared" si="3"/>
        <v>265</v>
      </c>
      <c r="E137" s="5">
        <f t="shared" si="1"/>
        <v>300</v>
      </c>
      <c r="L137" s="5">
        <f t="shared" si="4"/>
        <v>164</v>
      </c>
      <c r="M137" s="19">
        <f t="shared" si="5"/>
        <v>0.3596491228</v>
      </c>
      <c r="N137" s="5">
        <f t="shared" si="6"/>
        <v>26896</v>
      </c>
      <c r="P137" s="5">
        <f t="shared" si="7"/>
        <v>191</v>
      </c>
      <c r="Q137" s="19">
        <f t="shared" si="8"/>
        <v>0.4188596491</v>
      </c>
      <c r="R137" s="5">
        <f t="shared" si="9"/>
        <v>36481</v>
      </c>
      <c r="T137" s="5">
        <f t="shared" si="10"/>
        <v>156</v>
      </c>
      <c r="U137" s="19">
        <f t="shared" si="11"/>
        <v>0.3421052632</v>
      </c>
      <c r="V137" s="5">
        <f t="shared" si="12"/>
        <v>24336</v>
      </c>
    </row>
    <row r="138">
      <c r="A138" s="2">
        <v>40738.0</v>
      </c>
      <c r="B138" s="5">
        <v>12.0</v>
      </c>
      <c r="C138" s="5">
        <f t="shared" si="2"/>
        <v>233</v>
      </c>
      <c r="D138" s="5">
        <f t="shared" si="3"/>
        <v>267</v>
      </c>
      <c r="E138" s="5">
        <f t="shared" si="1"/>
        <v>362</v>
      </c>
      <c r="L138" s="5">
        <f t="shared" si="4"/>
        <v>-221</v>
      </c>
      <c r="M138" s="19">
        <f t="shared" si="5"/>
        <v>18.41666667</v>
      </c>
      <c r="N138" s="5">
        <f t="shared" si="6"/>
        <v>48841</v>
      </c>
      <c r="P138" s="5">
        <f t="shared" si="7"/>
        <v>-255</v>
      </c>
      <c r="Q138" s="19">
        <f t="shared" si="8"/>
        <v>21.25</v>
      </c>
      <c r="R138" s="5">
        <f t="shared" si="9"/>
        <v>65025</v>
      </c>
      <c r="T138" s="5">
        <f t="shared" si="10"/>
        <v>-350</v>
      </c>
      <c r="U138" s="19">
        <f t="shared" si="11"/>
        <v>29.16666667</v>
      </c>
      <c r="V138" s="5">
        <f t="shared" si="12"/>
        <v>122500</v>
      </c>
    </row>
    <row r="139">
      <c r="A139" s="2">
        <v>40739.0</v>
      </c>
      <c r="B139" s="5">
        <v>0.0</v>
      </c>
      <c r="C139" s="5">
        <f t="shared" si="2"/>
        <v>232</v>
      </c>
      <c r="D139" s="5">
        <f t="shared" si="3"/>
        <v>265</v>
      </c>
      <c r="E139" s="5">
        <f t="shared" si="1"/>
        <v>222</v>
      </c>
      <c r="L139" s="5">
        <f t="shared" si="4"/>
        <v>-232</v>
      </c>
      <c r="M139" s="19">
        <f t="shared" si="5"/>
        <v>1</v>
      </c>
      <c r="N139" s="5">
        <f t="shared" si="6"/>
        <v>53824</v>
      </c>
      <c r="P139" s="5">
        <f t="shared" si="7"/>
        <v>-265</v>
      </c>
      <c r="Q139" s="19">
        <f t="shared" si="8"/>
        <v>1</v>
      </c>
      <c r="R139" s="5">
        <f t="shared" si="9"/>
        <v>70225</v>
      </c>
      <c r="T139" s="5">
        <f t="shared" si="10"/>
        <v>-222</v>
      </c>
      <c r="U139" s="19">
        <f t="shared" si="11"/>
        <v>1</v>
      </c>
      <c r="V139" s="5">
        <f t="shared" si="12"/>
        <v>49284</v>
      </c>
    </row>
    <row r="140">
      <c r="A140" s="2">
        <v>40742.0</v>
      </c>
      <c r="B140" s="5">
        <v>510.0</v>
      </c>
      <c r="C140" s="5">
        <f t="shared" si="2"/>
        <v>232</v>
      </c>
      <c r="D140" s="5">
        <f t="shared" si="3"/>
        <v>263</v>
      </c>
      <c r="E140" s="5">
        <f t="shared" si="1"/>
        <v>133</v>
      </c>
      <c r="L140" s="5">
        <f t="shared" si="4"/>
        <v>278</v>
      </c>
      <c r="M140" s="19">
        <f t="shared" si="5"/>
        <v>0.5450980392</v>
      </c>
      <c r="N140" s="5">
        <f t="shared" si="6"/>
        <v>77284</v>
      </c>
      <c r="P140" s="5">
        <f t="shared" si="7"/>
        <v>247</v>
      </c>
      <c r="Q140" s="19">
        <f t="shared" si="8"/>
        <v>0.4843137255</v>
      </c>
      <c r="R140" s="5">
        <f t="shared" si="9"/>
        <v>61009</v>
      </c>
      <c r="T140" s="5">
        <f t="shared" si="10"/>
        <v>377</v>
      </c>
      <c r="U140" s="19">
        <f t="shared" si="11"/>
        <v>0.7392156863</v>
      </c>
      <c r="V140" s="5">
        <f t="shared" si="12"/>
        <v>142129</v>
      </c>
    </row>
    <row r="141">
      <c r="A141" s="2">
        <v>40743.0</v>
      </c>
      <c r="B141" s="5">
        <v>366.0</v>
      </c>
      <c r="C141" s="5">
        <f t="shared" si="2"/>
        <v>281</v>
      </c>
      <c r="D141" s="5">
        <f t="shared" si="3"/>
        <v>265</v>
      </c>
      <c r="E141" s="5">
        <f t="shared" si="1"/>
        <v>284</v>
      </c>
      <c r="L141" s="5">
        <f t="shared" si="4"/>
        <v>85</v>
      </c>
      <c r="M141" s="19">
        <f t="shared" si="5"/>
        <v>0.2322404372</v>
      </c>
      <c r="N141" s="5">
        <f t="shared" si="6"/>
        <v>7225</v>
      </c>
      <c r="P141" s="5">
        <f t="shared" si="7"/>
        <v>101</v>
      </c>
      <c r="Q141" s="19">
        <f t="shared" si="8"/>
        <v>0.2759562842</v>
      </c>
      <c r="R141" s="5">
        <f t="shared" si="9"/>
        <v>10201</v>
      </c>
      <c r="T141" s="5">
        <f t="shared" si="10"/>
        <v>82</v>
      </c>
      <c r="U141" s="19">
        <f t="shared" si="11"/>
        <v>0.2240437158</v>
      </c>
      <c r="V141" s="5">
        <f t="shared" si="12"/>
        <v>6724</v>
      </c>
    </row>
    <row r="142">
      <c r="A142" s="2">
        <v>40744.0</v>
      </c>
      <c r="B142" s="5">
        <v>453.0</v>
      </c>
      <c r="C142" s="5">
        <f t="shared" si="2"/>
        <v>269</v>
      </c>
      <c r="D142" s="5">
        <f t="shared" si="3"/>
        <v>265</v>
      </c>
      <c r="E142" s="5">
        <f t="shared" si="1"/>
        <v>317</v>
      </c>
      <c r="L142" s="5">
        <f t="shared" si="4"/>
        <v>184</v>
      </c>
      <c r="M142" s="19">
        <f t="shared" si="5"/>
        <v>0.4061810155</v>
      </c>
      <c r="N142" s="5">
        <f t="shared" si="6"/>
        <v>33856</v>
      </c>
      <c r="P142" s="5">
        <f t="shared" si="7"/>
        <v>188</v>
      </c>
      <c r="Q142" s="19">
        <f t="shared" si="8"/>
        <v>0.4150110375</v>
      </c>
      <c r="R142" s="5">
        <f t="shared" si="9"/>
        <v>35344</v>
      </c>
      <c r="T142" s="5">
        <f t="shared" si="10"/>
        <v>136</v>
      </c>
      <c r="U142" s="19">
        <f t="shared" si="11"/>
        <v>0.3002207506</v>
      </c>
      <c r="V142" s="5">
        <f t="shared" si="12"/>
        <v>18496</v>
      </c>
    </row>
    <row r="143">
      <c r="A143" s="2">
        <v>40745.0</v>
      </c>
      <c r="B143" s="5">
        <v>32.0</v>
      </c>
      <c r="C143" s="5">
        <f t="shared" si="2"/>
        <v>268</v>
      </c>
      <c r="D143" s="5">
        <f t="shared" si="3"/>
        <v>267</v>
      </c>
      <c r="E143" s="5">
        <f t="shared" si="1"/>
        <v>371</v>
      </c>
      <c r="L143" s="5">
        <f t="shared" si="4"/>
        <v>-236</v>
      </c>
      <c r="M143" s="19">
        <f t="shared" si="5"/>
        <v>7.375</v>
      </c>
      <c r="N143" s="5">
        <f t="shared" si="6"/>
        <v>55696</v>
      </c>
      <c r="P143" s="5">
        <f t="shared" si="7"/>
        <v>-235</v>
      </c>
      <c r="Q143" s="19">
        <f t="shared" si="8"/>
        <v>7.34375</v>
      </c>
      <c r="R143" s="5">
        <f t="shared" si="9"/>
        <v>55225</v>
      </c>
      <c r="T143" s="5">
        <f t="shared" si="10"/>
        <v>-339</v>
      </c>
      <c r="U143" s="19">
        <f t="shared" si="11"/>
        <v>10.59375</v>
      </c>
      <c r="V143" s="5">
        <f t="shared" si="12"/>
        <v>114921</v>
      </c>
    </row>
    <row r="144">
      <c r="A144" s="2">
        <v>40746.0</v>
      </c>
      <c r="B144" s="5">
        <v>0.0</v>
      </c>
      <c r="C144" s="5">
        <f t="shared" si="2"/>
        <v>272</v>
      </c>
      <c r="D144" s="5">
        <f t="shared" si="3"/>
        <v>265</v>
      </c>
      <c r="E144" s="5">
        <f t="shared" si="1"/>
        <v>235</v>
      </c>
      <c r="L144" s="5">
        <f t="shared" si="4"/>
        <v>-272</v>
      </c>
      <c r="M144" s="19">
        <f t="shared" si="5"/>
        <v>1</v>
      </c>
      <c r="N144" s="5">
        <f t="shared" si="6"/>
        <v>73984</v>
      </c>
      <c r="P144" s="5">
        <f t="shared" si="7"/>
        <v>-265</v>
      </c>
      <c r="Q144" s="19">
        <f t="shared" si="8"/>
        <v>1</v>
      </c>
      <c r="R144" s="5">
        <f t="shared" si="9"/>
        <v>70225</v>
      </c>
      <c r="T144" s="5">
        <f t="shared" si="10"/>
        <v>-235</v>
      </c>
      <c r="U144" s="19">
        <f t="shared" si="11"/>
        <v>1</v>
      </c>
      <c r="V144" s="5">
        <f t="shared" si="12"/>
        <v>55225</v>
      </c>
    </row>
    <row r="145">
      <c r="A145" s="2">
        <v>40749.0</v>
      </c>
      <c r="B145" s="5">
        <v>312.0</v>
      </c>
      <c r="C145" s="5">
        <f t="shared" si="2"/>
        <v>272</v>
      </c>
      <c r="D145" s="5">
        <f t="shared" si="3"/>
        <v>263</v>
      </c>
      <c r="E145" s="5">
        <f t="shared" si="1"/>
        <v>141</v>
      </c>
      <c r="L145" s="5">
        <f t="shared" si="4"/>
        <v>40</v>
      </c>
      <c r="M145" s="19">
        <f t="shared" si="5"/>
        <v>0.1282051282</v>
      </c>
      <c r="N145" s="5">
        <f t="shared" si="6"/>
        <v>1600</v>
      </c>
      <c r="P145" s="5">
        <f t="shared" si="7"/>
        <v>49</v>
      </c>
      <c r="Q145" s="19">
        <f t="shared" si="8"/>
        <v>0.1570512821</v>
      </c>
      <c r="R145" s="5">
        <f t="shared" si="9"/>
        <v>2401</v>
      </c>
      <c r="T145" s="5">
        <f t="shared" si="10"/>
        <v>171</v>
      </c>
      <c r="U145" s="19">
        <f t="shared" si="11"/>
        <v>0.5480769231</v>
      </c>
      <c r="V145" s="5">
        <f t="shared" si="12"/>
        <v>29241</v>
      </c>
    </row>
    <row r="146">
      <c r="A146" s="2">
        <v>40750.0</v>
      </c>
      <c r="B146" s="5">
        <v>294.0</v>
      </c>
      <c r="C146" s="5">
        <f t="shared" si="2"/>
        <v>233</v>
      </c>
      <c r="D146" s="5">
        <f t="shared" si="3"/>
        <v>264</v>
      </c>
      <c r="E146" s="5">
        <f t="shared" si="1"/>
        <v>209</v>
      </c>
      <c r="L146" s="5">
        <f t="shared" si="4"/>
        <v>61</v>
      </c>
      <c r="M146" s="19">
        <f t="shared" si="5"/>
        <v>0.2074829932</v>
      </c>
      <c r="N146" s="5">
        <f t="shared" si="6"/>
        <v>3721</v>
      </c>
      <c r="P146" s="5">
        <f t="shared" si="7"/>
        <v>30</v>
      </c>
      <c r="Q146" s="19">
        <f t="shared" si="8"/>
        <v>0.1020408163</v>
      </c>
      <c r="R146" s="5">
        <f t="shared" si="9"/>
        <v>900</v>
      </c>
      <c r="T146" s="5">
        <f t="shared" si="10"/>
        <v>85</v>
      </c>
      <c r="U146" s="19">
        <f t="shared" si="11"/>
        <v>0.2891156463</v>
      </c>
      <c r="V146" s="5">
        <f t="shared" si="12"/>
        <v>7225</v>
      </c>
    </row>
    <row r="147">
      <c r="A147" s="2">
        <v>40751.0</v>
      </c>
      <c r="B147" s="5">
        <v>384.0</v>
      </c>
      <c r="C147" s="5">
        <f t="shared" si="2"/>
        <v>218</v>
      </c>
      <c r="D147" s="5">
        <f t="shared" si="3"/>
        <v>264</v>
      </c>
      <c r="E147" s="5">
        <f t="shared" si="1"/>
        <v>243</v>
      </c>
      <c r="L147" s="5">
        <f t="shared" si="4"/>
        <v>166</v>
      </c>
      <c r="M147" s="19">
        <f t="shared" si="5"/>
        <v>0.4322916667</v>
      </c>
      <c r="N147" s="5">
        <f t="shared" si="6"/>
        <v>27556</v>
      </c>
      <c r="P147" s="5">
        <f t="shared" si="7"/>
        <v>120</v>
      </c>
      <c r="Q147" s="19">
        <f t="shared" si="8"/>
        <v>0.3125</v>
      </c>
      <c r="R147" s="5">
        <f t="shared" si="9"/>
        <v>14400</v>
      </c>
      <c r="T147" s="5">
        <f t="shared" si="10"/>
        <v>141</v>
      </c>
      <c r="U147" s="19">
        <f t="shared" si="11"/>
        <v>0.3671875</v>
      </c>
      <c r="V147" s="5">
        <f t="shared" si="12"/>
        <v>19881</v>
      </c>
    </row>
    <row r="148">
      <c r="A148" s="2">
        <v>40752.0</v>
      </c>
      <c r="B148" s="5">
        <v>36.0</v>
      </c>
      <c r="C148" s="5">
        <f t="shared" si="2"/>
        <v>204</v>
      </c>
      <c r="D148" s="5">
        <f t="shared" si="3"/>
        <v>265</v>
      </c>
      <c r="E148" s="5">
        <f t="shared" si="1"/>
        <v>299</v>
      </c>
      <c r="L148" s="5">
        <f t="shared" si="4"/>
        <v>-168</v>
      </c>
      <c r="M148" s="19">
        <f t="shared" si="5"/>
        <v>4.666666667</v>
      </c>
      <c r="N148" s="5">
        <f t="shared" si="6"/>
        <v>28224</v>
      </c>
      <c r="P148" s="5">
        <f t="shared" si="7"/>
        <v>-229</v>
      </c>
      <c r="Q148" s="19">
        <f t="shared" si="8"/>
        <v>6.361111111</v>
      </c>
      <c r="R148" s="5">
        <f t="shared" si="9"/>
        <v>52441</v>
      </c>
      <c r="T148" s="5">
        <f t="shared" si="10"/>
        <v>-263</v>
      </c>
      <c r="U148" s="19">
        <f t="shared" si="11"/>
        <v>7.305555556</v>
      </c>
      <c r="V148" s="5">
        <f t="shared" si="12"/>
        <v>69169</v>
      </c>
    </row>
    <row r="149">
      <c r="A149" s="2">
        <v>40753.0</v>
      </c>
      <c r="B149" s="5">
        <v>0.0</v>
      </c>
      <c r="C149" s="5">
        <f t="shared" si="2"/>
        <v>205</v>
      </c>
      <c r="D149" s="5">
        <f t="shared" si="3"/>
        <v>263</v>
      </c>
      <c r="E149" s="5">
        <f t="shared" si="1"/>
        <v>194</v>
      </c>
      <c r="L149" s="5">
        <f t="shared" si="4"/>
        <v>-205</v>
      </c>
      <c r="M149" s="19">
        <f t="shared" si="5"/>
        <v>1</v>
      </c>
      <c r="N149" s="5">
        <f t="shared" si="6"/>
        <v>42025</v>
      </c>
      <c r="P149" s="5">
        <f t="shared" si="7"/>
        <v>-263</v>
      </c>
      <c r="Q149" s="19">
        <f t="shared" si="8"/>
        <v>1</v>
      </c>
      <c r="R149" s="5">
        <f t="shared" si="9"/>
        <v>69169</v>
      </c>
      <c r="T149" s="5">
        <f t="shared" si="10"/>
        <v>-194</v>
      </c>
      <c r="U149" s="19">
        <f t="shared" si="11"/>
        <v>1</v>
      </c>
      <c r="V149" s="5">
        <f t="shared" si="12"/>
        <v>37636</v>
      </c>
    </row>
    <row r="150">
      <c r="A150" s="2">
        <v>40756.0</v>
      </c>
      <c r="B150" s="5">
        <v>422.0</v>
      </c>
      <c r="C150" s="5">
        <f t="shared" si="2"/>
        <v>205</v>
      </c>
      <c r="D150" s="5">
        <f t="shared" si="3"/>
        <v>261</v>
      </c>
      <c r="E150" s="5">
        <f t="shared" si="1"/>
        <v>116</v>
      </c>
      <c r="L150" s="5">
        <f t="shared" si="4"/>
        <v>217</v>
      </c>
      <c r="M150" s="19">
        <f t="shared" si="5"/>
        <v>0.5142180095</v>
      </c>
      <c r="N150" s="5">
        <f t="shared" si="6"/>
        <v>47089</v>
      </c>
      <c r="P150" s="5">
        <f t="shared" si="7"/>
        <v>161</v>
      </c>
      <c r="Q150" s="19">
        <f t="shared" si="8"/>
        <v>0.3815165877</v>
      </c>
      <c r="R150" s="5">
        <f t="shared" si="9"/>
        <v>25921</v>
      </c>
      <c r="T150" s="5">
        <f t="shared" si="10"/>
        <v>306</v>
      </c>
      <c r="U150" s="19">
        <f t="shared" si="11"/>
        <v>0.7251184834</v>
      </c>
      <c r="V150" s="5">
        <f t="shared" si="12"/>
        <v>93636</v>
      </c>
    </row>
    <row r="151">
      <c r="A151" s="2">
        <v>40757.0</v>
      </c>
      <c r="B151" s="5">
        <v>438.0</v>
      </c>
      <c r="C151" s="5">
        <f t="shared" si="2"/>
        <v>227</v>
      </c>
      <c r="D151" s="5">
        <f t="shared" si="3"/>
        <v>262</v>
      </c>
      <c r="E151" s="5">
        <f t="shared" si="1"/>
        <v>238</v>
      </c>
      <c r="L151" s="5">
        <f t="shared" si="4"/>
        <v>211</v>
      </c>
      <c r="M151" s="19">
        <f t="shared" si="5"/>
        <v>0.4817351598</v>
      </c>
      <c r="N151" s="5">
        <f t="shared" si="6"/>
        <v>44521</v>
      </c>
      <c r="P151" s="5">
        <f t="shared" si="7"/>
        <v>176</v>
      </c>
      <c r="Q151" s="19">
        <f t="shared" si="8"/>
        <v>0.401826484</v>
      </c>
      <c r="R151" s="5">
        <f t="shared" si="9"/>
        <v>30976</v>
      </c>
      <c r="T151" s="5">
        <f t="shared" si="10"/>
        <v>200</v>
      </c>
      <c r="U151" s="19">
        <f t="shared" si="11"/>
        <v>0.4566210046</v>
      </c>
      <c r="V151" s="5">
        <f t="shared" si="12"/>
        <v>40000</v>
      </c>
    </row>
    <row r="152">
      <c r="A152" s="2">
        <v>40758.0</v>
      </c>
      <c r="B152" s="5">
        <v>516.0</v>
      </c>
      <c r="C152" s="5">
        <f t="shared" si="2"/>
        <v>256</v>
      </c>
      <c r="D152" s="5">
        <f t="shared" si="3"/>
        <v>264</v>
      </c>
      <c r="E152" s="5">
        <f t="shared" si="1"/>
        <v>318</v>
      </c>
      <c r="L152" s="5">
        <f t="shared" si="4"/>
        <v>260</v>
      </c>
      <c r="M152" s="19">
        <f t="shared" si="5"/>
        <v>0.503875969</v>
      </c>
      <c r="N152" s="5">
        <f t="shared" si="6"/>
        <v>67600</v>
      </c>
      <c r="P152" s="5">
        <f t="shared" si="7"/>
        <v>252</v>
      </c>
      <c r="Q152" s="19">
        <f t="shared" si="8"/>
        <v>0.488372093</v>
      </c>
      <c r="R152" s="5">
        <f t="shared" si="9"/>
        <v>63504</v>
      </c>
      <c r="T152" s="5">
        <f t="shared" si="10"/>
        <v>198</v>
      </c>
      <c r="U152" s="19">
        <f t="shared" si="11"/>
        <v>0.3837209302</v>
      </c>
      <c r="V152" s="5">
        <f t="shared" si="12"/>
        <v>39204</v>
      </c>
    </row>
    <row r="153">
      <c r="A153" s="2">
        <v>40759.0</v>
      </c>
      <c r="B153" s="5">
        <v>1.0</v>
      </c>
      <c r="C153" s="5">
        <f t="shared" si="2"/>
        <v>282</v>
      </c>
      <c r="D153" s="5">
        <f t="shared" si="3"/>
        <v>265</v>
      </c>
      <c r="E153" s="5">
        <f t="shared" si="1"/>
        <v>397</v>
      </c>
      <c r="L153" s="5">
        <f t="shared" si="4"/>
        <v>-281</v>
      </c>
      <c r="M153" s="19">
        <f t="shared" si="5"/>
        <v>281</v>
      </c>
      <c r="N153" s="5">
        <f t="shared" si="6"/>
        <v>78961</v>
      </c>
      <c r="P153" s="5">
        <f t="shared" si="7"/>
        <v>-264</v>
      </c>
      <c r="Q153" s="19">
        <f t="shared" si="8"/>
        <v>264</v>
      </c>
      <c r="R153" s="5">
        <f t="shared" si="9"/>
        <v>69696</v>
      </c>
      <c r="T153" s="5">
        <f t="shared" si="10"/>
        <v>-396</v>
      </c>
      <c r="U153" s="19">
        <f t="shared" si="11"/>
        <v>396</v>
      </c>
      <c r="V153" s="5">
        <f t="shared" si="12"/>
        <v>156816</v>
      </c>
    </row>
    <row r="154">
      <c r="A154" s="2">
        <v>40760.0</v>
      </c>
      <c r="B154" s="5">
        <v>0.0</v>
      </c>
      <c r="C154" s="5">
        <f t="shared" si="2"/>
        <v>275</v>
      </c>
      <c r="D154" s="5">
        <f t="shared" si="3"/>
        <v>263</v>
      </c>
      <c r="E154" s="5">
        <f t="shared" si="1"/>
        <v>239</v>
      </c>
      <c r="L154" s="5">
        <f t="shared" si="4"/>
        <v>-275</v>
      </c>
      <c r="M154" s="19">
        <f t="shared" si="5"/>
        <v>1</v>
      </c>
      <c r="N154" s="5">
        <f t="shared" si="6"/>
        <v>75625</v>
      </c>
      <c r="P154" s="5">
        <f t="shared" si="7"/>
        <v>-263</v>
      </c>
      <c r="Q154" s="19">
        <f t="shared" si="8"/>
        <v>1</v>
      </c>
      <c r="R154" s="5">
        <f t="shared" si="9"/>
        <v>69169</v>
      </c>
      <c r="T154" s="5">
        <f t="shared" si="10"/>
        <v>-239</v>
      </c>
      <c r="U154" s="19">
        <f t="shared" si="11"/>
        <v>1</v>
      </c>
      <c r="V154" s="5">
        <f t="shared" si="12"/>
        <v>57121</v>
      </c>
    </row>
    <row r="155">
      <c r="A155" s="2">
        <v>40763.0</v>
      </c>
      <c r="B155" s="5">
        <v>288.0</v>
      </c>
      <c r="C155" s="5">
        <f t="shared" si="2"/>
        <v>275</v>
      </c>
      <c r="D155" s="5">
        <f t="shared" si="3"/>
        <v>262</v>
      </c>
      <c r="E155" s="5">
        <f t="shared" si="1"/>
        <v>143</v>
      </c>
      <c r="L155" s="5">
        <f t="shared" si="4"/>
        <v>13</v>
      </c>
      <c r="M155" s="19">
        <f t="shared" si="5"/>
        <v>0.04513888889</v>
      </c>
      <c r="N155" s="5">
        <f t="shared" si="6"/>
        <v>169</v>
      </c>
      <c r="P155" s="5">
        <f t="shared" si="7"/>
        <v>26</v>
      </c>
      <c r="Q155" s="19">
        <f t="shared" si="8"/>
        <v>0.09027777778</v>
      </c>
      <c r="R155" s="5">
        <f t="shared" si="9"/>
        <v>676</v>
      </c>
      <c r="T155" s="5">
        <f t="shared" si="10"/>
        <v>145</v>
      </c>
      <c r="U155" s="19">
        <f t="shared" si="11"/>
        <v>0.5034722222</v>
      </c>
      <c r="V155" s="5">
        <f t="shared" si="12"/>
        <v>21025</v>
      </c>
    </row>
    <row r="156">
      <c r="A156" s="2">
        <v>40764.0</v>
      </c>
      <c r="B156" s="5">
        <v>12.0</v>
      </c>
      <c r="C156" s="5">
        <f t="shared" si="2"/>
        <v>249</v>
      </c>
      <c r="D156" s="5">
        <f t="shared" si="3"/>
        <v>262</v>
      </c>
      <c r="E156" s="5">
        <f t="shared" si="1"/>
        <v>201</v>
      </c>
      <c r="L156" s="5">
        <f t="shared" si="4"/>
        <v>-237</v>
      </c>
      <c r="M156" s="19">
        <f t="shared" si="5"/>
        <v>19.75</v>
      </c>
      <c r="N156" s="5">
        <f t="shared" si="6"/>
        <v>56169</v>
      </c>
      <c r="P156" s="5">
        <f t="shared" si="7"/>
        <v>-250</v>
      </c>
      <c r="Q156" s="19">
        <f t="shared" si="8"/>
        <v>20.83333333</v>
      </c>
      <c r="R156" s="5">
        <f t="shared" si="9"/>
        <v>62500</v>
      </c>
      <c r="T156" s="5">
        <f t="shared" si="10"/>
        <v>-189</v>
      </c>
      <c r="U156" s="19">
        <f t="shared" si="11"/>
        <v>15.75</v>
      </c>
      <c r="V156" s="5">
        <f t="shared" si="12"/>
        <v>35721</v>
      </c>
    </row>
    <row r="157">
      <c r="A157" s="2">
        <v>40765.0</v>
      </c>
      <c r="B157" s="5">
        <v>510.0</v>
      </c>
      <c r="C157" s="5">
        <f t="shared" si="2"/>
        <v>163</v>
      </c>
      <c r="D157" s="5">
        <f t="shared" si="3"/>
        <v>260</v>
      </c>
      <c r="E157" s="5">
        <f t="shared" si="1"/>
        <v>125</v>
      </c>
      <c r="L157" s="5">
        <f t="shared" si="4"/>
        <v>347</v>
      </c>
      <c r="M157" s="19">
        <f t="shared" si="5"/>
        <v>0.6803921569</v>
      </c>
      <c r="N157" s="5">
        <f t="shared" si="6"/>
        <v>120409</v>
      </c>
      <c r="P157" s="5">
        <f t="shared" si="7"/>
        <v>250</v>
      </c>
      <c r="Q157" s="19">
        <f t="shared" si="8"/>
        <v>0.4901960784</v>
      </c>
      <c r="R157" s="5">
        <f t="shared" si="9"/>
        <v>62500</v>
      </c>
      <c r="T157" s="5">
        <f t="shared" si="10"/>
        <v>385</v>
      </c>
      <c r="U157" s="19">
        <f t="shared" si="11"/>
        <v>0.7549019608</v>
      </c>
      <c r="V157" s="5">
        <f t="shared" si="12"/>
        <v>148225</v>
      </c>
    </row>
    <row r="158">
      <c r="A158" s="2">
        <v>40766.0</v>
      </c>
      <c r="B158" s="5">
        <v>451.0</v>
      </c>
      <c r="C158" s="5">
        <f t="shared" si="2"/>
        <v>162</v>
      </c>
      <c r="D158" s="5">
        <f t="shared" si="3"/>
        <v>262</v>
      </c>
      <c r="E158" s="5">
        <f t="shared" si="1"/>
        <v>279</v>
      </c>
      <c r="L158" s="5">
        <f t="shared" si="4"/>
        <v>289</v>
      </c>
      <c r="M158" s="19">
        <f t="shared" si="5"/>
        <v>0.6407982262</v>
      </c>
      <c r="N158" s="5">
        <f t="shared" si="6"/>
        <v>83521</v>
      </c>
      <c r="P158" s="5">
        <f t="shared" si="7"/>
        <v>189</v>
      </c>
      <c r="Q158" s="19">
        <f t="shared" si="8"/>
        <v>0.4190687361</v>
      </c>
      <c r="R158" s="5">
        <f t="shared" si="9"/>
        <v>35721</v>
      </c>
      <c r="T158" s="5">
        <f t="shared" si="10"/>
        <v>172</v>
      </c>
      <c r="U158" s="19">
        <f t="shared" si="11"/>
        <v>0.3813747228</v>
      </c>
      <c r="V158" s="5">
        <f t="shared" si="12"/>
        <v>29584</v>
      </c>
    </row>
    <row r="159">
      <c r="A159" s="2">
        <v>40767.0</v>
      </c>
      <c r="B159" s="5">
        <v>0.0</v>
      </c>
      <c r="C159" s="5">
        <f t="shared" si="2"/>
        <v>252</v>
      </c>
      <c r="D159" s="5">
        <f t="shared" si="3"/>
        <v>263</v>
      </c>
      <c r="E159" s="5">
        <f t="shared" si="1"/>
        <v>348</v>
      </c>
      <c r="L159" s="5">
        <f t="shared" si="4"/>
        <v>-252</v>
      </c>
      <c r="M159" s="19">
        <f t="shared" si="5"/>
        <v>1</v>
      </c>
      <c r="N159" s="5">
        <f t="shared" si="6"/>
        <v>63504</v>
      </c>
      <c r="P159" s="5">
        <f t="shared" si="7"/>
        <v>-263</v>
      </c>
      <c r="Q159" s="19">
        <f t="shared" si="8"/>
        <v>1</v>
      </c>
      <c r="R159" s="5">
        <f t="shared" si="9"/>
        <v>69169</v>
      </c>
      <c r="T159" s="5">
        <f t="shared" si="10"/>
        <v>-348</v>
      </c>
      <c r="U159" s="19">
        <f t="shared" si="11"/>
        <v>1</v>
      </c>
      <c r="V159" s="5">
        <f t="shared" si="12"/>
        <v>121104</v>
      </c>
    </row>
    <row r="160">
      <c r="A160" s="2">
        <v>40770.0</v>
      </c>
      <c r="B160" s="5">
        <v>310.0</v>
      </c>
      <c r="C160" s="5">
        <f t="shared" si="2"/>
        <v>252</v>
      </c>
      <c r="D160" s="5">
        <f t="shared" si="3"/>
        <v>261</v>
      </c>
      <c r="E160" s="5">
        <f t="shared" si="1"/>
        <v>209</v>
      </c>
      <c r="L160" s="5">
        <f t="shared" si="4"/>
        <v>58</v>
      </c>
      <c r="M160" s="19">
        <f t="shared" si="5"/>
        <v>0.1870967742</v>
      </c>
      <c r="N160" s="5">
        <f t="shared" si="6"/>
        <v>3364</v>
      </c>
      <c r="P160" s="5">
        <f t="shared" si="7"/>
        <v>49</v>
      </c>
      <c r="Q160" s="19">
        <f t="shared" si="8"/>
        <v>0.1580645161</v>
      </c>
      <c r="R160" s="5">
        <f t="shared" si="9"/>
        <v>2401</v>
      </c>
      <c r="T160" s="5">
        <f t="shared" si="10"/>
        <v>101</v>
      </c>
      <c r="U160" s="19">
        <f t="shared" si="11"/>
        <v>0.3258064516</v>
      </c>
      <c r="V160" s="5">
        <f t="shared" si="12"/>
        <v>10201</v>
      </c>
    </row>
    <row r="161">
      <c r="A161" s="2">
        <v>40771.0</v>
      </c>
      <c r="B161" s="5">
        <v>462.0</v>
      </c>
      <c r="C161" s="5">
        <f t="shared" si="2"/>
        <v>257</v>
      </c>
      <c r="D161" s="5">
        <f t="shared" si="3"/>
        <v>262</v>
      </c>
      <c r="E161" s="5">
        <f t="shared" si="1"/>
        <v>249</v>
      </c>
      <c r="L161" s="5">
        <f t="shared" si="4"/>
        <v>205</v>
      </c>
      <c r="M161" s="19">
        <f t="shared" si="5"/>
        <v>0.4437229437</v>
      </c>
      <c r="N161" s="5">
        <f t="shared" si="6"/>
        <v>42025</v>
      </c>
      <c r="P161" s="5">
        <f t="shared" si="7"/>
        <v>200</v>
      </c>
      <c r="Q161" s="19">
        <f t="shared" si="8"/>
        <v>0.4329004329</v>
      </c>
      <c r="R161" s="5">
        <f t="shared" si="9"/>
        <v>40000</v>
      </c>
      <c r="T161" s="5">
        <f t="shared" si="10"/>
        <v>213</v>
      </c>
      <c r="U161" s="19">
        <f t="shared" si="11"/>
        <v>0.461038961</v>
      </c>
      <c r="V161" s="5">
        <f t="shared" si="12"/>
        <v>45369</v>
      </c>
    </row>
    <row r="162">
      <c r="A162" s="2">
        <v>40772.0</v>
      </c>
      <c r="B162" s="5">
        <v>462.0</v>
      </c>
      <c r="C162" s="5">
        <f t="shared" si="2"/>
        <v>347</v>
      </c>
      <c r="D162" s="5">
        <f t="shared" si="3"/>
        <v>263</v>
      </c>
      <c r="E162" s="5">
        <f t="shared" si="1"/>
        <v>334</v>
      </c>
      <c r="L162" s="5">
        <f t="shared" si="4"/>
        <v>115</v>
      </c>
      <c r="M162" s="19">
        <f t="shared" si="5"/>
        <v>0.2489177489</v>
      </c>
      <c r="N162" s="5">
        <f t="shared" si="6"/>
        <v>13225</v>
      </c>
      <c r="P162" s="5">
        <f t="shared" si="7"/>
        <v>199</v>
      </c>
      <c r="Q162" s="19">
        <f t="shared" si="8"/>
        <v>0.4307359307</v>
      </c>
      <c r="R162" s="5">
        <f t="shared" si="9"/>
        <v>39601</v>
      </c>
      <c r="T162" s="5">
        <f t="shared" si="10"/>
        <v>128</v>
      </c>
      <c r="U162" s="19">
        <f t="shared" si="11"/>
        <v>0.2770562771</v>
      </c>
      <c r="V162" s="5">
        <f t="shared" si="12"/>
        <v>16384</v>
      </c>
    </row>
    <row r="163">
      <c r="A163" s="2">
        <v>40773.0</v>
      </c>
      <c r="B163" s="5">
        <v>0.0</v>
      </c>
      <c r="C163" s="5">
        <f t="shared" si="2"/>
        <v>337</v>
      </c>
      <c r="D163" s="5">
        <f t="shared" si="3"/>
        <v>264</v>
      </c>
      <c r="E163" s="5">
        <f t="shared" si="1"/>
        <v>385</v>
      </c>
      <c r="L163" s="5">
        <f t="shared" si="4"/>
        <v>-337</v>
      </c>
      <c r="M163" s="19">
        <f t="shared" si="5"/>
        <v>1</v>
      </c>
      <c r="N163" s="5">
        <f t="shared" si="6"/>
        <v>113569</v>
      </c>
      <c r="P163" s="5">
        <f t="shared" si="7"/>
        <v>-264</v>
      </c>
      <c r="Q163" s="19">
        <f t="shared" si="8"/>
        <v>1</v>
      </c>
      <c r="R163" s="5">
        <f t="shared" si="9"/>
        <v>69696</v>
      </c>
      <c r="T163" s="5">
        <f t="shared" si="10"/>
        <v>-385</v>
      </c>
      <c r="U163" s="19">
        <f t="shared" si="11"/>
        <v>1</v>
      </c>
      <c r="V163" s="5">
        <f t="shared" si="12"/>
        <v>148225</v>
      </c>
    </row>
    <row r="164">
      <c r="A164" s="2">
        <v>40774.0</v>
      </c>
      <c r="B164" s="5">
        <v>0.0</v>
      </c>
      <c r="C164" s="5">
        <f t="shared" si="2"/>
        <v>247</v>
      </c>
      <c r="D164" s="5">
        <f t="shared" si="3"/>
        <v>263</v>
      </c>
      <c r="E164" s="5">
        <f t="shared" si="1"/>
        <v>231</v>
      </c>
      <c r="L164" s="5">
        <f t="shared" si="4"/>
        <v>-247</v>
      </c>
      <c r="M164" s="19">
        <f t="shared" si="5"/>
        <v>1</v>
      </c>
      <c r="N164" s="5">
        <f t="shared" si="6"/>
        <v>61009</v>
      </c>
      <c r="P164" s="5">
        <f t="shared" si="7"/>
        <v>-263</v>
      </c>
      <c r="Q164" s="19">
        <f t="shared" si="8"/>
        <v>1</v>
      </c>
      <c r="R164" s="5">
        <f t="shared" si="9"/>
        <v>69169</v>
      </c>
      <c r="T164" s="5">
        <f t="shared" si="10"/>
        <v>-231</v>
      </c>
      <c r="U164" s="19">
        <f t="shared" si="11"/>
        <v>1</v>
      </c>
      <c r="V164" s="5">
        <f t="shared" si="12"/>
        <v>53361</v>
      </c>
    </row>
    <row r="165">
      <c r="A165" s="2">
        <v>40777.0</v>
      </c>
      <c r="B165" s="5">
        <v>318.0</v>
      </c>
      <c r="C165" s="5">
        <f t="shared" si="2"/>
        <v>247</v>
      </c>
      <c r="D165" s="5">
        <f t="shared" si="3"/>
        <v>261</v>
      </c>
      <c r="E165" s="5">
        <f t="shared" si="1"/>
        <v>139</v>
      </c>
      <c r="L165" s="5">
        <f t="shared" si="4"/>
        <v>71</v>
      </c>
      <c r="M165" s="19">
        <f t="shared" si="5"/>
        <v>0.2232704403</v>
      </c>
      <c r="N165" s="5">
        <f t="shared" si="6"/>
        <v>5041</v>
      </c>
      <c r="P165" s="5">
        <f t="shared" si="7"/>
        <v>57</v>
      </c>
      <c r="Q165" s="19">
        <f t="shared" si="8"/>
        <v>0.179245283</v>
      </c>
      <c r="R165" s="5">
        <f t="shared" si="9"/>
        <v>3249</v>
      </c>
      <c r="T165" s="5">
        <f t="shared" si="10"/>
        <v>179</v>
      </c>
      <c r="U165" s="19">
        <f t="shared" si="11"/>
        <v>0.5628930818</v>
      </c>
      <c r="V165" s="5">
        <f t="shared" si="12"/>
        <v>32041</v>
      </c>
    </row>
    <row r="166">
      <c r="A166" s="2">
        <v>40778.0</v>
      </c>
      <c r="B166" s="5">
        <v>642.0</v>
      </c>
      <c r="C166" s="5">
        <f t="shared" si="2"/>
        <v>248</v>
      </c>
      <c r="D166" s="5">
        <f t="shared" si="3"/>
        <v>261</v>
      </c>
      <c r="E166" s="5">
        <f t="shared" si="1"/>
        <v>211</v>
      </c>
      <c r="L166" s="5">
        <f t="shared" si="4"/>
        <v>394</v>
      </c>
      <c r="M166" s="19">
        <f t="shared" si="5"/>
        <v>0.6137071651</v>
      </c>
      <c r="N166" s="5">
        <f t="shared" si="6"/>
        <v>155236</v>
      </c>
      <c r="P166" s="5">
        <f t="shared" si="7"/>
        <v>381</v>
      </c>
      <c r="Q166" s="19">
        <f t="shared" si="8"/>
        <v>0.5934579439</v>
      </c>
      <c r="R166" s="5">
        <f t="shared" si="9"/>
        <v>145161</v>
      </c>
      <c r="T166" s="5">
        <f t="shared" si="10"/>
        <v>431</v>
      </c>
      <c r="U166" s="19">
        <f t="shared" si="11"/>
        <v>0.6713395639</v>
      </c>
      <c r="V166" s="5">
        <f t="shared" si="12"/>
        <v>185761</v>
      </c>
    </row>
    <row r="167">
      <c r="A167" s="2">
        <v>40779.0</v>
      </c>
      <c r="B167" s="5">
        <v>432.0</v>
      </c>
      <c r="C167" s="5">
        <f t="shared" si="2"/>
        <v>284</v>
      </c>
      <c r="D167" s="5">
        <f t="shared" si="3"/>
        <v>264</v>
      </c>
      <c r="E167" s="5">
        <f t="shared" si="1"/>
        <v>383</v>
      </c>
      <c r="L167" s="5">
        <f t="shared" si="4"/>
        <v>148</v>
      </c>
      <c r="M167" s="19">
        <f t="shared" si="5"/>
        <v>0.3425925926</v>
      </c>
      <c r="N167" s="5">
        <f t="shared" si="6"/>
        <v>21904</v>
      </c>
      <c r="P167" s="5">
        <f t="shared" si="7"/>
        <v>168</v>
      </c>
      <c r="Q167" s="19">
        <f t="shared" si="8"/>
        <v>0.3888888889</v>
      </c>
      <c r="R167" s="5">
        <f t="shared" si="9"/>
        <v>28224</v>
      </c>
      <c r="T167" s="5">
        <f t="shared" si="10"/>
        <v>49</v>
      </c>
      <c r="U167" s="19">
        <f t="shared" si="11"/>
        <v>0.1134259259</v>
      </c>
      <c r="V167" s="5">
        <f t="shared" si="12"/>
        <v>2401</v>
      </c>
    </row>
    <row r="168">
      <c r="A168" s="2">
        <v>40780.0</v>
      </c>
      <c r="B168" s="5">
        <v>18.0</v>
      </c>
      <c r="C168" s="5">
        <f t="shared" si="2"/>
        <v>278</v>
      </c>
      <c r="D168" s="5">
        <f t="shared" si="3"/>
        <v>265</v>
      </c>
      <c r="E168" s="5">
        <f t="shared" si="1"/>
        <v>403</v>
      </c>
      <c r="L168" s="5">
        <f t="shared" si="4"/>
        <v>-260</v>
      </c>
      <c r="M168" s="19">
        <f t="shared" si="5"/>
        <v>14.44444444</v>
      </c>
      <c r="N168" s="5">
        <f t="shared" si="6"/>
        <v>67600</v>
      </c>
      <c r="P168" s="5">
        <f t="shared" si="7"/>
        <v>-247</v>
      </c>
      <c r="Q168" s="19">
        <f t="shared" si="8"/>
        <v>13.72222222</v>
      </c>
      <c r="R168" s="5">
        <f t="shared" si="9"/>
        <v>61009</v>
      </c>
      <c r="T168" s="5">
        <f t="shared" si="10"/>
        <v>-385</v>
      </c>
      <c r="U168" s="19">
        <f t="shared" si="11"/>
        <v>21.38888889</v>
      </c>
      <c r="V168" s="5">
        <f t="shared" si="12"/>
        <v>148225</v>
      </c>
    </row>
    <row r="169">
      <c r="A169" s="2">
        <v>40781.0</v>
      </c>
      <c r="B169" s="5">
        <v>0.0</v>
      </c>
      <c r="C169" s="5">
        <f t="shared" si="2"/>
        <v>282</v>
      </c>
      <c r="D169" s="5">
        <f t="shared" si="3"/>
        <v>263</v>
      </c>
      <c r="E169" s="5">
        <f t="shared" si="1"/>
        <v>249</v>
      </c>
      <c r="L169" s="5">
        <f t="shared" si="4"/>
        <v>-282</v>
      </c>
      <c r="M169" s="19">
        <f t="shared" si="5"/>
        <v>1</v>
      </c>
      <c r="N169" s="5">
        <f t="shared" si="6"/>
        <v>79524</v>
      </c>
      <c r="P169" s="5">
        <f t="shared" si="7"/>
        <v>-263</v>
      </c>
      <c r="Q169" s="19">
        <f t="shared" si="8"/>
        <v>1</v>
      </c>
      <c r="R169" s="5">
        <f t="shared" si="9"/>
        <v>69169</v>
      </c>
      <c r="T169" s="5">
        <f t="shared" si="10"/>
        <v>-249</v>
      </c>
      <c r="U169" s="19">
        <f t="shared" si="11"/>
        <v>1</v>
      </c>
      <c r="V169" s="5">
        <f t="shared" si="12"/>
        <v>62001</v>
      </c>
    </row>
    <row r="170">
      <c r="A170" s="2">
        <v>40784.0</v>
      </c>
      <c r="B170" s="5">
        <v>366.0</v>
      </c>
      <c r="C170" s="5">
        <f t="shared" si="2"/>
        <v>282</v>
      </c>
      <c r="D170" s="5">
        <f t="shared" si="3"/>
        <v>262</v>
      </c>
      <c r="E170" s="5">
        <f t="shared" si="1"/>
        <v>149</v>
      </c>
      <c r="L170" s="5">
        <f t="shared" si="4"/>
        <v>84</v>
      </c>
      <c r="M170" s="19">
        <f t="shared" si="5"/>
        <v>0.2295081967</v>
      </c>
      <c r="N170" s="5">
        <f t="shared" si="6"/>
        <v>7056</v>
      </c>
      <c r="P170" s="5">
        <f t="shared" si="7"/>
        <v>104</v>
      </c>
      <c r="Q170" s="19">
        <f t="shared" si="8"/>
        <v>0.2841530055</v>
      </c>
      <c r="R170" s="5">
        <f t="shared" si="9"/>
        <v>10816</v>
      </c>
      <c r="T170" s="5">
        <f t="shared" si="10"/>
        <v>217</v>
      </c>
      <c r="U170" s="19">
        <f t="shared" si="11"/>
        <v>0.5928961749</v>
      </c>
      <c r="V170" s="5">
        <f t="shared" si="12"/>
        <v>47089</v>
      </c>
    </row>
    <row r="171">
      <c r="A171" s="2">
        <v>40785.0</v>
      </c>
      <c r="B171" s="5">
        <v>492.0</v>
      </c>
      <c r="C171" s="5">
        <f t="shared" si="2"/>
        <v>292</v>
      </c>
      <c r="D171" s="5">
        <f t="shared" si="3"/>
        <v>262</v>
      </c>
      <c r="E171" s="5">
        <f t="shared" si="1"/>
        <v>236</v>
      </c>
      <c r="L171" s="5">
        <f t="shared" si="4"/>
        <v>200</v>
      </c>
      <c r="M171" s="19">
        <f t="shared" si="5"/>
        <v>0.406504065</v>
      </c>
      <c r="N171" s="5">
        <f t="shared" si="6"/>
        <v>40000</v>
      </c>
      <c r="P171" s="5">
        <f t="shared" si="7"/>
        <v>230</v>
      </c>
      <c r="Q171" s="19">
        <f t="shared" si="8"/>
        <v>0.4674796748</v>
      </c>
      <c r="R171" s="5">
        <f t="shared" si="9"/>
        <v>52900</v>
      </c>
      <c r="T171" s="5">
        <f t="shared" si="10"/>
        <v>256</v>
      </c>
      <c r="U171" s="19">
        <f t="shared" si="11"/>
        <v>0.5203252033</v>
      </c>
      <c r="V171" s="5">
        <f t="shared" si="12"/>
        <v>65536</v>
      </c>
    </row>
    <row r="172">
      <c r="A172" s="2">
        <v>40786.0</v>
      </c>
      <c r="B172" s="5">
        <v>510.0</v>
      </c>
      <c r="C172" s="5">
        <f t="shared" si="2"/>
        <v>262</v>
      </c>
      <c r="D172" s="5">
        <f t="shared" si="3"/>
        <v>264</v>
      </c>
      <c r="E172" s="5">
        <f t="shared" si="1"/>
        <v>338</v>
      </c>
      <c r="L172" s="5">
        <f t="shared" si="4"/>
        <v>248</v>
      </c>
      <c r="M172" s="19">
        <f t="shared" si="5"/>
        <v>0.4862745098</v>
      </c>
      <c r="N172" s="5">
        <f t="shared" si="6"/>
        <v>61504</v>
      </c>
      <c r="P172" s="5">
        <f t="shared" si="7"/>
        <v>246</v>
      </c>
      <c r="Q172" s="19">
        <f t="shared" si="8"/>
        <v>0.4823529412</v>
      </c>
      <c r="R172" s="5">
        <f t="shared" si="9"/>
        <v>60516</v>
      </c>
      <c r="T172" s="5">
        <f t="shared" si="10"/>
        <v>172</v>
      </c>
      <c r="U172" s="19">
        <f t="shared" si="11"/>
        <v>0.337254902</v>
      </c>
      <c r="V172" s="5">
        <f t="shared" si="12"/>
        <v>29584</v>
      </c>
    </row>
    <row r="173">
      <c r="A173" s="2">
        <v>40787.0</v>
      </c>
      <c r="B173" s="5">
        <v>0.0</v>
      </c>
      <c r="C173" s="5">
        <f t="shared" si="2"/>
        <v>277</v>
      </c>
      <c r="D173" s="5">
        <f t="shared" si="3"/>
        <v>265</v>
      </c>
      <c r="E173" s="5">
        <f t="shared" si="1"/>
        <v>407</v>
      </c>
      <c r="L173" s="5">
        <f t="shared" si="4"/>
        <v>-277</v>
      </c>
      <c r="M173" s="19">
        <f t="shared" si="5"/>
        <v>1</v>
      </c>
      <c r="N173" s="5">
        <f t="shared" si="6"/>
        <v>76729</v>
      </c>
      <c r="P173" s="5">
        <f t="shared" si="7"/>
        <v>-265</v>
      </c>
      <c r="Q173" s="19">
        <f t="shared" si="8"/>
        <v>1</v>
      </c>
      <c r="R173" s="5">
        <f t="shared" si="9"/>
        <v>70225</v>
      </c>
      <c r="T173" s="5">
        <f t="shared" si="10"/>
        <v>-407</v>
      </c>
      <c r="U173" s="19">
        <f t="shared" si="11"/>
        <v>1</v>
      </c>
      <c r="V173" s="5">
        <f t="shared" si="12"/>
        <v>165649</v>
      </c>
    </row>
    <row r="174">
      <c r="A174" s="2">
        <v>40788.0</v>
      </c>
      <c r="B174" s="5">
        <v>0.0</v>
      </c>
      <c r="C174" s="5">
        <f t="shared" si="2"/>
        <v>274</v>
      </c>
      <c r="D174" s="5">
        <f t="shared" si="3"/>
        <v>263</v>
      </c>
      <c r="E174" s="5">
        <f t="shared" si="1"/>
        <v>244</v>
      </c>
      <c r="L174" s="5">
        <f t="shared" si="4"/>
        <v>-274</v>
      </c>
      <c r="M174" s="19">
        <f t="shared" si="5"/>
        <v>1</v>
      </c>
      <c r="N174" s="5">
        <f t="shared" si="6"/>
        <v>75076</v>
      </c>
      <c r="P174" s="5">
        <f t="shared" si="7"/>
        <v>-263</v>
      </c>
      <c r="Q174" s="19">
        <f t="shared" si="8"/>
        <v>1</v>
      </c>
      <c r="R174" s="5">
        <f t="shared" si="9"/>
        <v>69169</v>
      </c>
      <c r="T174" s="5">
        <f t="shared" si="10"/>
        <v>-244</v>
      </c>
      <c r="U174" s="19">
        <f t="shared" si="11"/>
        <v>1</v>
      </c>
      <c r="V174" s="5">
        <f t="shared" si="12"/>
        <v>59536</v>
      </c>
    </row>
    <row r="175">
      <c r="A175" s="2">
        <v>40792.0</v>
      </c>
      <c r="B175" s="5">
        <v>925.0</v>
      </c>
      <c r="C175" s="5">
        <f t="shared" si="2"/>
        <v>274</v>
      </c>
      <c r="D175" s="5">
        <f t="shared" si="3"/>
        <v>262</v>
      </c>
      <c r="E175" s="5">
        <f t="shared" si="1"/>
        <v>146</v>
      </c>
      <c r="L175" s="5">
        <f t="shared" si="4"/>
        <v>651</v>
      </c>
      <c r="M175" s="19">
        <f t="shared" si="5"/>
        <v>0.7037837838</v>
      </c>
      <c r="N175" s="5">
        <f t="shared" si="6"/>
        <v>423801</v>
      </c>
      <c r="P175" s="5">
        <f t="shared" si="7"/>
        <v>663</v>
      </c>
      <c r="Q175" s="19">
        <f t="shared" si="8"/>
        <v>0.7167567568</v>
      </c>
      <c r="R175" s="5">
        <f t="shared" si="9"/>
        <v>439569</v>
      </c>
      <c r="T175" s="5">
        <f t="shared" si="10"/>
        <v>779</v>
      </c>
      <c r="U175" s="19">
        <f t="shared" si="11"/>
        <v>0.8421621622</v>
      </c>
      <c r="V175" s="5">
        <f t="shared" si="12"/>
        <v>606841</v>
      </c>
    </row>
    <row r="176">
      <c r="A176" s="2">
        <v>40793.0</v>
      </c>
      <c r="B176" s="5">
        <v>342.0</v>
      </c>
      <c r="C176" s="5">
        <f t="shared" si="2"/>
        <v>385</v>
      </c>
      <c r="D176" s="5">
        <f t="shared" si="3"/>
        <v>266</v>
      </c>
      <c r="E176" s="5">
        <f t="shared" si="1"/>
        <v>458</v>
      </c>
      <c r="L176" s="5">
        <f t="shared" si="4"/>
        <v>-43</v>
      </c>
      <c r="M176" s="19">
        <f t="shared" si="5"/>
        <v>0.1257309942</v>
      </c>
      <c r="N176" s="5">
        <f t="shared" si="6"/>
        <v>1849</v>
      </c>
      <c r="P176" s="5">
        <f t="shared" si="7"/>
        <v>76</v>
      </c>
      <c r="Q176" s="19">
        <f t="shared" si="8"/>
        <v>0.2222222222</v>
      </c>
      <c r="R176" s="5">
        <f t="shared" si="9"/>
        <v>5776</v>
      </c>
      <c r="T176" s="5">
        <f t="shared" si="10"/>
        <v>-116</v>
      </c>
      <c r="U176" s="19">
        <f t="shared" si="11"/>
        <v>0.3391812865</v>
      </c>
      <c r="V176" s="5">
        <f t="shared" si="12"/>
        <v>13456</v>
      </c>
    </row>
    <row r="177">
      <c r="A177" s="2">
        <v>40794.0</v>
      </c>
      <c r="B177" s="5">
        <v>12.0</v>
      </c>
      <c r="C177" s="5">
        <f t="shared" si="2"/>
        <v>355</v>
      </c>
      <c r="D177" s="5">
        <f t="shared" si="3"/>
        <v>266</v>
      </c>
      <c r="E177" s="5">
        <f t="shared" si="1"/>
        <v>412</v>
      </c>
      <c r="L177" s="5">
        <f t="shared" si="4"/>
        <v>-343</v>
      </c>
      <c r="M177" s="19">
        <f t="shared" si="5"/>
        <v>28.58333333</v>
      </c>
      <c r="N177" s="5">
        <f t="shared" si="6"/>
        <v>117649</v>
      </c>
      <c r="P177" s="5">
        <f t="shared" si="7"/>
        <v>-254</v>
      </c>
      <c r="Q177" s="19">
        <f t="shared" si="8"/>
        <v>21.16666667</v>
      </c>
      <c r="R177" s="5">
        <f t="shared" si="9"/>
        <v>64516</v>
      </c>
      <c r="T177" s="5">
        <f t="shared" si="10"/>
        <v>-400</v>
      </c>
      <c r="U177" s="19">
        <f t="shared" si="11"/>
        <v>33.33333333</v>
      </c>
      <c r="V177" s="5">
        <f t="shared" si="12"/>
        <v>160000</v>
      </c>
    </row>
    <row r="178">
      <c r="A178" s="2">
        <v>40795.0</v>
      </c>
      <c r="B178" s="5">
        <v>0.0</v>
      </c>
      <c r="C178" s="5">
        <f t="shared" si="2"/>
        <v>256</v>
      </c>
      <c r="D178" s="5">
        <f t="shared" si="3"/>
        <v>265</v>
      </c>
      <c r="E178" s="5">
        <f t="shared" si="1"/>
        <v>252</v>
      </c>
      <c r="L178" s="5">
        <f t="shared" si="4"/>
        <v>-256</v>
      </c>
      <c r="M178" s="19">
        <f t="shared" si="5"/>
        <v>1</v>
      </c>
      <c r="N178" s="5">
        <f t="shared" si="6"/>
        <v>65536</v>
      </c>
      <c r="P178" s="5">
        <f t="shared" si="7"/>
        <v>-265</v>
      </c>
      <c r="Q178" s="19">
        <f t="shared" si="8"/>
        <v>1</v>
      </c>
      <c r="R178" s="5">
        <f t="shared" si="9"/>
        <v>70225</v>
      </c>
      <c r="T178" s="5">
        <f t="shared" si="10"/>
        <v>-252</v>
      </c>
      <c r="U178" s="19">
        <f t="shared" si="11"/>
        <v>1</v>
      </c>
      <c r="V178" s="5">
        <f t="shared" si="12"/>
        <v>63504</v>
      </c>
    </row>
    <row r="179">
      <c r="A179" s="2">
        <v>40798.0</v>
      </c>
      <c r="B179" s="5">
        <v>391.0</v>
      </c>
      <c r="C179" s="5">
        <f t="shared" si="2"/>
        <v>256</v>
      </c>
      <c r="D179" s="5">
        <f t="shared" si="3"/>
        <v>263</v>
      </c>
      <c r="E179" s="5">
        <f t="shared" si="1"/>
        <v>151</v>
      </c>
      <c r="L179" s="5">
        <f t="shared" si="4"/>
        <v>135</v>
      </c>
      <c r="M179" s="19">
        <f t="shared" si="5"/>
        <v>0.3452685422</v>
      </c>
      <c r="N179" s="5">
        <f t="shared" si="6"/>
        <v>18225</v>
      </c>
      <c r="P179" s="5">
        <f t="shared" si="7"/>
        <v>128</v>
      </c>
      <c r="Q179" s="19">
        <f t="shared" si="8"/>
        <v>0.3273657289</v>
      </c>
      <c r="R179" s="5">
        <f t="shared" si="9"/>
        <v>16384</v>
      </c>
      <c r="T179" s="5">
        <f t="shared" si="10"/>
        <v>240</v>
      </c>
      <c r="U179" s="19">
        <f t="shared" si="11"/>
        <v>0.6138107417</v>
      </c>
      <c r="V179" s="5">
        <f t="shared" si="12"/>
        <v>57600</v>
      </c>
    </row>
    <row r="180">
      <c r="A180" s="2">
        <v>40799.0</v>
      </c>
      <c r="B180" s="5">
        <v>432.0</v>
      </c>
      <c r="C180" s="5">
        <f t="shared" si="2"/>
        <v>334</v>
      </c>
      <c r="D180" s="5">
        <f t="shared" si="3"/>
        <v>264</v>
      </c>
      <c r="E180" s="5">
        <f t="shared" si="1"/>
        <v>247</v>
      </c>
      <c r="L180" s="5">
        <f t="shared" si="4"/>
        <v>98</v>
      </c>
      <c r="M180" s="19">
        <f t="shared" si="5"/>
        <v>0.2268518519</v>
      </c>
      <c r="N180" s="5">
        <f t="shared" si="6"/>
        <v>9604</v>
      </c>
      <c r="P180" s="5">
        <f t="shared" si="7"/>
        <v>168</v>
      </c>
      <c r="Q180" s="19">
        <f t="shared" si="8"/>
        <v>0.3888888889</v>
      </c>
      <c r="R180" s="5">
        <f t="shared" si="9"/>
        <v>28224</v>
      </c>
      <c r="T180" s="5">
        <f t="shared" si="10"/>
        <v>185</v>
      </c>
      <c r="U180" s="19">
        <f t="shared" si="11"/>
        <v>0.4282407407</v>
      </c>
      <c r="V180" s="5">
        <f t="shared" si="12"/>
        <v>34225</v>
      </c>
    </row>
    <row r="181">
      <c r="A181" s="2">
        <v>40800.0</v>
      </c>
      <c r="B181" s="5">
        <v>504.0</v>
      </c>
      <c r="C181" s="5">
        <f t="shared" si="2"/>
        <v>235</v>
      </c>
      <c r="D181" s="5">
        <f t="shared" si="3"/>
        <v>265</v>
      </c>
      <c r="E181" s="5">
        <f t="shared" si="1"/>
        <v>321</v>
      </c>
      <c r="L181" s="5">
        <f t="shared" si="4"/>
        <v>269</v>
      </c>
      <c r="M181" s="19">
        <f t="shared" si="5"/>
        <v>0.5337301587</v>
      </c>
      <c r="N181" s="5">
        <f t="shared" si="6"/>
        <v>72361</v>
      </c>
      <c r="P181" s="5">
        <f t="shared" si="7"/>
        <v>239</v>
      </c>
      <c r="Q181" s="19">
        <f t="shared" si="8"/>
        <v>0.4742063492</v>
      </c>
      <c r="R181" s="5">
        <f t="shared" si="9"/>
        <v>57121</v>
      </c>
      <c r="T181" s="5">
        <f t="shared" si="10"/>
        <v>183</v>
      </c>
      <c r="U181" s="19">
        <f t="shared" si="11"/>
        <v>0.3630952381</v>
      </c>
      <c r="V181" s="5">
        <f t="shared" si="12"/>
        <v>33489</v>
      </c>
    </row>
    <row r="182">
      <c r="A182" s="2">
        <v>40801.0</v>
      </c>
      <c r="B182" s="5">
        <v>18.0</v>
      </c>
      <c r="C182" s="5">
        <f t="shared" si="2"/>
        <v>268</v>
      </c>
      <c r="D182" s="5">
        <f t="shared" si="3"/>
        <v>266</v>
      </c>
      <c r="E182" s="5">
        <f t="shared" si="1"/>
        <v>394</v>
      </c>
      <c r="L182" s="5">
        <f t="shared" si="4"/>
        <v>-250</v>
      </c>
      <c r="M182" s="19">
        <f t="shared" si="5"/>
        <v>13.88888889</v>
      </c>
      <c r="N182" s="5">
        <f t="shared" si="6"/>
        <v>62500</v>
      </c>
      <c r="P182" s="5">
        <f t="shared" si="7"/>
        <v>-248</v>
      </c>
      <c r="Q182" s="19">
        <f t="shared" si="8"/>
        <v>13.77777778</v>
      </c>
      <c r="R182" s="5">
        <f t="shared" si="9"/>
        <v>61504</v>
      </c>
      <c r="T182" s="5">
        <f t="shared" si="10"/>
        <v>-376</v>
      </c>
      <c r="U182" s="19">
        <f t="shared" si="11"/>
        <v>20.88888889</v>
      </c>
      <c r="V182" s="5">
        <f t="shared" si="12"/>
        <v>141376</v>
      </c>
    </row>
    <row r="183">
      <c r="A183" s="2">
        <v>40802.0</v>
      </c>
      <c r="B183" s="5">
        <v>0.0</v>
      </c>
      <c r="C183" s="5">
        <f t="shared" si="2"/>
        <v>269</v>
      </c>
      <c r="D183" s="5">
        <f t="shared" si="3"/>
        <v>265</v>
      </c>
      <c r="E183" s="5">
        <f t="shared" si="1"/>
        <v>244</v>
      </c>
      <c r="L183" s="5">
        <f t="shared" si="4"/>
        <v>-269</v>
      </c>
      <c r="M183" s="19">
        <f t="shared" si="5"/>
        <v>1</v>
      </c>
      <c r="N183" s="5">
        <f t="shared" si="6"/>
        <v>72361</v>
      </c>
      <c r="P183" s="5">
        <f t="shared" si="7"/>
        <v>-265</v>
      </c>
      <c r="Q183" s="19">
        <f t="shared" si="8"/>
        <v>1</v>
      </c>
      <c r="R183" s="5">
        <f t="shared" si="9"/>
        <v>70225</v>
      </c>
      <c r="T183" s="5">
        <f t="shared" si="10"/>
        <v>-244</v>
      </c>
      <c r="U183" s="19">
        <f t="shared" si="11"/>
        <v>1</v>
      </c>
      <c r="V183" s="5">
        <f t="shared" si="12"/>
        <v>59536</v>
      </c>
    </row>
    <row r="184">
      <c r="A184" s="2">
        <v>40805.0</v>
      </c>
      <c r="B184" s="5">
        <v>260.0</v>
      </c>
      <c r="C184" s="5">
        <f t="shared" si="2"/>
        <v>269</v>
      </c>
      <c r="D184" s="5">
        <f t="shared" si="3"/>
        <v>263</v>
      </c>
      <c r="E184" s="5">
        <f t="shared" si="1"/>
        <v>146</v>
      </c>
      <c r="L184" s="5">
        <f t="shared" si="4"/>
        <v>-9</v>
      </c>
      <c r="M184" s="19">
        <f t="shared" si="5"/>
        <v>0.03461538462</v>
      </c>
      <c r="N184" s="5">
        <f t="shared" si="6"/>
        <v>81</v>
      </c>
      <c r="P184" s="5">
        <f t="shared" si="7"/>
        <v>-3</v>
      </c>
      <c r="Q184" s="19">
        <f t="shared" si="8"/>
        <v>0.01153846154</v>
      </c>
      <c r="R184" s="5">
        <f t="shared" si="9"/>
        <v>9</v>
      </c>
      <c r="T184" s="5">
        <f t="shared" si="10"/>
        <v>114</v>
      </c>
      <c r="U184" s="19">
        <f t="shared" si="11"/>
        <v>0.4384615385</v>
      </c>
      <c r="V184" s="5">
        <f t="shared" si="12"/>
        <v>12996</v>
      </c>
    </row>
    <row r="185">
      <c r="A185" s="2">
        <v>40806.0</v>
      </c>
      <c r="B185" s="5">
        <v>434.0</v>
      </c>
      <c r="C185" s="5">
        <f t="shared" si="2"/>
        <v>243</v>
      </c>
      <c r="D185" s="5">
        <f t="shared" si="3"/>
        <v>263</v>
      </c>
      <c r="E185" s="5">
        <f t="shared" si="1"/>
        <v>192</v>
      </c>
      <c r="L185" s="5">
        <f t="shared" si="4"/>
        <v>191</v>
      </c>
      <c r="M185" s="19">
        <f t="shared" si="5"/>
        <v>0.4400921659</v>
      </c>
      <c r="N185" s="5">
        <f t="shared" si="6"/>
        <v>36481</v>
      </c>
      <c r="P185" s="5">
        <f t="shared" si="7"/>
        <v>171</v>
      </c>
      <c r="Q185" s="19">
        <f t="shared" si="8"/>
        <v>0.3940092166</v>
      </c>
      <c r="R185" s="5">
        <f t="shared" si="9"/>
        <v>29241</v>
      </c>
      <c r="T185" s="5">
        <f t="shared" si="10"/>
        <v>242</v>
      </c>
      <c r="U185" s="19">
        <f t="shared" si="11"/>
        <v>0.5576036866</v>
      </c>
      <c r="V185" s="5">
        <f t="shared" si="12"/>
        <v>58564</v>
      </c>
    </row>
    <row r="186">
      <c r="A186" s="2">
        <v>40807.0</v>
      </c>
      <c r="B186" s="5">
        <v>474.0</v>
      </c>
      <c r="C186" s="5">
        <f t="shared" si="2"/>
        <v>243</v>
      </c>
      <c r="D186" s="5">
        <f t="shared" si="3"/>
        <v>264</v>
      </c>
      <c r="E186" s="5">
        <f t="shared" si="1"/>
        <v>289</v>
      </c>
      <c r="L186" s="5">
        <f t="shared" si="4"/>
        <v>231</v>
      </c>
      <c r="M186" s="19">
        <f t="shared" si="5"/>
        <v>0.4873417722</v>
      </c>
      <c r="N186" s="5">
        <f t="shared" si="6"/>
        <v>53361</v>
      </c>
      <c r="P186" s="5">
        <f t="shared" si="7"/>
        <v>210</v>
      </c>
      <c r="Q186" s="19">
        <f t="shared" si="8"/>
        <v>0.4430379747</v>
      </c>
      <c r="R186" s="5">
        <f t="shared" si="9"/>
        <v>44100</v>
      </c>
      <c r="T186" s="5">
        <f t="shared" si="10"/>
        <v>185</v>
      </c>
      <c r="U186" s="19">
        <f t="shared" si="11"/>
        <v>0.3902953586</v>
      </c>
      <c r="V186" s="5">
        <f t="shared" si="12"/>
        <v>34225</v>
      </c>
    </row>
    <row r="187">
      <c r="A187" s="2">
        <v>40808.0</v>
      </c>
      <c r="B187" s="5">
        <v>0.0</v>
      </c>
      <c r="C187" s="5">
        <f t="shared" si="2"/>
        <v>237</v>
      </c>
      <c r="D187" s="5">
        <f t="shared" si="3"/>
        <v>265</v>
      </c>
      <c r="E187" s="5">
        <f t="shared" si="1"/>
        <v>363</v>
      </c>
      <c r="L187" s="5">
        <f t="shared" si="4"/>
        <v>-237</v>
      </c>
      <c r="M187" s="19">
        <f t="shared" si="5"/>
        <v>1</v>
      </c>
      <c r="N187" s="5">
        <f t="shared" si="6"/>
        <v>56169</v>
      </c>
      <c r="P187" s="5">
        <f t="shared" si="7"/>
        <v>-265</v>
      </c>
      <c r="Q187" s="19">
        <f t="shared" si="8"/>
        <v>1</v>
      </c>
      <c r="R187" s="5">
        <f t="shared" si="9"/>
        <v>70225</v>
      </c>
      <c r="T187" s="5">
        <f t="shared" si="10"/>
        <v>-363</v>
      </c>
      <c r="U187" s="19">
        <f t="shared" si="11"/>
        <v>1</v>
      </c>
      <c r="V187" s="5">
        <f t="shared" si="12"/>
        <v>131769</v>
      </c>
    </row>
    <row r="188">
      <c r="A188" s="2">
        <v>40809.0</v>
      </c>
      <c r="B188" s="5">
        <v>0.0</v>
      </c>
      <c r="C188" s="5">
        <f t="shared" si="2"/>
        <v>234</v>
      </c>
      <c r="D188" s="5">
        <f t="shared" si="3"/>
        <v>264</v>
      </c>
      <c r="E188" s="5">
        <f t="shared" si="1"/>
        <v>218</v>
      </c>
      <c r="L188" s="5">
        <f t="shared" si="4"/>
        <v>-234</v>
      </c>
      <c r="M188" s="19">
        <f t="shared" si="5"/>
        <v>1</v>
      </c>
      <c r="N188" s="5">
        <f t="shared" si="6"/>
        <v>54756</v>
      </c>
      <c r="P188" s="5">
        <f t="shared" si="7"/>
        <v>-264</v>
      </c>
      <c r="Q188" s="19">
        <f t="shared" si="8"/>
        <v>1</v>
      </c>
      <c r="R188" s="5">
        <f t="shared" si="9"/>
        <v>69696</v>
      </c>
      <c r="T188" s="5">
        <f t="shared" si="10"/>
        <v>-218</v>
      </c>
      <c r="U188" s="19">
        <f t="shared" si="11"/>
        <v>1</v>
      </c>
      <c r="V188" s="5">
        <f t="shared" si="12"/>
        <v>47524</v>
      </c>
    </row>
    <row r="189">
      <c r="A189" s="2">
        <v>40812.0</v>
      </c>
      <c r="B189" s="5">
        <v>498.0</v>
      </c>
      <c r="C189" s="5">
        <f t="shared" si="2"/>
        <v>234</v>
      </c>
      <c r="D189" s="5">
        <f t="shared" si="3"/>
        <v>263</v>
      </c>
      <c r="E189" s="5">
        <f t="shared" si="1"/>
        <v>131</v>
      </c>
      <c r="L189" s="5">
        <f t="shared" si="4"/>
        <v>264</v>
      </c>
      <c r="M189" s="19">
        <f t="shared" si="5"/>
        <v>0.5301204819</v>
      </c>
      <c r="N189" s="5">
        <f t="shared" si="6"/>
        <v>69696</v>
      </c>
      <c r="P189" s="5">
        <f t="shared" si="7"/>
        <v>235</v>
      </c>
      <c r="Q189" s="19">
        <f t="shared" si="8"/>
        <v>0.4718875502</v>
      </c>
      <c r="R189" s="5">
        <f t="shared" si="9"/>
        <v>55225</v>
      </c>
      <c r="T189" s="5">
        <f t="shared" si="10"/>
        <v>367</v>
      </c>
      <c r="U189" s="19">
        <f t="shared" si="11"/>
        <v>0.7369477912</v>
      </c>
      <c r="V189" s="5">
        <f t="shared" si="12"/>
        <v>134689</v>
      </c>
    </row>
    <row r="190">
      <c r="A190" s="2">
        <v>40813.0</v>
      </c>
      <c r="B190" s="5">
        <v>498.0</v>
      </c>
      <c r="C190" s="5">
        <f t="shared" si="2"/>
        <v>281</v>
      </c>
      <c r="D190" s="5">
        <f t="shared" si="3"/>
        <v>264</v>
      </c>
      <c r="E190" s="5">
        <f t="shared" si="1"/>
        <v>278</v>
      </c>
      <c r="L190" s="5">
        <f t="shared" si="4"/>
        <v>217</v>
      </c>
      <c r="M190" s="19">
        <f t="shared" si="5"/>
        <v>0.4357429719</v>
      </c>
      <c r="N190" s="5">
        <f t="shared" si="6"/>
        <v>47089</v>
      </c>
      <c r="P190" s="5">
        <f t="shared" si="7"/>
        <v>234</v>
      </c>
      <c r="Q190" s="19">
        <f t="shared" si="8"/>
        <v>0.4698795181</v>
      </c>
      <c r="R190" s="5">
        <f t="shared" si="9"/>
        <v>54756</v>
      </c>
      <c r="T190" s="5">
        <f t="shared" si="10"/>
        <v>220</v>
      </c>
      <c r="U190" s="19">
        <f t="shared" si="11"/>
        <v>0.4417670683</v>
      </c>
      <c r="V190" s="5">
        <f t="shared" si="12"/>
        <v>48400</v>
      </c>
    </row>
    <row r="191">
      <c r="A191" s="2">
        <v>40814.0</v>
      </c>
      <c r="B191" s="5">
        <v>522.0</v>
      </c>
      <c r="C191" s="5">
        <f t="shared" si="2"/>
        <v>294</v>
      </c>
      <c r="D191" s="5">
        <f t="shared" si="3"/>
        <v>265</v>
      </c>
      <c r="E191" s="5">
        <f t="shared" si="1"/>
        <v>366</v>
      </c>
      <c r="L191" s="5">
        <f t="shared" si="4"/>
        <v>228</v>
      </c>
      <c r="M191" s="19">
        <f t="shared" si="5"/>
        <v>0.4367816092</v>
      </c>
      <c r="N191" s="5">
        <f t="shared" si="6"/>
        <v>51984</v>
      </c>
      <c r="P191" s="5">
        <f t="shared" si="7"/>
        <v>257</v>
      </c>
      <c r="Q191" s="19">
        <f t="shared" si="8"/>
        <v>0.4923371648</v>
      </c>
      <c r="R191" s="5">
        <f t="shared" si="9"/>
        <v>66049</v>
      </c>
      <c r="T191" s="5">
        <f t="shared" si="10"/>
        <v>156</v>
      </c>
      <c r="U191" s="19">
        <f t="shared" si="11"/>
        <v>0.2988505747</v>
      </c>
      <c r="V191" s="5">
        <f t="shared" si="12"/>
        <v>24336</v>
      </c>
    </row>
    <row r="192">
      <c r="A192" s="2">
        <v>40815.0</v>
      </c>
      <c r="B192" s="5">
        <v>0.0</v>
      </c>
      <c r="C192" s="5">
        <f t="shared" si="2"/>
        <v>304</v>
      </c>
      <c r="D192" s="5">
        <f t="shared" si="3"/>
        <v>266</v>
      </c>
      <c r="E192" s="5">
        <f t="shared" si="1"/>
        <v>428</v>
      </c>
      <c r="L192" s="5">
        <f t="shared" si="4"/>
        <v>-304</v>
      </c>
      <c r="M192" s="19">
        <f t="shared" si="5"/>
        <v>1</v>
      </c>
      <c r="N192" s="5">
        <f t="shared" si="6"/>
        <v>92416</v>
      </c>
      <c r="P192" s="5">
        <f t="shared" si="7"/>
        <v>-266</v>
      </c>
      <c r="Q192" s="19">
        <f t="shared" si="8"/>
        <v>1</v>
      </c>
      <c r="R192" s="5">
        <f t="shared" si="9"/>
        <v>70756</v>
      </c>
      <c r="T192" s="5">
        <f t="shared" si="10"/>
        <v>-428</v>
      </c>
      <c r="U192" s="19">
        <f t="shared" si="11"/>
        <v>1</v>
      </c>
      <c r="V192" s="5">
        <f t="shared" si="12"/>
        <v>183184</v>
      </c>
    </row>
    <row r="193">
      <c r="A193" s="2">
        <v>40816.0</v>
      </c>
      <c r="B193" s="5">
        <v>0.0</v>
      </c>
      <c r="C193" s="5">
        <f t="shared" si="2"/>
        <v>304</v>
      </c>
      <c r="D193" s="5">
        <f t="shared" si="3"/>
        <v>265</v>
      </c>
      <c r="E193" s="5">
        <f t="shared" si="1"/>
        <v>257</v>
      </c>
      <c r="L193" s="5">
        <f t="shared" si="4"/>
        <v>-304</v>
      </c>
      <c r="M193" s="19">
        <f t="shared" si="5"/>
        <v>1</v>
      </c>
      <c r="N193" s="5">
        <f t="shared" si="6"/>
        <v>92416</v>
      </c>
      <c r="P193" s="5">
        <f t="shared" si="7"/>
        <v>-265</v>
      </c>
      <c r="Q193" s="19">
        <f t="shared" si="8"/>
        <v>1</v>
      </c>
      <c r="R193" s="5">
        <f t="shared" si="9"/>
        <v>70225</v>
      </c>
      <c r="T193" s="5">
        <f t="shared" si="10"/>
        <v>-257</v>
      </c>
      <c r="U193" s="19">
        <f t="shared" si="11"/>
        <v>1</v>
      </c>
      <c r="V193" s="5">
        <f t="shared" si="12"/>
        <v>66049</v>
      </c>
    </row>
    <row r="194">
      <c r="A194" s="2">
        <v>40819.0</v>
      </c>
      <c r="B194" s="5">
        <v>445.0</v>
      </c>
      <c r="C194" s="5">
        <f t="shared" si="2"/>
        <v>304</v>
      </c>
      <c r="D194" s="5">
        <f t="shared" si="3"/>
        <v>264</v>
      </c>
      <c r="E194" s="5">
        <f t="shared" si="1"/>
        <v>154</v>
      </c>
      <c r="L194" s="5">
        <f t="shared" si="4"/>
        <v>141</v>
      </c>
      <c r="M194" s="19">
        <f t="shared" si="5"/>
        <v>0.3168539326</v>
      </c>
      <c r="N194" s="5">
        <f t="shared" si="6"/>
        <v>19881</v>
      </c>
      <c r="P194" s="5">
        <f t="shared" si="7"/>
        <v>181</v>
      </c>
      <c r="Q194" s="19">
        <f t="shared" si="8"/>
        <v>0.406741573</v>
      </c>
      <c r="R194" s="5">
        <f t="shared" si="9"/>
        <v>32761</v>
      </c>
      <c r="T194" s="5">
        <f t="shared" si="10"/>
        <v>291</v>
      </c>
      <c r="U194" s="19">
        <f t="shared" si="11"/>
        <v>0.6539325843</v>
      </c>
      <c r="V194" s="5">
        <f t="shared" si="12"/>
        <v>84681</v>
      </c>
    </row>
    <row r="195">
      <c r="A195" s="2">
        <v>40820.0</v>
      </c>
      <c r="B195" s="5">
        <v>522.0</v>
      </c>
      <c r="C195" s="5">
        <f t="shared" si="2"/>
        <v>293</v>
      </c>
      <c r="D195" s="5">
        <f t="shared" si="3"/>
        <v>265</v>
      </c>
      <c r="E195" s="5">
        <f t="shared" si="1"/>
        <v>270</v>
      </c>
      <c r="L195" s="5">
        <f t="shared" si="4"/>
        <v>229</v>
      </c>
      <c r="M195" s="19">
        <f t="shared" si="5"/>
        <v>0.438697318</v>
      </c>
      <c r="N195" s="5">
        <f t="shared" si="6"/>
        <v>52441</v>
      </c>
      <c r="P195" s="5">
        <f t="shared" si="7"/>
        <v>257</v>
      </c>
      <c r="Q195" s="19">
        <f t="shared" si="8"/>
        <v>0.4923371648</v>
      </c>
      <c r="R195" s="5">
        <f t="shared" si="9"/>
        <v>66049</v>
      </c>
      <c r="T195" s="5">
        <f t="shared" si="10"/>
        <v>252</v>
      </c>
      <c r="U195" s="19">
        <f t="shared" si="11"/>
        <v>0.4827586207</v>
      </c>
      <c r="V195" s="5">
        <f t="shared" si="12"/>
        <v>63504</v>
      </c>
    </row>
    <row r="196">
      <c r="A196" s="2">
        <v>40821.0</v>
      </c>
      <c r="B196" s="5">
        <v>531.0</v>
      </c>
      <c r="C196" s="5">
        <f t="shared" si="2"/>
        <v>298</v>
      </c>
      <c r="D196" s="5">
        <f t="shared" si="3"/>
        <v>266</v>
      </c>
      <c r="E196" s="5">
        <f t="shared" si="1"/>
        <v>371</v>
      </c>
      <c r="L196" s="5">
        <f t="shared" si="4"/>
        <v>233</v>
      </c>
      <c r="M196" s="19">
        <f t="shared" si="5"/>
        <v>0.4387947269</v>
      </c>
      <c r="N196" s="5">
        <f t="shared" si="6"/>
        <v>54289</v>
      </c>
      <c r="P196" s="5">
        <f t="shared" si="7"/>
        <v>265</v>
      </c>
      <c r="Q196" s="19">
        <f t="shared" si="8"/>
        <v>0.4990583804</v>
      </c>
      <c r="R196" s="5">
        <f t="shared" si="9"/>
        <v>70225</v>
      </c>
      <c r="T196" s="5">
        <f t="shared" si="10"/>
        <v>160</v>
      </c>
      <c r="U196" s="19">
        <f t="shared" si="11"/>
        <v>0.3013182674</v>
      </c>
      <c r="V196" s="5">
        <f t="shared" si="12"/>
        <v>25600</v>
      </c>
    </row>
    <row r="197">
      <c r="A197" s="2">
        <v>40822.0</v>
      </c>
      <c r="B197" s="5">
        <v>0.0</v>
      </c>
      <c r="C197" s="5">
        <f t="shared" si="2"/>
        <v>300</v>
      </c>
      <c r="D197" s="5">
        <f t="shared" si="3"/>
        <v>267</v>
      </c>
      <c r="E197" s="5">
        <f t="shared" si="1"/>
        <v>435</v>
      </c>
      <c r="L197" s="5">
        <f t="shared" si="4"/>
        <v>-300</v>
      </c>
      <c r="M197" s="19">
        <f t="shared" si="5"/>
        <v>1</v>
      </c>
      <c r="N197" s="5">
        <f t="shared" si="6"/>
        <v>90000</v>
      </c>
      <c r="P197" s="5">
        <f t="shared" si="7"/>
        <v>-267</v>
      </c>
      <c r="Q197" s="19">
        <f t="shared" si="8"/>
        <v>1</v>
      </c>
      <c r="R197" s="5">
        <f t="shared" si="9"/>
        <v>71289</v>
      </c>
      <c r="T197" s="5">
        <f t="shared" si="10"/>
        <v>-435</v>
      </c>
      <c r="U197" s="19">
        <f t="shared" si="11"/>
        <v>1</v>
      </c>
      <c r="V197" s="5">
        <f t="shared" si="12"/>
        <v>189225</v>
      </c>
    </row>
    <row r="198">
      <c r="A198" s="2">
        <v>40823.0</v>
      </c>
      <c r="B198" s="5">
        <v>0.0</v>
      </c>
      <c r="C198" s="5">
        <f t="shared" si="2"/>
        <v>300</v>
      </c>
      <c r="D198" s="5">
        <f t="shared" si="3"/>
        <v>266</v>
      </c>
      <c r="E198" s="5">
        <f t="shared" si="1"/>
        <v>261</v>
      </c>
      <c r="L198" s="5">
        <f t="shared" si="4"/>
        <v>-300</v>
      </c>
      <c r="M198" s="19">
        <f t="shared" si="5"/>
        <v>1</v>
      </c>
      <c r="N198" s="5">
        <f t="shared" si="6"/>
        <v>90000</v>
      </c>
      <c r="P198" s="5">
        <f t="shared" si="7"/>
        <v>-266</v>
      </c>
      <c r="Q198" s="19">
        <f t="shared" si="8"/>
        <v>1</v>
      </c>
      <c r="R198" s="5">
        <f t="shared" si="9"/>
        <v>70756</v>
      </c>
      <c r="T198" s="5">
        <f t="shared" si="10"/>
        <v>-261</v>
      </c>
      <c r="U198" s="19">
        <f t="shared" si="11"/>
        <v>1</v>
      </c>
      <c r="V198" s="5">
        <f t="shared" si="12"/>
        <v>68121</v>
      </c>
    </row>
    <row r="199">
      <c r="A199" s="2">
        <v>40826.0</v>
      </c>
      <c r="B199" s="5">
        <v>344.0</v>
      </c>
      <c r="C199" s="5">
        <f t="shared" si="2"/>
        <v>300</v>
      </c>
      <c r="D199" s="5">
        <f t="shared" si="3"/>
        <v>265</v>
      </c>
      <c r="E199" s="5">
        <f t="shared" si="1"/>
        <v>157</v>
      </c>
      <c r="L199" s="5">
        <f t="shared" si="4"/>
        <v>44</v>
      </c>
      <c r="M199" s="19">
        <f t="shared" si="5"/>
        <v>0.1279069767</v>
      </c>
      <c r="N199" s="5">
        <f t="shared" si="6"/>
        <v>1936</v>
      </c>
      <c r="P199" s="5">
        <f t="shared" si="7"/>
        <v>79</v>
      </c>
      <c r="Q199" s="19">
        <f t="shared" si="8"/>
        <v>0.2296511628</v>
      </c>
      <c r="R199" s="5">
        <f t="shared" si="9"/>
        <v>6241</v>
      </c>
      <c r="T199" s="5">
        <f t="shared" si="10"/>
        <v>187</v>
      </c>
      <c r="U199" s="19">
        <f t="shared" si="11"/>
        <v>0.5436046512</v>
      </c>
      <c r="V199" s="5">
        <f t="shared" si="12"/>
        <v>34969</v>
      </c>
    </row>
    <row r="200">
      <c r="A200" s="2">
        <v>40827.0</v>
      </c>
      <c r="B200" s="5">
        <v>559.0</v>
      </c>
      <c r="C200" s="5">
        <f t="shared" si="2"/>
        <v>279</v>
      </c>
      <c r="D200" s="5">
        <f t="shared" si="3"/>
        <v>265</v>
      </c>
      <c r="E200" s="5">
        <f t="shared" si="1"/>
        <v>232</v>
      </c>
      <c r="L200" s="5">
        <f t="shared" si="4"/>
        <v>280</v>
      </c>
      <c r="M200" s="19">
        <f t="shared" si="5"/>
        <v>0.5008944544</v>
      </c>
      <c r="N200" s="5">
        <f t="shared" si="6"/>
        <v>78400</v>
      </c>
      <c r="P200" s="5">
        <f t="shared" si="7"/>
        <v>294</v>
      </c>
      <c r="Q200" s="19">
        <f t="shared" si="8"/>
        <v>0.5259391771</v>
      </c>
      <c r="R200" s="5">
        <f t="shared" si="9"/>
        <v>86436</v>
      </c>
      <c r="T200" s="5">
        <f t="shared" si="10"/>
        <v>327</v>
      </c>
      <c r="U200" s="19">
        <f t="shared" si="11"/>
        <v>0.5849731664</v>
      </c>
      <c r="V200" s="5">
        <f t="shared" si="12"/>
        <v>106929</v>
      </c>
    </row>
    <row r="201">
      <c r="A201" s="2">
        <v>40828.0</v>
      </c>
      <c r="B201" s="5">
        <v>540.0</v>
      </c>
      <c r="C201" s="5">
        <f t="shared" si="2"/>
        <v>287</v>
      </c>
      <c r="D201" s="5">
        <f t="shared" si="3"/>
        <v>266</v>
      </c>
      <c r="E201" s="5">
        <f t="shared" si="1"/>
        <v>363</v>
      </c>
      <c r="L201" s="5">
        <f t="shared" si="4"/>
        <v>253</v>
      </c>
      <c r="M201" s="19">
        <f t="shared" si="5"/>
        <v>0.4685185185</v>
      </c>
      <c r="N201" s="5">
        <f t="shared" si="6"/>
        <v>64009</v>
      </c>
      <c r="P201" s="5">
        <f t="shared" si="7"/>
        <v>274</v>
      </c>
      <c r="Q201" s="19">
        <f t="shared" si="8"/>
        <v>0.5074074074</v>
      </c>
      <c r="R201" s="5">
        <f t="shared" si="9"/>
        <v>75076</v>
      </c>
      <c r="T201" s="5">
        <f t="shared" si="10"/>
        <v>177</v>
      </c>
      <c r="U201" s="19">
        <f t="shared" si="11"/>
        <v>0.3277777778</v>
      </c>
      <c r="V201" s="5">
        <f t="shared" si="12"/>
        <v>31329</v>
      </c>
    </row>
    <row r="202">
      <c r="A202" s="2">
        <v>40829.0</v>
      </c>
      <c r="B202" s="5">
        <v>304.0</v>
      </c>
      <c r="C202" s="5">
        <f t="shared" si="2"/>
        <v>289</v>
      </c>
      <c r="D202" s="5">
        <f t="shared" si="3"/>
        <v>268</v>
      </c>
      <c r="E202" s="5">
        <f t="shared" si="1"/>
        <v>434</v>
      </c>
      <c r="L202" s="5">
        <f t="shared" si="4"/>
        <v>15</v>
      </c>
      <c r="M202" s="19">
        <f t="shared" si="5"/>
        <v>0.04934210526</v>
      </c>
      <c r="N202" s="5">
        <f t="shared" si="6"/>
        <v>225</v>
      </c>
      <c r="P202" s="5">
        <f t="shared" si="7"/>
        <v>36</v>
      </c>
      <c r="Q202" s="19">
        <f t="shared" si="8"/>
        <v>0.1184210526</v>
      </c>
      <c r="R202" s="5">
        <f t="shared" si="9"/>
        <v>1296</v>
      </c>
      <c r="T202" s="5">
        <f t="shared" si="10"/>
        <v>-130</v>
      </c>
      <c r="U202" s="19">
        <f t="shared" si="11"/>
        <v>0.4276315789</v>
      </c>
      <c r="V202" s="5">
        <f t="shared" si="12"/>
        <v>16900</v>
      </c>
    </row>
    <row r="203">
      <c r="A203" s="2">
        <v>40830.0</v>
      </c>
      <c r="B203" s="5">
        <v>0.0</v>
      </c>
      <c r="C203" s="5">
        <f t="shared" si="2"/>
        <v>349</v>
      </c>
      <c r="D203" s="5">
        <f t="shared" si="3"/>
        <v>268</v>
      </c>
      <c r="E203" s="5">
        <f t="shared" si="1"/>
        <v>382</v>
      </c>
      <c r="L203" s="5">
        <f t="shared" si="4"/>
        <v>-349</v>
      </c>
      <c r="M203" s="19">
        <f t="shared" si="5"/>
        <v>1</v>
      </c>
      <c r="N203" s="5">
        <f t="shared" si="6"/>
        <v>121801</v>
      </c>
      <c r="P203" s="5">
        <f t="shared" si="7"/>
        <v>-268</v>
      </c>
      <c r="Q203" s="19">
        <f t="shared" si="8"/>
        <v>1</v>
      </c>
      <c r="R203" s="5">
        <f t="shared" si="9"/>
        <v>71824</v>
      </c>
      <c r="T203" s="5">
        <f t="shared" si="10"/>
        <v>-382</v>
      </c>
      <c r="U203" s="19">
        <f t="shared" si="11"/>
        <v>1</v>
      </c>
      <c r="V203" s="5">
        <f t="shared" si="12"/>
        <v>145924</v>
      </c>
    </row>
    <row r="204">
      <c r="A204" s="2">
        <v>40833.0</v>
      </c>
      <c r="B204" s="5">
        <v>348.0</v>
      </c>
      <c r="C204" s="5">
        <f t="shared" si="2"/>
        <v>349</v>
      </c>
      <c r="D204" s="5">
        <f t="shared" si="3"/>
        <v>267</v>
      </c>
      <c r="E204" s="5">
        <f t="shared" si="1"/>
        <v>229</v>
      </c>
      <c r="L204" s="5">
        <f t="shared" si="4"/>
        <v>-1</v>
      </c>
      <c r="M204" s="19">
        <f t="shared" si="5"/>
        <v>0.002873563218</v>
      </c>
      <c r="N204" s="5">
        <f t="shared" si="6"/>
        <v>1</v>
      </c>
      <c r="P204" s="5">
        <f t="shared" si="7"/>
        <v>81</v>
      </c>
      <c r="Q204" s="19">
        <f t="shared" si="8"/>
        <v>0.2327586207</v>
      </c>
      <c r="R204" s="5">
        <f t="shared" si="9"/>
        <v>6561</v>
      </c>
      <c r="T204" s="5">
        <f t="shared" si="10"/>
        <v>119</v>
      </c>
      <c r="U204" s="19">
        <f t="shared" si="11"/>
        <v>0.341954023</v>
      </c>
      <c r="V204" s="5">
        <f t="shared" si="12"/>
        <v>14161</v>
      </c>
    </row>
    <row r="205">
      <c r="A205" s="2">
        <v>40834.0</v>
      </c>
      <c r="B205" s="5">
        <v>1002.0</v>
      </c>
      <c r="C205" s="5">
        <f t="shared" si="2"/>
        <v>350</v>
      </c>
      <c r="D205" s="5">
        <f t="shared" si="3"/>
        <v>267</v>
      </c>
      <c r="E205" s="5">
        <f t="shared" si="1"/>
        <v>277</v>
      </c>
      <c r="L205" s="5">
        <f t="shared" si="4"/>
        <v>652</v>
      </c>
      <c r="M205" s="19">
        <f t="shared" si="5"/>
        <v>0.6506986028</v>
      </c>
      <c r="N205" s="5">
        <f t="shared" si="6"/>
        <v>425104</v>
      </c>
      <c r="P205" s="5">
        <f t="shared" si="7"/>
        <v>735</v>
      </c>
      <c r="Q205" s="19">
        <f t="shared" si="8"/>
        <v>0.7335329341</v>
      </c>
      <c r="R205" s="5">
        <f t="shared" si="9"/>
        <v>540225</v>
      </c>
      <c r="T205" s="5">
        <f t="shared" si="10"/>
        <v>725</v>
      </c>
      <c r="U205" s="19">
        <f t="shared" si="11"/>
        <v>0.7235528942</v>
      </c>
      <c r="V205" s="5">
        <f t="shared" si="12"/>
        <v>525625</v>
      </c>
    </row>
    <row r="206">
      <c r="A206" s="2">
        <v>40835.0</v>
      </c>
      <c r="B206" s="5">
        <v>24.0</v>
      </c>
      <c r="C206" s="5">
        <f t="shared" si="2"/>
        <v>439</v>
      </c>
      <c r="D206" s="5">
        <f t="shared" si="3"/>
        <v>271</v>
      </c>
      <c r="E206" s="5">
        <f t="shared" si="1"/>
        <v>567</v>
      </c>
      <c r="L206" s="5">
        <f t="shared" si="4"/>
        <v>-415</v>
      </c>
      <c r="M206" s="19">
        <f t="shared" si="5"/>
        <v>17.29166667</v>
      </c>
      <c r="N206" s="5">
        <f t="shared" si="6"/>
        <v>172225</v>
      </c>
      <c r="P206" s="5">
        <f t="shared" si="7"/>
        <v>-247</v>
      </c>
      <c r="Q206" s="19">
        <f t="shared" si="8"/>
        <v>10.29166667</v>
      </c>
      <c r="R206" s="5">
        <f t="shared" si="9"/>
        <v>61009</v>
      </c>
      <c r="T206" s="5">
        <f t="shared" si="10"/>
        <v>-543</v>
      </c>
      <c r="U206" s="19">
        <f t="shared" si="11"/>
        <v>22.625</v>
      </c>
      <c r="V206" s="5">
        <f t="shared" si="12"/>
        <v>294849</v>
      </c>
    </row>
    <row r="207">
      <c r="A207" s="2">
        <v>40836.0</v>
      </c>
      <c r="B207" s="5">
        <v>3.0</v>
      </c>
      <c r="C207" s="5">
        <f t="shared" si="2"/>
        <v>336</v>
      </c>
      <c r="D207" s="5">
        <f t="shared" si="3"/>
        <v>270</v>
      </c>
      <c r="E207" s="5">
        <f t="shared" si="1"/>
        <v>350</v>
      </c>
      <c r="L207" s="5">
        <f t="shared" si="4"/>
        <v>-333</v>
      </c>
      <c r="M207" s="19">
        <f t="shared" si="5"/>
        <v>111</v>
      </c>
      <c r="N207" s="5">
        <f t="shared" si="6"/>
        <v>110889</v>
      </c>
      <c r="P207" s="5">
        <f t="shared" si="7"/>
        <v>-267</v>
      </c>
      <c r="Q207" s="19">
        <f t="shared" si="8"/>
        <v>89</v>
      </c>
      <c r="R207" s="5">
        <f t="shared" si="9"/>
        <v>71289</v>
      </c>
      <c r="T207" s="5">
        <f t="shared" si="10"/>
        <v>-347</v>
      </c>
      <c r="U207" s="19">
        <f t="shared" si="11"/>
        <v>115.6666667</v>
      </c>
      <c r="V207" s="5">
        <f t="shared" si="12"/>
        <v>120409</v>
      </c>
    </row>
    <row r="208">
      <c r="A208" s="2">
        <v>40837.0</v>
      </c>
      <c r="B208" s="5">
        <v>0.0</v>
      </c>
      <c r="C208" s="5">
        <f t="shared" si="2"/>
        <v>275</v>
      </c>
      <c r="D208" s="5">
        <f t="shared" si="3"/>
        <v>268</v>
      </c>
      <c r="E208" s="5">
        <f t="shared" si="1"/>
        <v>211</v>
      </c>
      <c r="L208" s="5">
        <f t="shared" si="4"/>
        <v>-275</v>
      </c>
      <c r="M208" s="19">
        <f t="shared" si="5"/>
        <v>1</v>
      </c>
      <c r="N208" s="5">
        <f t="shared" si="6"/>
        <v>75625</v>
      </c>
      <c r="P208" s="5">
        <f t="shared" si="7"/>
        <v>-268</v>
      </c>
      <c r="Q208" s="19">
        <f t="shared" si="8"/>
        <v>1</v>
      </c>
      <c r="R208" s="5">
        <f t="shared" si="9"/>
        <v>71824</v>
      </c>
      <c r="T208" s="5">
        <f t="shared" si="10"/>
        <v>-211</v>
      </c>
      <c r="U208" s="19">
        <f t="shared" si="11"/>
        <v>1</v>
      </c>
      <c r="V208" s="5">
        <f t="shared" si="12"/>
        <v>44521</v>
      </c>
    </row>
    <row r="209">
      <c r="A209" s="2">
        <v>40840.0</v>
      </c>
      <c r="B209" s="5">
        <v>343.0</v>
      </c>
      <c r="C209" s="5">
        <f t="shared" si="2"/>
        <v>275</v>
      </c>
      <c r="D209" s="5">
        <f t="shared" si="3"/>
        <v>267</v>
      </c>
      <c r="E209" s="5">
        <f t="shared" si="1"/>
        <v>127</v>
      </c>
      <c r="L209" s="5">
        <f t="shared" si="4"/>
        <v>68</v>
      </c>
      <c r="M209" s="19">
        <f t="shared" si="5"/>
        <v>0.1982507289</v>
      </c>
      <c r="N209" s="5">
        <f t="shared" si="6"/>
        <v>4624</v>
      </c>
      <c r="P209" s="5">
        <f t="shared" si="7"/>
        <v>76</v>
      </c>
      <c r="Q209" s="19">
        <f t="shared" si="8"/>
        <v>0.221574344</v>
      </c>
      <c r="R209" s="5">
        <f t="shared" si="9"/>
        <v>5776</v>
      </c>
      <c r="T209" s="5">
        <f t="shared" si="10"/>
        <v>216</v>
      </c>
      <c r="U209" s="19">
        <f t="shared" si="11"/>
        <v>0.6297376093</v>
      </c>
      <c r="V209" s="5">
        <f t="shared" si="12"/>
        <v>46656</v>
      </c>
    </row>
    <row r="210">
      <c r="A210" s="2">
        <v>40841.0</v>
      </c>
      <c r="B210" s="5">
        <v>488.0</v>
      </c>
      <c r="C210" s="5">
        <f t="shared" si="2"/>
        <v>274</v>
      </c>
      <c r="D210" s="5">
        <f t="shared" si="3"/>
        <v>267</v>
      </c>
      <c r="E210" s="5">
        <f t="shared" si="1"/>
        <v>213</v>
      </c>
      <c r="L210" s="5">
        <f t="shared" si="4"/>
        <v>214</v>
      </c>
      <c r="M210" s="19">
        <f t="shared" si="5"/>
        <v>0.4385245902</v>
      </c>
      <c r="N210" s="5">
        <f t="shared" si="6"/>
        <v>45796</v>
      </c>
      <c r="P210" s="5">
        <f t="shared" si="7"/>
        <v>221</v>
      </c>
      <c r="Q210" s="19">
        <f t="shared" si="8"/>
        <v>0.4528688525</v>
      </c>
      <c r="R210" s="5">
        <f t="shared" si="9"/>
        <v>48841</v>
      </c>
      <c r="T210" s="5">
        <f t="shared" si="10"/>
        <v>275</v>
      </c>
      <c r="U210" s="19">
        <f t="shared" si="11"/>
        <v>0.5635245902</v>
      </c>
      <c r="V210" s="5">
        <f t="shared" si="12"/>
        <v>75625</v>
      </c>
    </row>
    <row r="211">
      <c r="A211" s="2">
        <v>40842.0</v>
      </c>
      <c r="B211" s="5">
        <v>234.0</v>
      </c>
      <c r="C211" s="5">
        <f t="shared" si="2"/>
        <v>172</v>
      </c>
      <c r="D211" s="5">
        <f t="shared" si="3"/>
        <v>268</v>
      </c>
      <c r="E211" s="5">
        <f t="shared" si="1"/>
        <v>323</v>
      </c>
      <c r="L211" s="5">
        <f t="shared" si="4"/>
        <v>62</v>
      </c>
      <c r="M211" s="19">
        <f t="shared" si="5"/>
        <v>0.264957265</v>
      </c>
      <c r="N211" s="5">
        <f t="shared" si="6"/>
        <v>3844</v>
      </c>
      <c r="P211" s="5">
        <f t="shared" si="7"/>
        <v>-34</v>
      </c>
      <c r="Q211" s="19">
        <f t="shared" si="8"/>
        <v>0.1452991453</v>
      </c>
      <c r="R211" s="5">
        <f t="shared" si="9"/>
        <v>1156</v>
      </c>
      <c r="T211" s="5">
        <f t="shared" si="10"/>
        <v>-89</v>
      </c>
      <c r="U211" s="19">
        <f t="shared" si="11"/>
        <v>0.3803418803</v>
      </c>
      <c r="V211" s="5">
        <f t="shared" si="12"/>
        <v>7921</v>
      </c>
    </row>
    <row r="212">
      <c r="A212" s="2">
        <v>40843.0</v>
      </c>
      <c r="B212" s="5">
        <v>24.0</v>
      </c>
      <c r="C212" s="5">
        <f t="shared" si="2"/>
        <v>214</v>
      </c>
      <c r="D212" s="5">
        <f t="shared" si="3"/>
        <v>268</v>
      </c>
      <c r="E212" s="5">
        <f t="shared" si="1"/>
        <v>287</v>
      </c>
      <c r="L212" s="5">
        <f t="shared" si="4"/>
        <v>-190</v>
      </c>
      <c r="M212" s="19">
        <f t="shared" si="5"/>
        <v>7.916666667</v>
      </c>
      <c r="N212" s="5">
        <f t="shared" si="6"/>
        <v>36100</v>
      </c>
      <c r="P212" s="5">
        <f t="shared" si="7"/>
        <v>-244</v>
      </c>
      <c r="Q212" s="19">
        <f t="shared" si="8"/>
        <v>10.16666667</v>
      </c>
      <c r="R212" s="5">
        <f t="shared" si="9"/>
        <v>59536</v>
      </c>
      <c r="T212" s="5">
        <f t="shared" si="10"/>
        <v>-263</v>
      </c>
      <c r="U212" s="19">
        <f t="shared" si="11"/>
        <v>10.95833333</v>
      </c>
      <c r="V212" s="5">
        <f t="shared" si="12"/>
        <v>69169</v>
      </c>
    </row>
    <row r="213">
      <c r="A213" s="2">
        <v>40844.0</v>
      </c>
      <c r="B213" s="5">
        <v>0.0</v>
      </c>
      <c r="C213" s="5">
        <f t="shared" si="2"/>
        <v>218</v>
      </c>
      <c r="D213" s="5">
        <f t="shared" si="3"/>
        <v>267</v>
      </c>
      <c r="E213" s="5">
        <f t="shared" si="1"/>
        <v>182</v>
      </c>
      <c r="L213" s="5">
        <f t="shared" si="4"/>
        <v>-218</v>
      </c>
      <c r="M213" s="19">
        <f t="shared" si="5"/>
        <v>1</v>
      </c>
      <c r="N213" s="5">
        <f t="shared" si="6"/>
        <v>47524</v>
      </c>
      <c r="P213" s="5">
        <f t="shared" si="7"/>
        <v>-267</v>
      </c>
      <c r="Q213" s="19">
        <f t="shared" si="8"/>
        <v>1</v>
      </c>
      <c r="R213" s="5">
        <f t="shared" si="9"/>
        <v>71289</v>
      </c>
      <c r="T213" s="5">
        <f t="shared" si="10"/>
        <v>-182</v>
      </c>
      <c r="U213" s="19">
        <f t="shared" si="11"/>
        <v>1</v>
      </c>
      <c r="V213" s="5">
        <f t="shared" si="12"/>
        <v>33124</v>
      </c>
    </row>
    <row r="214">
      <c r="A214" s="2">
        <v>40847.0</v>
      </c>
      <c r="B214" s="5">
        <v>498.0</v>
      </c>
      <c r="C214" s="5">
        <f t="shared" si="2"/>
        <v>218</v>
      </c>
      <c r="D214" s="5">
        <f t="shared" si="3"/>
        <v>266</v>
      </c>
      <c r="E214" s="5">
        <f t="shared" si="1"/>
        <v>109</v>
      </c>
      <c r="L214" s="5">
        <f t="shared" si="4"/>
        <v>280</v>
      </c>
      <c r="M214" s="19">
        <f t="shared" si="5"/>
        <v>0.562248996</v>
      </c>
      <c r="N214" s="5">
        <f t="shared" si="6"/>
        <v>78400</v>
      </c>
      <c r="P214" s="5">
        <f t="shared" si="7"/>
        <v>232</v>
      </c>
      <c r="Q214" s="19">
        <f t="shared" si="8"/>
        <v>0.4658634538</v>
      </c>
      <c r="R214" s="5">
        <f t="shared" si="9"/>
        <v>53824</v>
      </c>
      <c r="T214" s="5">
        <f t="shared" si="10"/>
        <v>389</v>
      </c>
      <c r="U214" s="19">
        <f t="shared" si="11"/>
        <v>0.781124498</v>
      </c>
      <c r="V214" s="5">
        <f t="shared" si="12"/>
        <v>151321</v>
      </c>
    </row>
    <row r="215">
      <c r="A215" s="2">
        <v>40848.0</v>
      </c>
      <c r="B215" s="5">
        <v>468.0</v>
      </c>
      <c r="C215" s="5">
        <f t="shared" si="2"/>
        <v>249</v>
      </c>
      <c r="D215" s="5">
        <f t="shared" si="3"/>
        <v>267</v>
      </c>
      <c r="E215" s="5">
        <f t="shared" si="1"/>
        <v>265</v>
      </c>
      <c r="L215" s="5">
        <f t="shared" si="4"/>
        <v>219</v>
      </c>
      <c r="M215" s="19">
        <f t="shared" si="5"/>
        <v>0.4679487179</v>
      </c>
      <c r="N215" s="5">
        <f t="shared" si="6"/>
        <v>47961</v>
      </c>
      <c r="P215" s="5">
        <f t="shared" si="7"/>
        <v>201</v>
      </c>
      <c r="Q215" s="19">
        <f t="shared" si="8"/>
        <v>0.4294871795</v>
      </c>
      <c r="R215" s="5">
        <f t="shared" si="9"/>
        <v>40401</v>
      </c>
      <c r="T215" s="5">
        <f t="shared" si="10"/>
        <v>203</v>
      </c>
      <c r="U215" s="19">
        <f t="shared" si="11"/>
        <v>0.4337606838</v>
      </c>
      <c r="V215" s="5">
        <f t="shared" si="12"/>
        <v>41209</v>
      </c>
    </row>
    <row r="216">
      <c r="A216" s="2">
        <v>40849.0</v>
      </c>
      <c r="B216" s="5">
        <v>540.0</v>
      </c>
      <c r="C216" s="5">
        <f t="shared" si="2"/>
        <v>245</v>
      </c>
      <c r="D216" s="5">
        <f t="shared" si="3"/>
        <v>268</v>
      </c>
      <c r="E216" s="5">
        <f t="shared" si="1"/>
        <v>346</v>
      </c>
      <c r="L216" s="5">
        <f t="shared" si="4"/>
        <v>295</v>
      </c>
      <c r="M216" s="19">
        <f t="shared" si="5"/>
        <v>0.5462962963</v>
      </c>
      <c r="N216" s="5">
        <f t="shared" si="6"/>
        <v>87025</v>
      </c>
      <c r="P216" s="5">
        <f t="shared" si="7"/>
        <v>272</v>
      </c>
      <c r="Q216" s="19">
        <f t="shared" si="8"/>
        <v>0.5037037037</v>
      </c>
      <c r="R216" s="5">
        <f t="shared" si="9"/>
        <v>73984</v>
      </c>
      <c r="T216" s="5">
        <f t="shared" si="10"/>
        <v>194</v>
      </c>
      <c r="U216" s="19">
        <f t="shared" si="11"/>
        <v>0.3592592593</v>
      </c>
      <c r="V216" s="5">
        <f t="shared" si="12"/>
        <v>37636</v>
      </c>
    </row>
    <row r="217">
      <c r="A217" s="2">
        <v>40850.0</v>
      </c>
      <c r="B217" s="5">
        <v>0.0</v>
      </c>
      <c r="C217" s="5">
        <f t="shared" si="2"/>
        <v>306</v>
      </c>
      <c r="D217" s="5">
        <f t="shared" si="3"/>
        <v>269</v>
      </c>
      <c r="E217" s="5">
        <f t="shared" si="1"/>
        <v>424</v>
      </c>
      <c r="L217" s="5">
        <f t="shared" si="4"/>
        <v>-306</v>
      </c>
      <c r="M217" s="19">
        <f t="shared" si="5"/>
        <v>1</v>
      </c>
      <c r="N217" s="5">
        <f t="shared" si="6"/>
        <v>93636</v>
      </c>
      <c r="P217" s="5">
        <f t="shared" si="7"/>
        <v>-269</v>
      </c>
      <c r="Q217" s="19">
        <f t="shared" si="8"/>
        <v>1</v>
      </c>
      <c r="R217" s="5">
        <f t="shared" si="9"/>
        <v>72361</v>
      </c>
      <c r="T217" s="5">
        <f t="shared" si="10"/>
        <v>-424</v>
      </c>
      <c r="U217" s="19">
        <f t="shared" si="11"/>
        <v>1</v>
      </c>
      <c r="V217" s="5">
        <f t="shared" si="12"/>
        <v>179776</v>
      </c>
    </row>
    <row r="218">
      <c r="A218" s="2">
        <v>40851.0</v>
      </c>
      <c r="B218" s="5">
        <v>0.0</v>
      </c>
      <c r="C218" s="5">
        <f t="shared" si="2"/>
        <v>301</v>
      </c>
      <c r="D218" s="5">
        <f t="shared" si="3"/>
        <v>268</v>
      </c>
      <c r="E218" s="5">
        <f t="shared" si="1"/>
        <v>254</v>
      </c>
      <c r="L218" s="5">
        <f t="shared" si="4"/>
        <v>-301</v>
      </c>
      <c r="M218" s="19">
        <f t="shared" si="5"/>
        <v>1</v>
      </c>
      <c r="N218" s="5">
        <f t="shared" si="6"/>
        <v>90601</v>
      </c>
      <c r="P218" s="5">
        <f t="shared" si="7"/>
        <v>-268</v>
      </c>
      <c r="Q218" s="19">
        <f t="shared" si="8"/>
        <v>1</v>
      </c>
      <c r="R218" s="5">
        <f t="shared" si="9"/>
        <v>71824</v>
      </c>
      <c r="T218" s="5">
        <f t="shared" si="10"/>
        <v>-254</v>
      </c>
      <c r="U218" s="19">
        <f t="shared" si="11"/>
        <v>1</v>
      </c>
      <c r="V218" s="5">
        <f t="shared" si="12"/>
        <v>64516</v>
      </c>
    </row>
    <row r="219">
      <c r="A219" s="2">
        <v>40854.0</v>
      </c>
      <c r="B219" s="5">
        <v>504.0</v>
      </c>
      <c r="C219" s="5">
        <f t="shared" si="2"/>
        <v>301</v>
      </c>
      <c r="D219" s="5">
        <f t="shared" si="3"/>
        <v>267</v>
      </c>
      <c r="E219" s="5">
        <f t="shared" si="1"/>
        <v>152</v>
      </c>
      <c r="L219" s="5">
        <f t="shared" si="4"/>
        <v>203</v>
      </c>
      <c r="M219" s="19">
        <f t="shared" si="5"/>
        <v>0.4027777778</v>
      </c>
      <c r="N219" s="5">
        <f t="shared" si="6"/>
        <v>41209</v>
      </c>
      <c r="P219" s="5">
        <f t="shared" si="7"/>
        <v>237</v>
      </c>
      <c r="Q219" s="19">
        <f t="shared" si="8"/>
        <v>0.4702380952</v>
      </c>
      <c r="R219" s="5">
        <f t="shared" si="9"/>
        <v>56169</v>
      </c>
      <c r="T219" s="5">
        <f t="shared" si="10"/>
        <v>352</v>
      </c>
      <c r="U219" s="19">
        <f t="shared" si="11"/>
        <v>0.6984126984</v>
      </c>
      <c r="V219" s="5">
        <f t="shared" si="12"/>
        <v>123904</v>
      </c>
    </row>
    <row r="220">
      <c r="A220" s="2">
        <v>40855.0</v>
      </c>
      <c r="B220" s="5">
        <v>504.0</v>
      </c>
      <c r="C220" s="5">
        <f t="shared" si="2"/>
        <v>302</v>
      </c>
      <c r="D220" s="5">
        <f t="shared" si="3"/>
        <v>268</v>
      </c>
      <c r="E220" s="5">
        <f t="shared" si="1"/>
        <v>293</v>
      </c>
      <c r="L220" s="5">
        <f t="shared" si="4"/>
        <v>202</v>
      </c>
      <c r="M220" s="19">
        <f t="shared" si="5"/>
        <v>0.4007936508</v>
      </c>
      <c r="N220" s="5">
        <f t="shared" si="6"/>
        <v>40804</v>
      </c>
      <c r="P220" s="5">
        <f t="shared" si="7"/>
        <v>236</v>
      </c>
      <c r="Q220" s="19">
        <f t="shared" si="8"/>
        <v>0.4682539683</v>
      </c>
      <c r="R220" s="5">
        <f t="shared" si="9"/>
        <v>55696</v>
      </c>
      <c r="T220" s="5">
        <f t="shared" si="10"/>
        <v>211</v>
      </c>
      <c r="U220" s="19">
        <f t="shared" si="11"/>
        <v>0.4186507937</v>
      </c>
      <c r="V220" s="5">
        <f t="shared" si="12"/>
        <v>44521</v>
      </c>
    </row>
    <row r="221">
      <c r="A221" s="2">
        <v>40856.0</v>
      </c>
      <c r="B221" s="5">
        <v>432.0</v>
      </c>
      <c r="C221" s="5">
        <f t="shared" si="2"/>
        <v>310</v>
      </c>
      <c r="D221" s="5">
        <f t="shared" si="3"/>
        <v>269</v>
      </c>
      <c r="E221" s="5">
        <f t="shared" si="1"/>
        <v>377</v>
      </c>
      <c r="L221" s="5">
        <f t="shared" si="4"/>
        <v>122</v>
      </c>
      <c r="M221" s="19">
        <f t="shared" si="5"/>
        <v>0.2824074074</v>
      </c>
      <c r="N221" s="5">
        <f t="shared" si="6"/>
        <v>14884</v>
      </c>
      <c r="P221" s="5">
        <f t="shared" si="7"/>
        <v>163</v>
      </c>
      <c r="Q221" s="19">
        <f t="shared" si="8"/>
        <v>0.3773148148</v>
      </c>
      <c r="R221" s="5">
        <f t="shared" si="9"/>
        <v>26569</v>
      </c>
      <c r="T221" s="5">
        <f t="shared" si="10"/>
        <v>55</v>
      </c>
      <c r="U221" s="19">
        <f t="shared" si="11"/>
        <v>0.1273148148</v>
      </c>
      <c r="V221" s="5">
        <f t="shared" si="12"/>
        <v>3025</v>
      </c>
    </row>
    <row r="222">
      <c r="A222" s="2">
        <v>40857.0</v>
      </c>
      <c r="B222" s="5">
        <v>18.0</v>
      </c>
      <c r="C222" s="5">
        <f t="shared" si="2"/>
        <v>288</v>
      </c>
      <c r="D222" s="5">
        <f t="shared" si="3"/>
        <v>269</v>
      </c>
      <c r="E222" s="5">
        <f t="shared" si="1"/>
        <v>399</v>
      </c>
      <c r="L222" s="5">
        <f t="shared" si="4"/>
        <v>-270</v>
      </c>
      <c r="M222" s="19">
        <f t="shared" si="5"/>
        <v>15</v>
      </c>
      <c r="N222" s="5">
        <f t="shared" si="6"/>
        <v>72900</v>
      </c>
      <c r="P222" s="5">
        <f t="shared" si="7"/>
        <v>-251</v>
      </c>
      <c r="Q222" s="19">
        <f t="shared" si="8"/>
        <v>13.94444444</v>
      </c>
      <c r="R222" s="5">
        <f t="shared" si="9"/>
        <v>63001</v>
      </c>
      <c r="T222" s="5">
        <f t="shared" si="10"/>
        <v>-381</v>
      </c>
      <c r="U222" s="19">
        <f t="shared" si="11"/>
        <v>21.16666667</v>
      </c>
      <c r="V222" s="5">
        <f t="shared" si="12"/>
        <v>145161</v>
      </c>
    </row>
    <row r="223">
      <c r="A223" s="2">
        <v>40858.0</v>
      </c>
      <c r="B223" s="5">
        <v>0.0</v>
      </c>
      <c r="C223" s="5">
        <f t="shared" si="2"/>
        <v>292</v>
      </c>
      <c r="D223" s="5">
        <f t="shared" si="3"/>
        <v>268</v>
      </c>
      <c r="E223" s="5">
        <f t="shared" si="1"/>
        <v>247</v>
      </c>
      <c r="L223" s="5">
        <f t="shared" si="4"/>
        <v>-292</v>
      </c>
      <c r="M223" s="19">
        <f t="shared" si="5"/>
        <v>1</v>
      </c>
      <c r="N223" s="5">
        <f t="shared" si="6"/>
        <v>85264</v>
      </c>
      <c r="P223" s="5">
        <f t="shared" si="7"/>
        <v>-268</v>
      </c>
      <c r="Q223" s="19">
        <f t="shared" si="8"/>
        <v>1</v>
      </c>
      <c r="R223" s="5">
        <f t="shared" si="9"/>
        <v>71824</v>
      </c>
      <c r="T223" s="5">
        <f t="shared" si="10"/>
        <v>-247</v>
      </c>
      <c r="U223" s="19">
        <f t="shared" si="11"/>
        <v>1</v>
      </c>
      <c r="V223" s="5">
        <f t="shared" si="12"/>
        <v>61009</v>
      </c>
    </row>
    <row r="224">
      <c r="A224" s="2">
        <v>40861.0</v>
      </c>
      <c r="B224" s="5">
        <v>306.0</v>
      </c>
      <c r="C224" s="5">
        <f t="shared" si="2"/>
        <v>292</v>
      </c>
      <c r="D224" s="5">
        <f t="shared" si="3"/>
        <v>267</v>
      </c>
      <c r="E224" s="5">
        <f t="shared" si="1"/>
        <v>148</v>
      </c>
      <c r="L224" s="5">
        <f t="shared" si="4"/>
        <v>14</v>
      </c>
      <c r="M224" s="19">
        <f t="shared" si="5"/>
        <v>0.04575163399</v>
      </c>
      <c r="N224" s="5">
        <f t="shared" si="6"/>
        <v>196</v>
      </c>
      <c r="P224" s="5">
        <f t="shared" si="7"/>
        <v>39</v>
      </c>
      <c r="Q224" s="19">
        <f t="shared" si="8"/>
        <v>0.1274509804</v>
      </c>
      <c r="R224" s="5">
        <f t="shared" si="9"/>
        <v>1521</v>
      </c>
      <c r="T224" s="5">
        <f t="shared" si="10"/>
        <v>158</v>
      </c>
      <c r="U224" s="19">
        <f t="shared" si="11"/>
        <v>0.5163398693</v>
      </c>
      <c r="V224" s="5">
        <f t="shared" si="12"/>
        <v>24964</v>
      </c>
    </row>
    <row r="225">
      <c r="A225" s="2">
        <v>40862.0</v>
      </c>
      <c r="B225" s="5">
        <v>420.0</v>
      </c>
      <c r="C225" s="5">
        <f t="shared" si="2"/>
        <v>252</v>
      </c>
      <c r="D225" s="5">
        <f t="shared" si="3"/>
        <v>267</v>
      </c>
      <c r="E225" s="5">
        <f t="shared" si="1"/>
        <v>211</v>
      </c>
      <c r="L225" s="5">
        <f t="shared" si="4"/>
        <v>168</v>
      </c>
      <c r="M225" s="19">
        <f t="shared" si="5"/>
        <v>0.4</v>
      </c>
      <c r="N225" s="5">
        <f t="shared" si="6"/>
        <v>28224</v>
      </c>
      <c r="P225" s="5">
        <f t="shared" si="7"/>
        <v>153</v>
      </c>
      <c r="Q225" s="19">
        <f t="shared" si="8"/>
        <v>0.3642857143</v>
      </c>
      <c r="R225" s="5">
        <f t="shared" si="9"/>
        <v>23409</v>
      </c>
      <c r="T225" s="5">
        <f t="shared" si="10"/>
        <v>209</v>
      </c>
      <c r="U225" s="19">
        <f t="shared" si="11"/>
        <v>0.4976190476</v>
      </c>
      <c r="V225" s="5">
        <f t="shared" si="12"/>
        <v>43681</v>
      </c>
    </row>
    <row r="226">
      <c r="A226" s="2">
        <v>40863.0</v>
      </c>
      <c r="B226" s="5">
        <v>759.0</v>
      </c>
      <c r="C226" s="5">
        <f t="shared" si="2"/>
        <v>235</v>
      </c>
      <c r="D226" s="5">
        <f t="shared" si="3"/>
        <v>268</v>
      </c>
      <c r="E226" s="5">
        <f t="shared" si="1"/>
        <v>295</v>
      </c>
      <c r="L226" s="5">
        <f t="shared" si="4"/>
        <v>524</v>
      </c>
      <c r="M226" s="19">
        <f t="shared" si="5"/>
        <v>0.6903820817</v>
      </c>
      <c r="N226" s="5">
        <f t="shared" si="6"/>
        <v>274576</v>
      </c>
      <c r="P226" s="5">
        <f t="shared" si="7"/>
        <v>491</v>
      </c>
      <c r="Q226" s="19">
        <f t="shared" si="8"/>
        <v>0.6469038208</v>
      </c>
      <c r="R226" s="5">
        <f t="shared" si="9"/>
        <v>241081</v>
      </c>
      <c r="T226" s="5">
        <f t="shared" si="10"/>
        <v>464</v>
      </c>
      <c r="U226" s="19">
        <f t="shared" si="11"/>
        <v>0.6113306983</v>
      </c>
      <c r="V226" s="5">
        <f t="shared" si="12"/>
        <v>215296</v>
      </c>
    </row>
    <row r="227">
      <c r="A227" s="2">
        <v>40864.0</v>
      </c>
      <c r="B227" s="5">
        <v>72.0</v>
      </c>
      <c r="C227" s="5">
        <f t="shared" si="2"/>
        <v>301</v>
      </c>
      <c r="D227" s="5">
        <f t="shared" si="3"/>
        <v>270</v>
      </c>
      <c r="E227" s="5">
        <f t="shared" si="1"/>
        <v>481</v>
      </c>
      <c r="L227" s="5">
        <f t="shared" si="4"/>
        <v>-229</v>
      </c>
      <c r="M227" s="19">
        <f t="shared" si="5"/>
        <v>3.180555556</v>
      </c>
      <c r="N227" s="5">
        <f t="shared" si="6"/>
        <v>52441</v>
      </c>
      <c r="P227" s="5">
        <f t="shared" si="7"/>
        <v>-198</v>
      </c>
      <c r="Q227" s="19">
        <f t="shared" si="8"/>
        <v>2.75</v>
      </c>
      <c r="R227" s="5">
        <f t="shared" si="9"/>
        <v>39204</v>
      </c>
      <c r="T227" s="5">
        <f t="shared" si="10"/>
        <v>-409</v>
      </c>
      <c r="U227" s="19">
        <f t="shared" si="11"/>
        <v>5.680555556</v>
      </c>
      <c r="V227" s="5">
        <f t="shared" si="12"/>
        <v>167281</v>
      </c>
    </row>
    <row r="228">
      <c r="A228" s="2">
        <v>40865.0</v>
      </c>
      <c r="B228" s="5">
        <v>0.0</v>
      </c>
      <c r="C228" s="5">
        <f t="shared" si="2"/>
        <v>311</v>
      </c>
      <c r="D228" s="5">
        <f t="shared" si="3"/>
        <v>269</v>
      </c>
      <c r="E228" s="5">
        <f t="shared" si="1"/>
        <v>317</v>
      </c>
      <c r="L228" s="5">
        <f t="shared" si="4"/>
        <v>-311</v>
      </c>
      <c r="M228" s="19">
        <f t="shared" si="5"/>
        <v>1</v>
      </c>
      <c r="N228" s="5">
        <f t="shared" si="6"/>
        <v>96721</v>
      </c>
      <c r="P228" s="5">
        <f t="shared" si="7"/>
        <v>-269</v>
      </c>
      <c r="Q228" s="19">
        <f t="shared" si="8"/>
        <v>1</v>
      </c>
      <c r="R228" s="5">
        <f t="shared" si="9"/>
        <v>72361</v>
      </c>
      <c r="T228" s="5">
        <f t="shared" si="10"/>
        <v>-317</v>
      </c>
      <c r="U228" s="19">
        <f t="shared" si="11"/>
        <v>1</v>
      </c>
      <c r="V228" s="5">
        <f t="shared" si="12"/>
        <v>100489</v>
      </c>
    </row>
    <row r="229">
      <c r="A229" s="2">
        <v>40868.0</v>
      </c>
      <c r="B229" s="5">
        <v>42.0</v>
      </c>
      <c r="C229" s="5">
        <f t="shared" si="2"/>
        <v>311</v>
      </c>
      <c r="D229" s="5">
        <f t="shared" si="3"/>
        <v>268</v>
      </c>
      <c r="E229" s="5">
        <f t="shared" si="1"/>
        <v>190</v>
      </c>
      <c r="L229" s="5">
        <f t="shared" si="4"/>
        <v>-269</v>
      </c>
      <c r="M229" s="19">
        <f t="shared" si="5"/>
        <v>6.404761905</v>
      </c>
      <c r="N229" s="5">
        <f t="shared" si="6"/>
        <v>72361</v>
      </c>
      <c r="P229" s="5">
        <f t="shared" si="7"/>
        <v>-226</v>
      </c>
      <c r="Q229" s="19">
        <f t="shared" si="8"/>
        <v>5.380952381</v>
      </c>
      <c r="R229" s="5">
        <f t="shared" si="9"/>
        <v>51076</v>
      </c>
      <c r="T229" s="5">
        <f t="shared" si="10"/>
        <v>-148</v>
      </c>
      <c r="U229" s="19">
        <f t="shared" si="11"/>
        <v>3.523809524</v>
      </c>
      <c r="V229" s="5">
        <f t="shared" si="12"/>
        <v>21904</v>
      </c>
    </row>
    <row r="230">
      <c r="A230" s="2">
        <v>40869.0</v>
      </c>
      <c r="B230" s="5">
        <v>1322.0</v>
      </c>
      <c r="C230" s="5">
        <f t="shared" si="2"/>
        <v>259</v>
      </c>
      <c r="D230" s="5">
        <f t="shared" si="3"/>
        <v>267</v>
      </c>
      <c r="E230" s="5">
        <f t="shared" si="1"/>
        <v>131</v>
      </c>
      <c r="L230" s="5">
        <f t="shared" si="4"/>
        <v>1063</v>
      </c>
      <c r="M230" s="19">
        <f t="shared" si="5"/>
        <v>0.8040847201</v>
      </c>
      <c r="N230" s="5">
        <f t="shared" si="6"/>
        <v>1129969</v>
      </c>
      <c r="P230" s="5">
        <f t="shared" si="7"/>
        <v>1055</v>
      </c>
      <c r="Q230" s="19">
        <f t="shared" si="8"/>
        <v>0.7980332829</v>
      </c>
      <c r="R230" s="5">
        <f t="shared" si="9"/>
        <v>1113025</v>
      </c>
      <c r="T230" s="5">
        <f t="shared" si="10"/>
        <v>1191</v>
      </c>
      <c r="U230" s="19">
        <f t="shared" si="11"/>
        <v>0.9009077156</v>
      </c>
      <c r="V230" s="5">
        <f t="shared" si="12"/>
        <v>1418481</v>
      </c>
    </row>
    <row r="231">
      <c r="A231" s="2">
        <v>40870.0</v>
      </c>
      <c r="B231" s="5">
        <v>0.0</v>
      </c>
      <c r="C231" s="5">
        <f t="shared" si="2"/>
        <v>439</v>
      </c>
      <c r="D231" s="5">
        <f t="shared" si="3"/>
        <v>272</v>
      </c>
      <c r="E231" s="5">
        <f t="shared" si="1"/>
        <v>607</v>
      </c>
      <c r="L231" s="5">
        <f t="shared" si="4"/>
        <v>-439</v>
      </c>
      <c r="M231" s="19">
        <f t="shared" si="5"/>
        <v>1</v>
      </c>
      <c r="N231" s="5">
        <f t="shared" si="6"/>
        <v>192721</v>
      </c>
      <c r="P231" s="5">
        <f t="shared" si="7"/>
        <v>-272</v>
      </c>
      <c r="Q231" s="19">
        <f t="shared" si="8"/>
        <v>1</v>
      </c>
      <c r="R231" s="5">
        <f t="shared" si="9"/>
        <v>73984</v>
      </c>
      <c r="T231" s="5">
        <f t="shared" si="10"/>
        <v>-607</v>
      </c>
      <c r="U231" s="19">
        <f t="shared" si="11"/>
        <v>1</v>
      </c>
      <c r="V231" s="5">
        <f t="shared" si="12"/>
        <v>368449</v>
      </c>
    </row>
    <row r="232">
      <c r="A232" s="2">
        <v>40875.0</v>
      </c>
      <c r="B232" s="5">
        <v>327.0</v>
      </c>
      <c r="C232" s="5">
        <f t="shared" si="2"/>
        <v>287</v>
      </c>
      <c r="D232" s="5">
        <f t="shared" si="3"/>
        <v>271</v>
      </c>
      <c r="E232" s="5">
        <f t="shared" si="1"/>
        <v>364</v>
      </c>
      <c r="L232" s="5">
        <f t="shared" si="4"/>
        <v>40</v>
      </c>
      <c r="M232" s="19">
        <f t="shared" si="5"/>
        <v>0.122324159</v>
      </c>
      <c r="N232" s="5">
        <f t="shared" si="6"/>
        <v>1600</v>
      </c>
      <c r="P232" s="5">
        <f t="shared" si="7"/>
        <v>56</v>
      </c>
      <c r="Q232" s="19">
        <f t="shared" si="8"/>
        <v>0.1712538226</v>
      </c>
      <c r="R232" s="5">
        <f t="shared" si="9"/>
        <v>3136</v>
      </c>
      <c r="T232" s="5">
        <f t="shared" si="10"/>
        <v>-37</v>
      </c>
      <c r="U232" s="19">
        <f t="shared" si="11"/>
        <v>0.1131498471</v>
      </c>
      <c r="V232" s="5">
        <f t="shared" si="12"/>
        <v>1369</v>
      </c>
    </row>
    <row r="233">
      <c r="A233" s="2">
        <v>40876.0</v>
      </c>
      <c r="B233" s="5">
        <v>486.0</v>
      </c>
      <c r="C233" s="5">
        <f t="shared" si="2"/>
        <v>338</v>
      </c>
      <c r="D233" s="5">
        <f t="shared" si="3"/>
        <v>271</v>
      </c>
      <c r="E233" s="5">
        <f t="shared" si="1"/>
        <v>349</v>
      </c>
      <c r="L233" s="5">
        <f t="shared" si="4"/>
        <v>148</v>
      </c>
      <c r="M233" s="19">
        <f t="shared" si="5"/>
        <v>0.304526749</v>
      </c>
      <c r="N233" s="5">
        <f t="shared" si="6"/>
        <v>21904</v>
      </c>
      <c r="P233" s="5">
        <f t="shared" si="7"/>
        <v>215</v>
      </c>
      <c r="Q233" s="19">
        <f t="shared" si="8"/>
        <v>0.4423868313</v>
      </c>
      <c r="R233" s="5">
        <f t="shared" si="9"/>
        <v>46225</v>
      </c>
      <c r="T233" s="5">
        <f t="shared" si="10"/>
        <v>137</v>
      </c>
      <c r="U233" s="19">
        <f t="shared" si="11"/>
        <v>0.2818930041</v>
      </c>
      <c r="V233" s="5">
        <f t="shared" si="12"/>
        <v>18769</v>
      </c>
    </row>
    <row r="234">
      <c r="A234" s="2">
        <v>40877.0</v>
      </c>
      <c r="B234" s="5">
        <v>372.0</v>
      </c>
      <c r="C234" s="5">
        <f t="shared" si="2"/>
        <v>435</v>
      </c>
      <c r="D234" s="5">
        <f t="shared" si="3"/>
        <v>272</v>
      </c>
      <c r="E234" s="5">
        <f t="shared" si="1"/>
        <v>404</v>
      </c>
      <c r="L234" s="5">
        <f t="shared" si="4"/>
        <v>-63</v>
      </c>
      <c r="M234" s="19">
        <f t="shared" si="5"/>
        <v>0.1693548387</v>
      </c>
      <c r="N234" s="5">
        <f t="shared" si="6"/>
        <v>3969</v>
      </c>
      <c r="P234" s="5">
        <f t="shared" si="7"/>
        <v>100</v>
      </c>
      <c r="Q234" s="19">
        <f t="shared" si="8"/>
        <v>0.2688172043</v>
      </c>
      <c r="R234" s="5">
        <f t="shared" si="9"/>
        <v>10000</v>
      </c>
      <c r="T234" s="5">
        <f t="shared" si="10"/>
        <v>-32</v>
      </c>
      <c r="U234" s="19">
        <f t="shared" si="11"/>
        <v>0.08602150538</v>
      </c>
      <c r="V234" s="5">
        <f t="shared" si="12"/>
        <v>1024</v>
      </c>
    </row>
    <row r="235">
      <c r="A235" s="2">
        <v>40878.0</v>
      </c>
      <c r="B235" s="5">
        <v>6.0</v>
      </c>
      <c r="C235" s="5">
        <f t="shared" si="2"/>
        <v>501</v>
      </c>
      <c r="D235" s="5">
        <f t="shared" si="3"/>
        <v>272</v>
      </c>
      <c r="E235" s="5">
        <f t="shared" si="1"/>
        <v>391</v>
      </c>
      <c r="L235" s="5">
        <f t="shared" si="4"/>
        <v>-495</v>
      </c>
      <c r="M235" s="19">
        <f t="shared" si="5"/>
        <v>82.5</v>
      </c>
      <c r="N235" s="5">
        <f t="shared" si="6"/>
        <v>245025</v>
      </c>
      <c r="P235" s="5">
        <f t="shared" si="7"/>
        <v>-266</v>
      </c>
      <c r="Q235" s="19">
        <f t="shared" si="8"/>
        <v>44.33333333</v>
      </c>
      <c r="R235" s="5">
        <f t="shared" si="9"/>
        <v>70756</v>
      </c>
      <c r="T235" s="5">
        <f t="shared" si="10"/>
        <v>-385</v>
      </c>
      <c r="U235" s="19">
        <f t="shared" si="11"/>
        <v>64.16666667</v>
      </c>
      <c r="V235" s="5">
        <f t="shared" si="12"/>
        <v>148225</v>
      </c>
    </row>
    <row r="236">
      <c r="A236" s="2">
        <v>40879.0</v>
      </c>
      <c r="B236" s="5">
        <v>0.0</v>
      </c>
      <c r="C236" s="5">
        <f t="shared" si="2"/>
        <v>238</v>
      </c>
      <c r="D236" s="5">
        <f t="shared" si="3"/>
        <v>271</v>
      </c>
      <c r="E236" s="5">
        <f t="shared" si="1"/>
        <v>237</v>
      </c>
      <c r="L236" s="5">
        <f t="shared" si="4"/>
        <v>-238</v>
      </c>
      <c r="M236" s="19">
        <f t="shared" si="5"/>
        <v>1</v>
      </c>
      <c r="N236" s="5">
        <f t="shared" si="6"/>
        <v>56644</v>
      </c>
      <c r="P236" s="5">
        <f t="shared" si="7"/>
        <v>-271</v>
      </c>
      <c r="Q236" s="19">
        <f t="shared" si="8"/>
        <v>1</v>
      </c>
      <c r="R236" s="5">
        <f t="shared" si="9"/>
        <v>73441</v>
      </c>
      <c r="T236" s="5">
        <f t="shared" si="10"/>
        <v>-237</v>
      </c>
      <c r="U236" s="19">
        <f t="shared" si="11"/>
        <v>1</v>
      </c>
      <c r="V236" s="5">
        <f t="shared" si="12"/>
        <v>56169</v>
      </c>
    </row>
    <row r="237">
      <c r="A237" s="2">
        <v>40882.0</v>
      </c>
      <c r="B237" s="5">
        <v>362.0</v>
      </c>
      <c r="C237" s="5">
        <f t="shared" si="2"/>
        <v>238</v>
      </c>
      <c r="D237" s="5">
        <f t="shared" si="3"/>
        <v>270</v>
      </c>
      <c r="E237" s="5">
        <f t="shared" si="1"/>
        <v>142</v>
      </c>
      <c r="L237" s="5">
        <f t="shared" si="4"/>
        <v>124</v>
      </c>
      <c r="M237" s="19">
        <f t="shared" si="5"/>
        <v>0.3425414365</v>
      </c>
      <c r="N237" s="5">
        <f t="shared" si="6"/>
        <v>15376</v>
      </c>
      <c r="P237" s="5">
        <f t="shared" si="7"/>
        <v>92</v>
      </c>
      <c r="Q237" s="19">
        <f t="shared" si="8"/>
        <v>0.2541436464</v>
      </c>
      <c r="R237" s="5">
        <f t="shared" si="9"/>
        <v>8464</v>
      </c>
      <c r="T237" s="5">
        <f t="shared" si="10"/>
        <v>220</v>
      </c>
      <c r="U237" s="19">
        <f t="shared" si="11"/>
        <v>0.6077348066</v>
      </c>
      <c r="V237" s="5">
        <f t="shared" si="12"/>
        <v>48400</v>
      </c>
    </row>
    <row r="238">
      <c r="A238" s="2">
        <v>40883.0</v>
      </c>
      <c r="B238" s="5">
        <v>504.0</v>
      </c>
      <c r="C238" s="5">
        <f t="shared" si="2"/>
        <v>245</v>
      </c>
      <c r="D238" s="5">
        <f t="shared" si="3"/>
        <v>270</v>
      </c>
      <c r="E238" s="5">
        <f t="shared" si="1"/>
        <v>230</v>
      </c>
      <c r="L238" s="5">
        <f t="shared" si="4"/>
        <v>259</v>
      </c>
      <c r="M238" s="19">
        <f t="shared" si="5"/>
        <v>0.5138888889</v>
      </c>
      <c r="N238" s="5">
        <f t="shared" si="6"/>
        <v>67081</v>
      </c>
      <c r="P238" s="5">
        <f t="shared" si="7"/>
        <v>234</v>
      </c>
      <c r="Q238" s="19">
        <f t="shared" si="8"/>
        <v>0.4642857143</v>
      </c>
      <c r="R238" s="5">
        <f t="shared" si="9"/>
        <v>54756</v>
      </c>
      <c r="T238" s="5">
        <f t="shared" si="10"/>
        <v>274</v>
      </c>
      <c r="U238" s="19">
        <f t="shared" si="11"/>
        <v>0.5436507937</v>
      </c>
      <c r="V238" s="5">
        <f t="shared" si="12"/>
        <v>75076</v>
      </c>
    </row>
    <row r="239">
      <c r="A239" s="2">
        <v>40884.0</v>
      </c>
      <c r="B239" s="5">
        <v>582.0</v>
      </c>
      <c r="C239" s="5">
        <f t="shared" si="2"/>
        <v>249</v>
      </c>
      <c r="D239" s="5">
        <f t="shared" si="3"/>
        <v>271</v>
      </c>
      <c r="E239" s="5">
        <f t="shared" si="1"/>
        <v>340</v>
      </c>
      <c r="L239" s="5">
        <f t="shared" si="4"/>
        <v>333</v>
      </c>
      <c r="M239" s="19">
        <f t="shared" si="5"/>
        <v>0.5721649485</v>
      </c>
      <c r="N239" s="5">
        <f t="shared" si="6"/>
        <v>110889</v>
      </c>
      <c r="P239" s="5">
        <f t="shared" si="7"/>
        <v>311</v>
      </c>
      <c r="Q239" s="19">
        <f t="shared" si="8"/>
        <v>0.5343642612</v>
      </c>
      <c r="R239" s="5">
        <f t="shared" si="9"/>
        <v>96721</v>
      </c>
      <c r="T239" s="5">
        <f t="shared" si="10"/>
        <v>242</v>
      </c>
      <c r="U239" s="19">
        <f t="shared" si="11"/>
        <v>0.4158075601</v>
      </c>
      <c r="V239" s="5">
        <f t="shared" si="12"/>
        <v>58564</v>
      </c>
    </row>
    <row r="240">
      <c r="A240" s="2">
        <v>40885.0</v>
      </c>
      <c r="B240" s="5">
        <v>50.0</v>
      </c>
      <c r="C240" s="5">
        <f t="shared" si="2"/>
        <v>291</v>
      </c>
      <c r="D240" s="5">
        <f t="shared" si="3"/>
        <v>273</v>
      </c>
      <c r="E240" s="5">
        <f t="shared" si="1"/>
        <v>437</v>
      </c>
      <c r="L240" s="5">
        <f t="shared" si="4"/>
        <v>-241</v>
      </c>
      <c r="M240" s="19">
        <f t="shared" si="5"/>
        <v>4.82</v>
      </c>
      <c r="N240" s="5">
        <f t="shared" si="6"/>
        <v>58081</v>
      </c>
      <c r="P240" s="5">
        <f t="shared" si="7"/>
        <v>-223</v>
      </c>
      <c r="Q240" s="19">
        <f t="shared" si="8"/>
        <v>4.46</v>
      </c>
      <c r="R240" s="5">
        <f t="shared" si="9"/>
        <v>49729</v>
      </c>
      <c r="T240" s="5">
        <f t="shared" si="10"/>
        <v>-387</v>
      </c>
      <c r="U240" s="19">
        <f t="shared" si="11"/>
        <v>7.74</v>
      </c>
      <c r="V240" s="5">
        <f t="shared" si="12"/>
        <v>149769</v>
      </c>
    </row>
    <row r="241">
      <c r="A241" s="2">
        <v>40886.0</v>
      </c>
      <c r="B241" s="5">
        <v>0.0</v>
      </c>
      <c r="C241" s="5">
        <f t="shared" si="2"/>
        <v>300</v>
      </c>
      <c r="D241" s="5">
        <f t="shared" si="3"/>
        <v>272</v>
      </c>
      <c r="E241" s="5">
        <f t="shared" si="1"/>
        <v>282</v>
      </c>
      <c r="L241" s="5">
        <f t="shared" si="4"/>
        <v>-300</v>
      </c>
      <c r="M241" s="19">
        <f t="shared" si="5"/>
        <v>1</v>
      </c>
      <c r="N241" s="5">
        <f t="shared" si="6"/>
        <v>90000</v>
      </c>
      <c r="P241" s="5">
        <f t="shared" si="7"/>
        <v>-272</v>
      </c>
      <c r="Q241" s="19">
        <f t="shared" si="8"/>
        <v>1</v>
      </c>
      <c r="R241" s="5">
        <f t="shared" si="9"/>
        <v>73984</v>
      </c>
      <c r="T241" s="5">
        <f t="shared" si="10"/>
        <v>-282</v>
      </c>
      <c r="U241" s="19">
        <f t="shared" si="11"/>
        <v>1</v>
      </c>
      <c r="V241" s="5">
        <f t="shared" si="12"/>
        <v>79524</v>
      </c>
    </row>
    <row r="242">
      <c r="A242" s="2">
        <v>40889.0</v>
      </c>
      <c r="B242" s="5">
        <v>684.0</v>
      </c>
      <c r="C242" s="5">
        <f t="shared" si="2"/>
        <v>300</v>
      </c>
      <c r="D242" s="5">
        <f t="shared" si="3"/>
        <v>270</v>
      </c>
      <c r="E242" s="5">
        <f t="shared" si="1"/>
        <v>169</v>
      </c>
      <c r="L242" s="5">
        <f t="shared" si="4"/>
        <v>384</v>
      </c>
      <c r="M242" s="19">
        <f t="shared" si="5"/>
        <v>0.5614035088</v>
      </c>
      <c r="N242" s="5">
        <f t="shared" si="6"/>
        <v>147456</v>
      </c>
      <c r="P242" s="5">
        <f t="shared" si="7"/>
        <v>414</v>
      </c>
      <c r="Q242" s="19">
        <f t="shared" si="8"/>
        <v>0.6052631579</v>
      </c>
      <c r="R242" s="5">
        <f t="shared" si="9"/>
        <v>171396</v>
      </c>
      <c r="T242" s="5">
        <f t="shared" si="10"/>
        <v>515</v>
      </c>
      <c r="U242" s="19">
        <f t="shared" si="11"/>
        <v>0.7529239766</v>
      </c>
      <c r="V242" s="5">
        <f t="shared" si="12"/>
        <v>265225</v>
      </c>
    </row>
    <row r="243">
      <c r="A243" s="2">
        <v>40890.0</v>
      </c>
      <c r="B243" s="5">
        <v>510.0</v>
      </c>
      <c r="C243" s="5">
        <f t="shared" si="2"/>
        <v>364</v>
      </c>
      <c r="D243" s="5">
        <f t="shared" si="3"/>
        <v>272</v>
      </c>
      <c r="E243" s="5">
        <f t="shared" si="1"/>
        <v>375</v>
      </c>
      <c r="L243" s="5">
        <f t="shared" si="4"/>
        <v>146</v>
      </c>
      <c r="M243" s="19">
        <f t="shared" si="5"/>
        <v>0.2862745098</v>
      </c>
      <c r="N243" s="5">
        <f t="shared" si="6"/>
        <v>21316</v>
      </c>
      <c r="P243" s="5">
        <f t="shared" si="7"/>
        <v>238</v>
      </c>
      <c r="Q243" s="19">
        <f t="shared" si="8"/>
        <v>0.4666666667</v>
      </c>
      <c r="R243" s="5">
        <f t="shared" si="9"/>
        <v>56644</v>
      </c>
      <c r="T243" s="5">
        <f t="shared" si="10"/>
        <v>135</v>
      </c>
      <c r="U243" s="19">
        <f t="shared" si="11"/>
        <v>0.2647058824</v>
      </c>
      <c r="V243" s="5">
        <f t="shared" si="12"/>
        <v>18225</v>
      </c>
    </row>
    <row r="244">
      <c r="A244" s="2">
        <v>40891.0</v>
      </c>
      <c r="B244" s="5">
        <v>570.0</v>
      </c>
      <c r="C244" s="5">
        <f t="shared" si="2"/>
        <v>365</v>
      </c>
      <c r="D244" s="5">
        <f t="shared" si="3"/>
        <v>273</v>
      </c>
      <c r="E244" s="5">
        <f t="shared" si="1"/>
        <v>429</v>
      </c>
      <c r="L244" s="5">
        <f t="shared" si="4"/>
        <v>205</v>
      </c>
      <c r="M244" s="19">
        <f t="shared" si="5"/>
        <v>0.3596491228</v>
      </c>
      <c r="N244" s="5">
        <f t="shared" si="6"/>
        <v>42025</v>
      </c>
      <c r="P244" s="5">
        <f t="shared" si="7"/>
        <v>297</v>
      </c>
      <c r="Q244" s="19">
        <f t="shared" si="8"/>
        <v>0.5210526316</v>
      </c>
      <c r="R244" s="5">
        <f t="shared" si="9"/>
        <v>88209</v>
      </c>
      <c r="T244" s="5">
        <f t="shared" si="10"/>
        <v>141</v>
      </c>
      <c r="U244" s="19">
        <f t="shared" si="11"/>
        <v>0.2473684211</v>
      </c>
      <c r="V244" s="5">
        <f t="shared" si="12"/>
        <v>19881</v>
      </c>
    </row>
    <row r="245">
      <c r="A245" s="2">
        <v>40892.0</v>
      </c>
      <c r="B245" s="5">
        <v>0.0</v>
      </c>
      <c r="C245" s="5">
        <f t="shared" si="2"/>
        <v>363</v>
      </c>
      <c r="D245" s="5">
        <f t="shared" si="3"/>
        <v>274</v>
      </c>
      <c r="E245" s="5">
        <f t="shared" si="1"/>
        <v>485</v>
      </c>
      <c r="L245" s="5">
        <f t="shared" si="4"/>
        <v>-363</v>
      </c>
      <c r="M245" s="19">
        <f t="shared" si="5"/>
        <v>1</v>
      </c>
      <c r="N245" s="5">
        <f t="shared" si="6"/>
        <v>131769</v>
      </c>
      <c r="P245" s="5">
        <f t="shared" si="7"/>
        <v>-274</v>
      </c>
      <c r="Q245" s="19">
        <f t="shared" si="8"/>
        <v>1</v>
      </c>
      <c r="R245" s="5">
        <f t="shared" si="9"/>
        <v>75076</v>
      </c>
      <c r="T245" s="5">
        <f t="shared" si="10"/>
        <v>-485</v>
      </c>
      <c r="U245" s="19">
        <f t="shared" si="11"/>
        <v>1</v>
      </c>
      <c r="V245" s="5">
        <f t="shared" si="12"/>
        <v>235225</v>
      </c>
    </row>
    <row r="246">
      <c r="A246" s="2">
        <v>40893.0</v>
      </c>
      <c r="B246" s="5">
        <v>0.0</v>
      </c>
      <c r="C246" s="5">
        <f t="shared" si="2"/>
        <v>353</v>
      </c>
      <c r="D246" s="5">
        <f t="shared" si="3"/>
        <v>273</v>
      </c>
      <c r="E246" s="5">
        <f t="shared" si="1"/>
        <v>291</v>
      </c>
      <c r="L246" s="5">
        <f t="shared" si="4"/>
        <v>-353</v>
      </c>
      <c r="M246" s="19">
        <f t="shared" si="5"/>
        <v>1</v>
      </c>
      <c r="N246" s="5">
        <f t="shared" si="6"/>
        <v>124609</v>
      </c>
      <c r="P246" s="5">
        <f t="shared" si="7"/>
        <v>-273</v>
      </c>
      <c r="Q246" s="19">
        <f t="shared" si="8"/>
        <v>1</v>
      </c>
      <c r="R246" s="5">
        <f t="shared" si="9"/>
        <v>74529</v>
      </c>
      <c r="T246" s="5">
        <f t="shared" si="10"/>
        <v>-291</v>
      </c>
      <c r="U246" s="19">
        <f t="shared" si="11"/>
        <v>1</v>
      </c>
      <c r="V246" s="5">
        <f t="shared" si="12"/>
        <v>84681</v>
      </c>
    </row>
    <row r="247">
      <c r="A247" s="2">
        <v>40896.0</v>
      </c>
      <c r="B247" s="5">
        <v>360.0</v>
      </c>
      <c r="C247" s="5">
        <f t="shared" si="2"/>
        <v>353</v>
      </c>
      <c r="D247" s="5">
        <f t="shared" si="3"/>
        <v>272</v>
      </c>
      <c r="E247" s="5">
        <f t="shared" si="1"/>
        <v>175</v>
      </c>
      <c r="L247" s="5">
        <f t="shared" si="4"/>
        <v>7</v>
      </c>
      <c r="M247" s="19">
        <f t="shared" si="5"/>
        <v>0.01944444444</v>
      </c>
      <c r="N247" s="5">
        <f t="shared" si="6"/>
        <v>49</v>
      </c>
      <c r="P247" s="5">
        <f t="shared" si="7"/>
        <v>88</v>
      </c>
      <c r="Q247" s="19">
        <f t="shared" si="8"/>
        <v>0.2444444444</v>
      </c>
      <c r="R247" s="5">
        <f t="shared" si="9"/>
        <v>7744</v>
      </c>
      <c r="T247" s="5">
        <f t="shared" si="10"/>
        <v>185</v>
      </c>
      <c r="U247" s="19">
        <f t="shared" si="11"/>
        <v>0.5138888889</v>
      </c>
      <c r="V247" s="5">
        <f t="shared" si="12"/>
        <v>34225</v>
      </c>
    </row>
    <row r="248">
      <c r="A248" s="2">
        <v>40897.0</v>
      </c>
      <c r="B248" s="5">
        <v>588.0</v>
      </c>
      <c r="C248" s="5">
        <f t="shared" si="2"/>
        <v>288</v>
      </c>
      <c r="D248" s="5">
        <f t="shared" si="3"/>
        <v>273</v>
      </c>
      <c r="E248" s="5">
        <f t="shared" si="1"/>
        <v>249</v>
      </c>
      <c r="L248" s="5">
        <f t="shared" si="4"/>
        <v>300</v>
      </c>
      <c r="M248" s="19">
        <f t="shared" si="5"/>
        <v>0.5102040816</v>
      </c>
      <c r="N248" s="5">
        <f t="shared" si="6"/>
        <v>90000</v>
      </c>
      <c r="P248" s="5">
        <f t="shared" si="7"/>
        <v>315</v>
      </c>
      <c r="Q248" s="19">
        <f t="shared" si="8"/>
        <v>0.5357142857</v>
      </c>
      <c r="R248" s="5">
        <f t="shared" si="9"/>
        <v>99225</v>
      </c>
      <c r="T248" s="5">
        <f t="shared" si="10"/>
        <v>339</v>
      </c>
      <c r="U248" s="19">
        <f t="shared" si="11"/>
        <v>0.5765306122</v>
      </c>
      <c r="V248" s="5">
        <f t="shared" si="12"/>
        <v>114921</v>
      </c>
    </row>
    <row r="249">
      <c r="A249" s="2">
        <v>40898.0</v>
      </c>
      <c r="B249" s="5">
        <v>648.0</v>
      </c>
      <c r="C249" s="5">
        <f t="shared" si="2"/>
        <v>304</v>
      </c>
      <c r="D249" s="5">
        <f t="shared" si="3"/>
        <v>274</v>
      </c>
      <c r="E249" s="5">
        <f t="shared" si="1"/>
        <v>385</v>
      </c>
      <c r="L249" s="5">
        <f t="shared" si="4"/>
        <v>344</v>
      </c>
      <c r="M249" s="19">
        <f t="shared" si="5"/>
        <v>0.5308641975</v>
      </c>
      <c r="N249" s="5">
        <f t="shared" si="6"/>
        <v>118336</v>
      </c>
      <c r="P249" s="5">
        <f t="shared" si="7"/>
        <v>374</v>
      </c>
      <c r="Q249" s="19">
        <f t="shared" si="8"/>
        <v>0.5771604938</v>
      </c>
      <c r="R249" s="5">
        <f t="shared" si="9"/>
        <v>139876</v>
      </c>
      <c r="T249" s="5">
        <f t="shared" si="10"/>
        <v>263</v>
      </c>
      <c r="U249" s="19">
        <f t="shared" si="11"/>
        <v>0.4058641975</v>
      </c>
      <c r="V249" s="5">
        <f t="shared" si="12"/>
        <v>69169</v>
      </c>
    </row>
    <row r="250">
      <c r="A250" s="2">
        <v>40899.0</v>
      </c>
      <c r="B250" s="5">
        <v>88.0</v>
      </c>
      <c r="C250" s="5">
        <f t="shared" si="2"/>
        <v>319</v>
      </c>
      <c r="D250" s="5">
        <f t="shared" si="3"/>
        <v>275</v>
      </c>
      <c r="E250" s="5">
        <f t="shared" si="1"/>
        <v>490</v>
      </c>
      <c r="L250" s="5">
        <f t="shared" si="4"/>
        <v>-231</v>
      </c>
      <c r="M250" s="19">
        <f t="shared" si="5"/>
        <v>2.625</v>
      </c>
      <c r="N250" s="5">
        <f t="shared" si="6"/>
        <v>53361</v>
      </c>
      <c r="P250" s="5">
        <f t="shared" si="7"/>
        <v>-187</v>
      </c>
      <c r="Q250" s="19">
        <f t="shared" si="8"/>
        <v>2.125</v>
      </c>
      <c r="R250" s="5">
        <f t="shared" si="9"/>
        <v>34969</v>
      </c>
      <c r="T250" s="5">
        <f t="shared" si="10"/>
        <v>-402</v>
      </c>
      <c r="U250" s="19">
        <f t="shared" si="11"/>
        <v>4.568181818</v>
      </c>
      <c r="V250" s="5">
        <f t="shared" si="12"/>
        <v>161604</v>
      </c>
    </row>
    <row r="251">
      <c r="A251" s="2">
        <v>40900.0</v>
      </c>
      <c r="B251" s="5">
        <v>0.0</v>
      </c>
      <c r="C251" s="5">
        <f t="shared" si="2"/>
        <v>337</v>
      </c>
      <c r="D251" s="5">
        <f t="shared" si="3"/>
        <v>275</v>
      </c>
      <c r="E251" s="5">
        <f t="shared" si="1"/>
        <v>329</v>
      </c>
      <c r="L251" s="5">
        <f t="shared" si="4"/>
        <v>-337</v>
      </c>
      <c r="M251" s="19">
        <f t="shared" si="5"/>
        <v>1</v>
      </c>
      <c r="N251" s="5">
        <f t="shared" si="6"/>
        <v>113569</v>
      </c>
      <c r="P251" s="5">
        <f t="shared" si="7"/>
        <v>-275</v>
      </c>
      <c r="Q251" s="19">
        <f t="shared" si="8"/>
        <v>1</v>
      </c>
      <c r="R251" s="5">
        <f t="shared" si="9"/>
        <v>75625</v>
      </c>
      <c r="T251" s="5">
        <f t="shared" si="10"/>
        <v>-329</v>
      </c>
      <c r="U251" s="19">
        <f t="shared" si="11"/>
        <v>1</v>
      </c>
      <c r="V251" s="5">
        <f t="shared" si="12"/>
        <v>108241</v>
      </c>
    </row>
    <row r="252">
      <c r="A252" s="2">
        <v>40904.0</v>
      </c>
      <c r="B252" s="5">
        <v>362.0</v>
      </c>
      <c r="C252" s="5">
        <f t="shared" si="2"/>
        <v>337</v>
      </c>
      <c r="D252" s="5">
        <f t="shared" si="3"/>
        <v>273</v>
      </c>
      <c r="E252" s="5">
        <f t="shared" si="1"/>
        <v>197</v>
      </c>
      <c r="L252" s="5">
        <f t="shared" si="4"/>
        <v>25</v>
      </c>
      <c r="M252" s="19">
        <f t="shared" si="5"/>
        <v>0.06906077348</v>
      </c>
      <c r="N252" s="5">
        <f t="shared" si="6"/>
        <v>625</v>
      </c>
      <c r="P252" s="5">
        <f t="shared" si="7"/>
        <v>89</v>
      </c>
      <c r="Q252" s="19">
        <f t="shared" si="8"/>
        <v>0.2458563536</v>
      </c>
      <c r="R252" s="5">
        <f t="shared" si="9"/>
        <v>7921</v>
      </c>
      <c r="T252" s="5">
        <f t="shared" si="10"/>
        <v>165</v>
      </c>
      <c r="U252" s="19">
        <f t="shared" si="11"/>
        <v>0.455801105</v>
      </c>
      <c r="V252" s="5">
        <f t="shared" si="12"/>
        <v>27225</v>
      </c>
    </row>
    <row r="253">
      <c r="A253" s="2">
        <v>40905.0</v>
      </c>
      <c r="B253" s="5">
        <v>24.0</v>
      </c>
      <c r="C253" s="5">
        <f t="shared" si="2"/>
        <v>337</v>
      </c>
      <c r="D253" s="5">
        <f t="shared" si="3"/>
        <v>274</v>
      </c>
      <c r="E253" s="5">
        <f t="shared" si="1"/>
        <v>263</v>
      </c>
      <c r="L253" s="5">
        <f t="shared" si="4"/>
        <v>-313</v>
      </c>
      <c r="M253" s="19">
        <f t="shared" si="5"/>
        <v>13.04166667</v>
      </c>
      <c r="N253" s="5">
        <f t="shared" si="6"/>
        <v>97969</v>
      </c>
      <c r="P253" s="5">
        <f t="shared" si="7"/>
        <v>-250</v>
      </c>
      <c r="Q253" s="19">
        <f t="shared" si="8"/>
        <v>10.41666667</v>
      </c>
      <c r="R253" s="5">
        <f t="shared" si="9"/>
        <v>62500</v>
      </c>
      <c r="T253" s="5">
        <f t="shared" si="10"/>
        <v>-239</v>
      </c>
      <c r="U253" s="19">
        <f t="shared" si="11"/>
        <v>9.958333333</v>
      </c>
      <c r="V253" s="5">
        <f t="shared" si="12"/>
        <v>57121</v>
      </c>
    </row>
    <row r="254">
      <c r="A254" s="2">
        <v>40906.0</v>
      </c>
      <c r="B254" s="5">
        <v>2.0</v>
      </c>
      <c r="C254" s="5">
        <f t="shared" si="2"/>
        <v>224</v>
      </c>
      <c r="D254" s="5">
        <f t="shared" si="3"/>
        <v>273</v>
      </c>
      <c r="E254" s="5">
        <f t="shared" si="1"/>
        <v>167</v>
      </c>
      <c r="L254" s="5">
        <f t="shared" si="4"/>
        <v>-222</v>
      </c>
      <c r="M254" s="19">
        <f t="shared" si="5"/>
        <v>111</v>
      </c>
      <c r="N254" s="5">
        <f t="shared" si="6"/>
        <v>49284</v>
      </c>
      <c r="P254" s="5">
        <f t="shared" si="7"/>
        <v>-271</v>
      </c>
      <c r="Q254" s="19">
        <f t="shared" si="8"/>
        <v>135.5</v>
      </c>
      <c r="R254" s="5">
        <f t="shared" si="9"/>
        <v>73441</v>
      </c>
      <c r="T254" s="5">
        <f t="shared" si="10"/>
        <v>-165</v>
      </c>
      <c r="U254" s="19">
        <f t="shared" si="11"/>
        <v>82.5</v>
      </c>
      <c r="V254" s="5">
        <f t="shared" si="12"/>
        <v>27225</v>
      </c>
    </row>
    <row r="255">
      <c r="A255" s="2">
        <v>40907.0</v>
      </c>
      <c r="B255" s="5">
        <v>0.0</v>
      </c>
      <c r="C255" s="5">
        <f t="shared" si="2"/>
        <v>95</v>
      </c>
      <c r="D255" s="5">
        <f t="shared" si="3"/>
        <v>272</v>
      </c>
      <c r="E255" s="5">
        <f t="shared" si="1"/>
        <v>101</v>
      </c>
      <c r="L255" s="5">
        <f t="shared" si="4"/>
        <v>-95</v>
      </c>
      <c r="M255" s="19">
        <f t="shared" si="5"/>
        <v>1</v>
      </c>
      <c r="N255" s="5">
        <f t="shared" si="6"/>
        <v>9025</v>
      </c>
      <c r="P255" s="5">
        <f t="shared" si="7"/>
        <v>-272</v>
      </c>
      <c r="Q255" s="19">
        <f t="shared" si="8"/>
        <v>1</v>
      </c>
      <c r="R255" s="5">
        <f t="shared" si="9"/>
        <v>73984</v>
      </c>
      <c r="T255" s="5">
        <f t="shared" si="10"/>
        <v>-101</v>
      </c>
      <c r="U255" s="19">
        <f t="shared" si="11"/>
        <v>1</v>
      </c>
      <c r="V255" s="5">
        <f t="shared" si="12"/>
        <v>10201</v>
      </c>
    </row>
    <row r="256">
      <c r="A256" s="2">
        <v>40911.0</v>
      </c>
      <c r="B256" s="5">
        <v>1164.0</v>
      </c>
      <c r="C256" s="5">
        <f t="shared" si="2"/>
        <v>78</v>
      </c>
      <c r="D256" s="5">
        <f t="shared" si="3"/>
        <v>271</v>
      </c>
      <c r="E256" s="5">
        <f t="shared" si="1"/>
        <v>61</v>
      </c>
      <c r="L256" s="5">
        <f t="shared" si="4"/>
        <v>1086</v>
      </c>
      <c r="M256" s="19">
        <f t="shared" si="5"/>
        <v>0.9329896907</v>
      </c>
      <c r="N256" s="5">
        <f t="shared" si="6"/>
        <v>1179396</v>
      </c>
      <c r="P256" s="5">
        <f t="shared" si="7"/>
        <v>893</v>
      </c>
      <c r="Q256" s="19">
        <f t="shared" si="8"/>
        <v>0.7671821306</v>
      </c>
      <c r="R256" s="5">
        <f t="shared" si="9"/>
        <v>797449</v>
      </c>
      <c r="T256" s="5">
        <f t="shared" si="10"/>
        <v>1103</v>
      </c>
      <c r="U256" s="19">
        <f t="shared" si="11"/>
        <v>0.9475945017</v>
      </c>
      <c r="V256" s="5">
        <f t="shared" si="12"/>
        <v>1216609</v>
      </c>
    </row>
    <row r="257">
      <c r="A257" s="2">
        <v>40912.0</v>
      </c>
      <c r="B257" s="5">
        <v>510.0</v>
      </c>
      <c r="C257" s="5">
        <f t="shared" si="2"/>
        <v>310</v>
      </c>
      <c r="D257" s="5">
        <f t="shared" si="3"/>
        <v>274</v>
      </c>
      <c r="E257" s="5">
        <f t="shared" si="1"/>
        <v>502</v>
      </c>
      <c r="L257" s="5">
        <f t="shared" si="4"/>
        <v>200</v>
      </c>
      <c r="M257" s="19">
        <f t="shared" si="5"/>
        <v>0.3921568627</v>
      </c>
      <c r="N257" s="5">
        <f t="shared" si="6"/>
        <v>40000</v>
      </c>
      <c r="P257" s="5">
        <f t="shared" si="7"/>
        <v>236</v>
      </c>
      <c r="Q257" s="19">
        <f t="shared" si="8"/>
        <v>0.462745098</v>
      </c>
      <c r="R257" s="5">
        <f t="shared" si="9"/>
        <v>55696</v>
      </c>
      <c r="T257" s="5">
        <f t="shared" si="10"/>
        <v>8</v>
      </c>
      <c r="U257" s="19">
        <f t="shared" si="11"/>
        <v>0.01568627451</v>
      </c>
      <c r="V257" s="5">
        <f t="shared" si="12"/>
        <v>64</v>
      </c>
    </row>
    <row r="258">
      <c r="A258" s="2">
        <v>40913.0</v>
      </c>
      <c r="B258" s="5">
        <v>36.0</v>
      </c>
      <c r="C258" s="5">
        <f t="shared" si="2"/>
        <v>340</v>
      </c>
      <c r="D258" s="5">
        <f t="shared" si="3"/>
        <v>275</v>
      </c>
      <c r="E258" s="5">
        <f t="shared" si="1"/>
        <v>505</v>
      </c>
      <c r="L258" s="5">
        <f t="shared" si="4"/>
        <v>-304</v>
      </c>
      <c r="M258" s="19">
        <f t="shared" si="5"/>
        <v>8.444444444</v>
      </c>
      <c r="N258" s="5">
        <f t="shared" si="6"/>
        <v>92416</v>
      </c>
      <c r="P258" s="5">
        <f t="shared" si="7"/>
        <v>-239</v>
      </c>
      <c r="Q258" s="19">
        <f t="shared" si="8"/>
        <v>6.638888889</v>
      </c>
      <c r="R258" s="5">
        <f t="shared" si="9"/>
        <v>57121</v>
      </c>
      <c r="T258" s="5">
        <f t="shared" si="10"/>
        <v>-469</v>
      </c>
      <c r="U258" s="19">
        <f t="shared" si="11"/>
        <v>13.02777778</v>
      </c>
      <c r="V258" s="5">
        <f t="shared" si="12"/>
        <v>219961</v>
      </c>
    </row>
    <row r="259">
      <c r="A259" s="2">
        <v>40914.0</v>
      </c>
      <c r="B259" s="5">
        <v>0.0</v>
      </c>
      <c r="C259" s="5">
        <f t="shared" si="2"/>
        <v>342</v>
      </c>
      <c r="D259" s="5">
        <f t="shared" si="3"/>
        <v>274</v>
      </c>
      <c r="E259" s="5">
        <f t="shared" si="1"/>
        <v>317</v>
      </c>
      <c r="L259" s="5">
        <f t="shared" si="4"/>
        <v>-342</v>
      </c>
      <c r="M259" s="19">
        <f t="shared" si="5"/>
        <v>1</v>
      </c>
      <c r="N259" s="5">
        <f t="shared" si="6"/>
        <v>116964</v>
      </c>
      <c r="P259" s="5">
        <f t="shared" si="7"/>
        <v>-274</v>
      </c>
      <c r="Q259" s="19">
        <f t="shared" si="8"/>
        <v>1</v>
      </c>
      <c r="R259" s="5">
        <f t="shared" si="9"/>
        <v>75076</v>
      </c>
      <c r="T259" s="5">
        <f t="shared" si="10"/>
        <v>-317</v>
      </c>
      <c r="U259" s="19">
        <f t="shared" si="11"/>
        <v>1</v>
      </c>
      <c r="V259" s="5">
        <f t="shared" si="12"/>
        <v>100489</v>
      </c>
    </row>
    <row r="260">
      <c r="A260" s="2">
        <v>40917.0</v>
      </c>
      <c r="B260" s="5">
        <v>354.0</v>
      </c>
      <c r="C260" s="5">
        <f t="shared" si="2"/>
        <v>342</v>
      </c>
      <c r="D260" s="5">
        <f t="shared" si="3"/>
        <v>273</v>
      </c>
      <c r="E260" s="5">
        <f t="shared" si="1"/>
        <v>190</v>
      </c>
      <c r="L260" s="5">
        <f t="shared" si="4"/>
        <v>12</v>
      </c>
      <c r="M260" s="19">
        <f t="shared" si="5"/>
        <v>0.03389830508</v>
      </c>
      <c r="N260" s="5">
        <f t="shared" si="6"/>
        <v>144</v>
      </c>
      <c r="P260" s="5">
        <f t="shared" si="7"/>
        <v>81</v>
      </c>
      <c r="Q260" s="19">
        <f t="shared" si="8"/>
        <v>0.2288135593</v>
      </c>
      <c r="R260" s="5">
        <f t="shared" si="9"/>
        <v>6561</v>
      </c>
      <c r="T260" s="5">
        <f t="shared" si="10"/>
        <v>164</v>
      </c>
      <c r="U260" s="19">
        <f t="shared" si="11"/>
        <v>0.4632768362</v>
      </c>
      <c r="V260" s="5">
        <f t="shared" si="12"/>
        <v>26896</v>
      </c>
    </row>
    <row r="261">
      <c r="A261" s="2">
        <v>40918.0</v>
      </c>
      <c r="B261" s="5">
        <v>42.0</v>
      </c>
      <c r="C261" s="5">
        <f t="shared" si="2"/>
        <v>413</v>
      </c>
      <c r="D261" s="5">
        <f t="shared" si="3"/>
        <v>273</v>
      </c>
      <c r="E261" s="5">
        <f t="shared" si="1"/>
        <v>256</v>
      </c>
      <c r="L261" s="5">
        <f t="shared" si="4"/>
        <v>-371</v>
      </c>
      <c r="M261" s="19">
        <f t="shared" si="5"/>
        <v>8.833333333</v>
      </c>
      <c r="N261" s="5">
        <f t="shared" si="6"/>
        <v>137641</v>
      </c>
      <c r="P261" s="5">
        <f t="shared" si="7"/>
        <v>-231</v>
      </c>
      <c r="Q261" s="19">
        <f t="shared" si="8"/>
        <v>5.5</v>
      </c>
      <c r="R261" s="5">
        <f t="shared" si="9"/>
        <v>53361</v>
      </c>
      <c r="T261" s="5">
        <f t="shared" si="10"/>
        <v>-214</v>
      </c>
      <c r="U261" s="19">
        <f t="shared" si="11"/>
        <v>5.095238095</v>
      </c>
      <c r="V261" s="5">
        <f t="shared" si="12"/>
        <v>45796</v>
      </c>
    </row>
    <row r="262">
      <c r="A262" s="2">
        <v>40919.0</v>
      </c>
      <c r="B262" s="5">
        <v>1098.0</v>
      </c>
      <c r="C262" s="5">
        <f t="shared" si="2"/>
        <v>188</v>
      </c>
      <c r="D262" s="5">
        <f t="shared" si="3"/>
        <v>273</v>
      </c>
      <c r="E262" s="5">
        <f t="shared" si="1"/>
        <v>170</v>
      </c>
      <c r="L262" s="5">
        <f t="shared" si="4"/>
        <v>910</v>
      </c>
      <c r="M262" s="19">
        <f t="shared" si="5"/>
        <v>0.8287795993</v>
      </c>
      <c r="N262" s="5">
        <f t="shared" si="6"/>
        <v>828100</v>
      </c>
      <c r="P262" s="5">
        <f t="shared" si="7"/>
        <v>825</v>
      </c>
      <c r="Q262" s="19">
        <f t="shared" si="8"/>
        <v>0.7513661202</v>
      </c>
      <c r="R262" s="5">
        <f t="shared" si="9"/>
        <v>680625</v>
      </c>
      <c r="T262" s="5">
        <f t="shared" si="10"/>
        <v>928</v>
      </c>
      <c r="U262" s="19">
        <f t="shared" si="11"/>
        <v>0.8451730419</v>
      </c>
      <c r="V262" s="5">
        <f t="shared" si="12"/>
        <v>861184</v>
      </c>
    </row>
    <row r="263">
      <c r="A263" s="2">
        <v>40920.0</v>
      </c>
      <c r="B263" s="5">
        <v>24.0</v>
      </c>
      <c r="C263" s="5">
        <f t="shared" si="2"/>
        <v>306</v>
      </c>
      <c r="D263" s="5">
        <f t="shared" si="3"/>
        <v>276</v>
      </c>
      <c r="E263" s="5">
        <f t="shared" si="1"/>
        <v>541</v>
      </c>
      <c r="L263" s="5">
        <f t="shared" si="4"/>
        <v>-282</v>
      </c>
      <c r="M263" s="19">
        <f t="shared" si="5"/>
        <v>11.75</v>
      </c>
      <c r="N263" s="5">
        <f t="shared" si="6"/>
        <v>79524</v>
      </c>
      <c r="P263" s="5">
        <f t="shared" si="7"/>
        <v>-252</v>
      </c>
      <c r="Q263" s="19">
        <f t="shared" si="8"/>
        <v>10.5</v>
      </c>
      <c r="R263" s="5">
        <f t="shared" si="9"/>
        <v>63504</v>
      </c>
      <c r="T263" s="5">
        <f t="shared" si="10"/>
        <v>-517</v>
      </c>
      <c r="U263" s="19">
        <f t="shared" si="11"/>
        <v>21.54166667</v>
      </c>
      <c r="V263" s="5">
        <f t="shared" si="12"/>
        <v>267289</v>
      </c>
    </row>
    <row r="264">
      <c r="A264" s="2">
        <v>40921.0</v>
      </c>
      <c r="B264" s="5">
        <v>0.0</v>
      </c>
      <c r="C264" s="5">
        <f t="shared" si="2"/>
        <v>304</v>
      </c>
      <c r="D264" s="5">
        <f t="shared" si="3"/>
        <v>275</v>
      </c>
      <c r="E264" s="5">
        <f t="shared" si="1"/>
        <v>334</v>
      </c>
      <c r="L264" s="5">
        <f t="shared" si="4"/>
        <v>-304</v>
      </c>
      <c r="M264" s="19">
        <f t="shared" si="5"/>
        <v>1</v>
      </c>
      <c r="N264" s="5">
        <f t="shared" si="6"/>
        <v>92416</v>
      </c>
      <c r="P264" s="5">
        <f t="shared" si="7"/>
        <v>-275</v>
      </c>
      <c r="Q264" s="19">
        <f t="shared" si="8"/>
        <v>1</v>
      </c>
      <c r="R264" s="5">
        <f t="shared" si="9"/>
        <v>75625</v>
      </c>
      <c r="T264" s="5">
        <f t="shared" si="10"/>
        <v>-334</v>
      </c>
      <c r="U264" s="19">
        <f t="shared" si="11"/>
        <v>1</v>
      </c>
      <c r="V264" s="5">
        <f t="shared" si="12"/>
        <v>111556</v>
      </c>
    </row>
    <row r="265">
      <c r="A265" s="2">
        <v>40924.0</v>
      </c>
      <c r="B265" s="5">
        <v>222.0</v>
      </c>
      <c r="C265" s="5">
        <f t="shared" si="2"/>
        <v>304</v>
      </c>
      <c r="D265" s="5">
        <f t="shared" si="3"/>
        <v>274</v>
      </c>
      <c r="E265" s="5">
        <f t="shared" si="1"/>
        <v>200</v>
      </c>
      <c r="L265" s="5">
        <f t="shared" si="4"/>
        <v>-82</v>
      </c>
      <c r="M265" s="19">
        <f t="shared" si="5"/>
        <v>0.3693693694</v>
      </c>
      <c r="N265" s="5">
        <f t="shared" si="6"/>
        <v>6724</v>
      </c>
      <c r="P265" s="5">
        <f t="shared" si="7"/>
        <v>-52</v>
      </c>
      <c r="Q265" s="19">
        <f t="shared" si="8"/>
        <v>0.2342342342</v>
      </c>
      <c r="R265" s="5">
        <f t="shared" si="9"/>
        <v>2704</v>
      </c>
      <c r="T265" s="5">
        <f t="shared" si="10"/>
        <v>22</v>
      </c>
      <c r="U265" s="19">
        <f t="shared" si="11"/>
        <v>0.0990990991</v>
      </c>
      <c r="V265" s="5">
        <f t="shared" si="12"/>
        <v>484</v>
      </c>
    </row>
    <row r="266">
      <c r="A266" s="2">
        <v>40925.0</v>
      </c>
      <c r="B266" s="5">
        <v>390.0</v>
      </c>
      <c r="C266" s="5">
        <f t="shared" si="2"/>
        <v>277</v>
      </c>
      <c r="D266" s="5">
        <f t="shared" si="3"/>
        <v>274</v>
      </c>
      <c r="E266" s="5">
        <f t="shared" si="1"/>
        <v>209</v>
      </c>
      <c r="L266" s="5">
        <f t="shared" si="4"/>
        <v>113</v>
      </c>
      <c r="M266" s="19">
        <f t="shared" si="5"/>
        <v>0.2897435897</v>
      </c>
      <c r="N266" s="5">
        <f t="shared" si="6"/>
        <v>12769</v>
      </c>
      <c r="P266" s="5">
        <f t="shared" si="7"/>
        <v>116</v>
      </c>
      <c r="Q266" s="19">
        <f t="shared" si="8"/>
        <v>0.2974358974</v>
      </c>
      <c r="R266" s="5">
        <f t="shared" si="9"/>
        <v>13456</v>
      </c>
      <c r="T266" s="5">
        <f t="shared" si="10"/>
        <v>181</v>
      </c>
      <c r="U266" s="19">
        <f t="shared" si="11"/>
        <v>0.4641025641</v>
      </c>
      <c r="V266" s="5">
        <f t="shared" si="12"/>
        <v>32761</v>
      </c>
    </row>
    <row r="267">
      <c r="A267" s="2">
        <v>40926.0</v>
      </c>
      <c r="B267" s="5">
        <v>396.0</v>
      </c>
      <c r="C267" s="5">
        <f t="shared" si="2"/>
        <v>347</v>
      </c>
      <c r="D267" s="5">
        <f t="shared" si="3"/>
        <v>274</v>
      </c>
      <c r="E267" s="5">
        <f t="shared" si="1"/>
        <v>281</v>
      </c>
      <c r="L267" s="5">
        <f t="shared" si="4"/>
        <v>49</v>
      </c>
      <c r="M267" s="19">
        <f t="shared" si="5"/>
        <v>0.1237373737</v>
      </c>
      <c r="N267" s="5">
        <f t="shared" si="6"/>
        <v>2401</v>
      </c>
      <c r="P267" s="5">
        <f t="shared" si="7"/>
        <v>122</v>
      </c>
      <c r="Q267" s="19">
        <f t="shared" si="8"/>
        <v>0.3080808081</v>
      </c>
      <c r="R267" s="5">
        <f t="shared" si="9"/>
        <v>14884</v>
      </c>
      <c r="T267" s="5">
        <f t="shared" si="10"/>
        <v>115</v>
      </c>
      <c r="U267" s="19">
        <f t="shared" si="11"/>
        <v>0.2904040404</v>
      </c>
      <c r="V267" s="5">
        <f t="shared" si="12"/>
        <v>13225</v>
      </c>
    </row>
    <row r="268">
      <c r="A268" s="2">
        <v>40927.0</v>
      </c>
      <c r="B268" s="5">
        <v>0.0</v>
      </c>
      <c r="C268" s="5">
        <f t="shared" si="2"/>
        <v>206</v>
      </c>
      <c r="D268" s="5">
        <f t="shared" si="3"/>
        <v>274</v>
      </c>
      <c r="E268" s="5">
        <f t="shared" si="1"/>
        <v>327</v>
      </c>
      <c r="L268" s="5">
        <f t="shared" si="4"/>
        <v>-206</v>
      </c>
      <c r="M268" s="19">
        <f t="shared" si="5"/>
        <v>1</v>
      </c>
      <c r="N268" s="5">
        <f t="shared" si="6"/>
        <v>42436</v>
      </c>
      <c r="P268" s="5">
        <f t="shared" si="7"/>
        <v>-274</v>
      </c>
      <c r="Q268" s="19">
        <f t="shared" si="8"/>
        <v>1</v>
      </c>
      <c r="R268" s="5">
        <f t="shared" si="9"/>
        <v>75076</v>
      </c>
      <c r="T268" s="5">
        <f t="shared" si="10"/>
        <v>-327</v>
      </c>
      <c r="U268" s="19">
        <f t="shared" si="11"/>
        <v>1</v>
      </c>
      <c r="V268" s="5">
        <f t="shared" si="12"/>
        <v>106929</v>
      </c>
    </row>
    <row r="269">
      <c r="A269" s="2">
        <v>40928.0</v>
      </c>
      <c r="B269" s="5">
        <v>0.0</v>
      </c>
      <c r="C269" s="5">
        <f t="shared" si="2"/>
        <v>202</v>
      </c>
      <c r="D269" s="5">
        <f t="shared" si="3"/>
        <v>273</v>
      </c>
      <c r="E269" s="5">
        <f t="shared" si="1"/>
        <v>196</v>
      </c>
      <c r="L269" s="5">
        <f t="shared" si="4"/>
        <v>-202</v>
      </c>
      <c r="M269" s="19">
        <f t="shared" si="5"/>
        <v>1</v>
      </c>
      <c r="N269" s="5">
        <f t="shared" si="6"/>
        <v>40804</v>
      </c>
      <c r="P269" s="5">
        <f t="shared" si="7"/>
        <v>-273</v>
      </c>
      <c r="Q269" s="19">
        <f t="shared" si="8"/>
        <v>1</v>
      </c>
      <c r="R269" s="5">
        <f t="shared" si="9"/>
        <v>74529</v>
      </c>
      <c r="T269" s="5">
        <f t="shared" si="10"/>
        <v>-196</v>
      </c>
      <c r="U269" s="19">
        <f t="shared" si="11"/>
        <v>1</v>
      </c>
      <c r="V269" s="5">
        <f t="shared" si="12"/>
        <v>38416</v>
      </c>
    </row>
    <row r="270">
      <c r="A270" s="2">
        <v>40931.0</v>
      </c>
      <c r="B270" s="5">
        <v>456.0</v>
      </c>
      <c r="C270" s="5">
        <f t="shared" si="2"/>
        <v>202</v>
      </c>
      <c r="D270" s="5">
        <f t="shared" si="3"/>
        <v>272</v>
      </c>
      <c r="E270" s="5">
        <f t="shared" si="1"/>
        <v>118</v>
      </c>
      <c r="L270" s="5">
        <f t="shared" si="4"/>
        <v>254</v>
      </c>
      <c r="M270" s="19">
        <f t="shared" si="5"/>
        <v>0.5570175439</v>
      </c>
      <c r="N270" s="5">
        <f t="shared" si="6"/>
        <v>64516</v>
      </c>
      <c r="P270" s="5">
        <f t="shared" si="7"/>
        <v>184</v>
      </c>
      <c r="Q270" s="19">
        <f t="shared" si="8"/>
        <v>0.4035087719</v>
      </c>
      <c r="R270" s="5">
        <f t="shared" si="9"/>
        <v>33856</v>
      </c>
      <c r="T270" s="5">
        <f t="shared" si="10"/>
        <v>338</v>
      </c>
      <c r="U270" s="19">
        <f t="shared" si="11"/>
        <v>0.7412280702</v>
      </c>
      <c r="V270" s="5">
        <f t="shared" si="12"/>
        <v>114244</v>
      </c>
    </row>
    <row r="271">
      <c r="A271" s="2">
        <v>40932.0</v>
      </c>
      <c r="B271" s="5">
        <v>432.0</v>
      </c>
      <c r="C271" s="5">
        <f t="shared" si="2"/>
        <v>248</v>
      </c>
      <c r="D271" s="5">
        <f t="shared" si="3"/>
        <v>273</v>
      </c>
      <c r="E271" s="5">
        <f t="shared" si="1"/>
        <v>253</v>
      </c>
      <c r="L271" s="5">
        <f t="shared" si="4"/>
        <v>184</v>
      </c>
      <c r="M271" s="19">
        <f t="shared" si="5"/>
        <v>0.4259259259</v>
      </c>
      <c r="N271" s="5">
        <f t="shared" si="6"/>
        <v>33856</v>
      </c>
      <c r="P271" s="5">
        <f t="shared" si="7"/>
        <v>159</v>
      </c>
      <c r="Q271" s="19">
        <f t="shared" si="8"/>
        <v>0.3680555556</v>
      </c>
      <c r="R271" s="5">
        <f t="shared" si="9"/>
        <v>25281</v>
      </c>
      <c r="T271" s="5">
        <f t="shared" si="10"/>
        <v>179</v>
      </c>
      <c r="U271" s="19">
        <f t="shared" si="11"/>
        <v>0.4143518519</v>
      </c>
      <c r="V271" s="5">
        <f t="shared" si="12"/>
        <v>32041</v>
      </c>
    </row>
    <row r="272">
      <c r="A272" s="2">
        <v>40933.0</v>
      </c>
      <c r="B272" s="5">
        <v>396.0</v>
      </c>
      <c r="C272" s="5">
        <f t="shared" si="2"/>
        <v>257</v>
      </c>
      <c r="D272" s="5">
        <f t="shared" si="3"/>
        <v>274</v>
      </c>
      <c r="E272" s="5">
        <f t="shared" si="1"/>
        <v>325</v>
      </c>
      <c r="L272" s="5">
        <f t="shared" si="4"/>
        <v>139</v>
      </c>
      <c r="M272" s="19">
        <f t="shared" si="5"/>
        <v>0.351010101</v>
      </c>
      <c r="N272" s="5">
        <f t="shared" si="6"/>
        <v>19321</v>
      </c>
      <c r="P272" s="5">
        <f t="shared" si="7"/>
        <v>122</v>
      </c>
      <c r="Q272" s="19">
        <f t="shared" si="8"/>
        <v>0.3080808081</v>
      </c>
      <c r="R272" s="5">
        <f t="shared" si="9"/>
        <v>14884</v>
      </c>
      <c r="T272" s="5">
        <f t="shared" si="10"/>
        <v>71</v>
      </c>
      <c r="U272" s="19">
        <f t="shared" si="11"/>
        <v>0.1792929293</v>
      </c>
      <c r="V272" s="5">
        <f t="shared" si="12"/>
        <v>5041</v>
      </c>
    </row>
    <row r="273">
      <c r="A273" s="2">
        <v>40934.0</v>
      </c>
      <c r="B273" s="5">
        <v>12.0</v>
      </c>
      <c r="C273" s="5">
        <f t="shared" si="2"/>
        <v>257</v>
      </c>
      <c r="D273" s="5">
        <f t="shared" si="3"/>
        <v>274</v>
      </c>
      <c r="E273" s="5">
        <f t="shared" si="1"/>
        <v>353</v>
      </c>
      <c r="L273" s="5">
        <f t="shared" si="4"/>
        <v>-245</v>
      </c>
      <c r="M273" s="19">
        <f t="shared" si="5"/>
        <v>20.41666667</v>
      </c>
      <c r="N273" s="5">
        <f t="shared" si="6"/>
        <v>60025</v>
      </c>
      <c r="P273" s="5">
        <f t="shared" si="7"/>
        <v>-262</v>
      </c>
      <c r="Q273" s="19">
        <f t="shared" si="8"/>
        <v>21.83333333</v>
      </c>
      <c r="R273" s="5">
        <f t="shared" si="9"/>
        <v>68644</v>
      </c>
      <c r="T273" s="5">
        <f t="shared" si="10"/>
        <v>-341</v>
      </c>
      <c r="U273" s="19">
        <f t="shared" si="11"/>
        <v>28.41666667</v>
      </c>
      <c r="V273" s="5">
        <f t="shared" si="12"/>
        <v>116281</v>
      </c>
    </row>
    <row r="274">
      <c r="A274" s="2">
        <v>40935.0</v>
      </c>
      <c r="B274" s="5">
        <v>0.0</v>
      </c>
      <c r="C274" s="5">
        <f t="shared" si="2"/>
        <v>259</v>
      </c>
      <c r="D274" s="5">
        <f t="shared" si="3"/>
        <v>273</v>
      </c>
      <c r="E274" s="5">
        <f t="shared" si="1"/>
        <v>217</v>
      </c>
      <c r="L274" s="5">
        <f t="shared" si="4"/>
        <v>-259</v>
      </c>
      <c r="M274" s="19">
        <f t="shared" si="5"/>
        <v>1</v>
      </c>
      <c r="N274" s="5">
        <f t="shared" si="6"/>
        <v>67081</v>
      </c>
      <c r="P274" s="5">
        <f t="shared" si="7"/>
        <v>-273</v>
      </c>
      <c r="Q274" s="19">
        <f t="shared" si="8"/>
        <v>1</v>
      </c>
      <c r="R274" s="5">
        <f t="shared" si="9"/>
        <v>74529</v>
      </c>
      <c r="T274" s="5">
        <f t="shared" si="10"/>
        <v>-217</v>
      </c>
      <c r="U274" s="19">
        <f t="shared" si="11"/>
        <v>1</v>
      </c>
      <c r="V274" s="5">
        <f t="shared" si="12"/>
        <v>47089</v>
      </c>
    </row>
    <row r="275">
      <c r="A275" s="2">
        <v>40938.0</v>
      </c>
      <c r="B275" s="5">
        <v>393.0</v>
      </c>
      <c r="C275" s="5">
        <f t="shared" si="2"/>
        <v>259</v>
      </c>
      <c r="D275" s="5">
        <f t="shared" si="3"/>
        <v>272</v>
      </c>
      <c r="E275" s="5">
        <f t="shared" si="1"/>
        <v>130</v>
      </c>
      <c r="L275" s="5">
        <f t="shared" si="4"/>
        <v>134</v>
      </c>
      <c r="M275" s="19">
        <f t="shared" si="5"/>
        <v>0.3409669211</v>
      </c>
      <c r="N275" s="5">
        <f t="shared" si="6"/>
        <v>17956</v>
      </c>
      <c r="P275" s="5">
        <f t="shared" si="7"/>
        <v>121</v>
      </c>
      <c r="Q275" s="19">
        <f t="shared" si="8"/>
        <v>0.3078880407</v>
      </c>
      <c r="R275" s="5">
        <f t="shared" si="9"/>
        <v>14641</v>
      </c>
      <c r="T275" s="5">
        <f t="shared" si="10"/>
        <v>263</v>
      </c>
      <c r="U275" s="19">
        <f t="shared" si="11"/>
        <v>0.6692111959</v>
      </c>
      <c r="V275" s="5">
        <f t="shared" si="12"/>
        <v>69169</v>
      </c>
    </row>
    <row r="276">
      <c r="A276" s="2">
        <v>40939.0</v>
      </c>
      <c r="B276" s="5">
        <v>504.0</v>
      </c>
      <c r="C276" s="5">
        <f t="shared" si="2"/>
        <v>247</v>
      </c>
      <c r="D276" s="5">
        <f t="shared" si="3"/>
        <v>273</v>
      </c>
      <c r="E276" s="5">
        <f t="shared" si="1"/>
        <v>235</v>
      </c>
      <c r="L276" s="5">
        <f t="shared" si="4"/>
        <v>257</v>
      </c>
      <c r="M276" s="19">
        <f t="shared" si="5"/>
        <v>0.5099206349</v>
      </c>
      <c r="N276" s="5">
        <f t="shared" si="6"/>
        <v>66049</v>
      </c>
      <c r="P276" s="5">
        <f t="shared" si="7"/>
        <v>231</v>
      </c>
      <c r="Q276" s="19">
        <f t="shared" si="8"/>
        <v>0.4583333333</v>
      </c>
      <c r="R276" s="5">
        <f t="shared" si="9"/>
        <v>53361</v>
      </c>
      <c r="T276" s="5">
        <f t="shared" si="10"/>
        <v>269</v>
      </c>
      <c r="U276" s="19">
        <f t="shared" si="11"/>
        <v>0.5337301587</v>
      </c>
      <c r="V276" s="5">
        <f t="shared" si="12"/>
        <v>72361</v>
      </c>
    </row>
    <row r="277">
      <c r="A277" s="2">
        <v>40940.0</v>
      </c>
      <c r="B277" s="5">
        <v>546.0</v>
      </c>
      <c r="C277" s="5">
        <f t="shared" si="2"/>
        <v>261</v>
      </c>
      <c r="D277" s="5">
        <f t="shared" si="3"/>
        <v>273</v>
      </c>
      <c r="E277" s="5">
        <f t="shared" si="1"/>
        <v>343</v>
      </c>
      <c r="L277" s="5">
        <f t="shared" si="4"/>
        <v>285</v>
      </c>
      <c r="M277" s="19">
        <f t="shared" si="5"/>
        <v>0.521978022</v>
      </c>
      <c r="N277" s="5">
        <f t="shared" si="6"/>
        <v>81225</v>
      </c>
      <c r="P277" s="5">
        <f t="shared" si="7"/>
        <v>273</v>
      </c>
      <c r="Q277" s="19">
        <f t="shared" si="8"/>
        <v>0.5</v>
      </c>
      <c r="R277" s="5">
        <f t="shared" si="9"/>
        <v>74529</v>
      </c>
      <c r="T277" s="5">
        <f t="shared" si="10"/>
        <v>203</v>
      </c>
      <c r="U277" s="19">
        <f t="shared" si="11"/>
        <v>0.3717948718</v>
      </c>
      <c r="V277" s="5">
        <f t="shared" si="12"/>
        <v>41209</v>
      </c>
    </row>
    <row r="278">
      <c r="A278" s="2">
        <v>40941.0</v>
      </c>
      <c r="B278" s="5">
        <v>24.0</v>
      </c>
      <c r="C278" s="5">
        <f t="shared" si="2"/>
        <v>291</v>
      </c>
      <c r="D278" s="5">
        <f t="shared" si="3"/>
        <v>274</v>
      </c>
      <c r="E278" s="5">
        <f t="shared" si="1"/>
        <v>424</v>
      </c>
      <c r="L278" s="5">
        <f t="shared" si="4"/>
        <v>-267</v>
      </c>
      <c r="M278" s="19">
        <f t="shared" si="5"/>
        <v>11.125</v>
      </c>
      <c r="N278" s="5">
        <f t="shared" si="6"/>
        <v>71289</v>
      </c>
      <c r="P278" s="5">
        <f t="shared" si="7"/>
        <v>-250</v>
      </c>
      <c r="Q278" s="19">
        <f t="shared" si="8"/>
        <v>10.41666667</v>
      </c>
      <c r="R278" s="5">
        <f t="shared" si="9"/>
        <v>62500</v>
      </c>
      <c r="T278" s="5">
        <f t="shared" si="10"/>
        <v>-400</v>
      </c>
      <c r="U278" s="19">
        <f t="shared" si="11"/>
        <v>16.66666667</v>
      </c>
      <c r="V278" s="5">
        <f t="shared" si="12"/>
        <v>160000</v>
      </c>
    </row>
    <row r="279">
      <c r="A279" s="2">
        <v>40942.0</v>
      </c>
      <c r="B279" s="5">
        <v>0.0</v>
      </c>
      <c r="C279" s="5">
        <f t="shared" si="2"/>
        <v>293</v>
      </c>
      <c r="D279" s="5">
        <f t="shared" si="3"/>
        <v>273</v>
      </c>
      <c r="E279" s="5">
        <f t="shared" si="1"/>
        <v>264</v>
      </c>
      <c r="L279" s="5">
        <f t="shared" si="4"/>
        <v>-293</v>
      </c>
      <c r="M279" s="19">
        <f t="shared" si="5"/>
        <v>1</v>
      </c>
      <c r="N279" s="5">
        <f t="shared" si="6"/>
        <v>85849</v>
      </c>
      <c r="P279" s="5">
        <f t="shared" si="7"/>
        <v>-273</v>
      </c>
      <c r="Q279" s="19">
        <f t="shared" si="8"/>
        <v>1</v>
      </c>
      <c r="R279" s="5">
        <f t="shared" si="9"/>
        <v>74529</v>
      </c>
      <c r="T279" s="5">
        <f t="shared" si="10"/>
        <v>-264</v>
      </c>
      <c r="U279" s="19">
        <f t="shared" si="11"/>
        <v>1</v>
      </c>
      <c r="V279" s="5">
        <f t="shared" si="12"/>
        <v>69696</v>
      </c>
    </row>
    <row r="280">
      <c r="A280" s="2">
        <v>40945.0</v>
      </c>
      <c r="B280" s="5">
        <v>240.0</v>
      </c>
      <c r="C280" s="5">
        <f t="shared" si="2"/>
        <v>293</v>
      </c>
      <c r="D280" s="5">
        <f t="shared" si="3"/>
        <v>272</v>
      </c>
      <c r="E280" s="5">
        <f t="shared" si="1"/>
        <v>158</v>
      </c>
      <c r="L280" s="5">
        <f t="shared" si="4"/>
        <v>-53</v>
      </c>
      <c r="M280" s="19">
        <f t="shared" si="5"/>
        <v>0.2208333333</v>
      </c>
      <c r="N280" s="5">
        <f t="shared" si="6"/>
        <v>2809</v>
      </c>
      <c r="P280" s="5">
        <f t="shared" si="7"/>
        <v>-32</v>
      </c>
      <c r="Q280" s="19">
        <f t="shared" si="8"/>
        <v>0.1333333333</v>
      </c>
      <c r="R280" s="5">
        <f t="shared" si="9"/>
        <v>1024</v>
      </c>
      <c r="T280" s="5">
        <f t="shared" si="10"/>
        <v>82</v>
      </c>
      <c r="U280" s="19">
        <f t="shared" si="11"/>
        <v>0.3416666667</v>
      </c>
      <c r="V280" s="5">
        <f t="shared" si="12"/>
        <v>6724</v>
      </c>
    </row>
    <row r="281">
      <c r="A281" s="2">
        <v>40946.0</v>
      </c>
      <c r="B281" s="5">
        <v>450.0</v>
      </c>
      <c r="C281" s="5">
        <f t="shared" si="2"/>
        <v>263</v>
      </c>
      <c r="D281" s="5">
        <f t="shared" si="3"/>
        <v>272</v>
      </c>
      <c r="E281" s="5">
        <f t="shared" si="1"/>
        <v>191</v>
      </c>
      <c r="L281" s="5">
        <f t="shared" si="4"/>
        <v>187</v>
      </c>
      <c r="M281" s="19">
        <f t="shared" si="5"/>
        <v>0.4155555556</v>
      </c>
      <c r="N281" s="5">
        <f t="shared" si="6"/>
        <v>34969</v>
      </c>
      <c r="P281" s="5">
        <f t="shared" si="7"/>
        <v>178</v>
      </c>
      <c r="Q281" s="19">
        <f t="shared" si="8"/>
        <v>0.3955555556</v>
      </c>
      <c r="R281" s="5">
        <f t="shared" si="9"/>
        <v>31684</v>
      </c>
      <c r="T281" s="5">
        <f t="shared" si="10"/>
        <v>259</v>
      </c>
      <c r="U281" s="19">
        <f t="shared" si="11"/>
        <v>0.5755555556</v>
      </c>
      <c r="V281" s="5">
        <f t="shared" si="12"/>
        <v>67081</v>
      </c>
    </row>
    <row r="282">
      <c r="A282" s="2">
        <v>40947.0</v>
      </c>
      <c r="B282" s="5">
        <v>444.0</v>
      </c>
      <c r="C282" s="5">
        <f t="shared" si="2"/>
        <v>252</v>
      </c>
      <c r="D282" s="5">
        <f t="shared" si="3"/>
        <v>273</v>
      </c>
      <c r="E282" s="5">
        <f t="shared" si="1"/>
        <v>295</v>
      </c>
      <c r="L282" s="5">
        <f t="shared" si="4"/>
        <v>192</v>
      </c>
      <c r="M282" s="19">
        <f t="shared" si="5"/>
        <v>0.4324324324</v>
      </c>
      <c r="N282" s="5">
        <f t="shared" si="6"/>
        <v>36864</v>
      </c>
      <c r="P282" s="5">
        <f t="shared" si="7"/>
        <v>171</v>
      </c>
      <c r="Q282" s="19">
        <f t="shared" si="8"/>
        <v>0.3851351351</v>
      </c>
      <c r="R282" s="5">
        <f t="shared" si="9"/>
        <v>29241</v>
      </c>
      <c r="T282" s="5">
        <f t="shared" si="10"/>
        <v>149</v>
      </c>
      <c r="U282" s="19">
        <f t="shared" si="11"/>
        <v>0.3355855856</v>
      </c>
      <c r="V282" s="5">
        <f t="shared" si="12"/>
        <v>22201</v>
      </c>
    </row>
    <row r="283">
      <c r="A283" s="2">
        <v>40948.0</v>
      </c>
      <c r="B283" s="5">
        <v>42.0</v>
      </c>
      <c r="C283" s="5">
        <f t="shared" si="2"/>
        <v>232</v>
      </c>
      <c r="D283" s="5">
        <f t="shared" si="3"/>
        <v>274</v>
      </c>
      <c r="E283" s="5">
        <f t="shared" si="1"/>
        <v>355</v>
      </c>
      <c r="L283" s="5">
        <f t="shared" si="4"/>
        <v>-190</v>
      </c>
      <c r="M283" s="19">
        <f t="shared" si="5"/>
        <v>4.523809524</v>
      </c>
      <c r="N283" s="5">
        <f t="shared" si="6"/>
        <v>36100</v>
      </c>
      <c r="P283" s="5">
        <f t="shared" si="7"/>
        <v>-232</v>
      </c>
      <c r="Q283" s="19">
        <f t="shared" si="8"/>
        <v>5.523809524</v>
      </c>
      <c r="R283" s="5">
        <f t="shared" si="9"/>
        <v>53824</v>
      </c>
      <c r="T283" s="5">
        <f t="shared" si="10"/>
        <v>-313</v>
      </c>
      <c r="U283" s="19">
        <f t="shared" si="11"/>
        <v>7.452380952</v>
      </c>
      <c r="V283" s="5">
        <f t="shared" si="12"/>
        <v>97969</v>
      </c>
    </row>
    <row r="284">
      <c r="A284" s="2">
        <v>40949.0</v>
      </c>
      <c r="B284" s="5">
        <v>0.0</v>
      </c>
      <c r="C284" s="5">
        <f t="shared" si="2"/>
        <v>235</v>
      </c>
      <c r="D284" s="5">
        <f t="shared" si="3"/>
        <v>273</v>
      </c>
      <c r="E284" s="5">
        <f t="shared" si="1"/>
        <v>230</v>
      </c>
      <c r="L284" s="5">
        <f t="shared" si="4"/>
        <v>-235</v>
      </c>
      <c r="M284" s="19">
        <f t="shared" si="5"/>
        <v>1</v>
      </c>
      <c r="N284" s="5">
        <f t="shared" si="6"/>
        <v>55225</v>
      </c>
      <c r="P284" s="5">
        <f t="shared" si="7"/>
        <v>-273</v>
      </c>
      <c r="Q284" s="19">
        <f t="shared" si="8"/>
        <v>1</v>
      </c>
      <c r="R284" s="5">
        <f t="shared" si="9"/>
        <v>74529</v>
      </c>
      <c r="T284" s="5">
        <f t="shared" si="10"/>
        <v>-230</v>
      </c>
      <c r="U284" s="19">
        <f t="shared" si="11"/>
        <v>1</v>
      </c>
      <c r="V284" s="5">
        <f t="shared" si="12"/>
        <v>52900</v>
      </c>
    </row>
    <row r="285">
      <c r="A285" s="2">
        <v>40952.0</v>
      </c>
      <c r="B285" s="5">
        <v>716.0</v>
      </c>
      <c r="C285" s="5">
        <f t="shared" si="2"/>
        <v>235</v>
      </c>
      <c r="D285" s="5">
        <f t="shared" si="3"/>
        <v>272</v>
      </c>
      <c r="E285" s="5">
        <f t="shared" si="1"/>
        <v>138</v>
      </c>
      <c r="L285" s="5">
        <f t="shared" si="4"/>
        <v>481</v>
      </c>
      <c r="M285" s="19">
        <f t="shared" si="5"/>
        <v>0.6717877095</v>
      </c>
      <c r="N285" s="5">
        <f t="shared" si="6"/>
        <v>231361</v>
      </c>
      <c r="P285" s="5">
        <f t="shared" si="7"/>
        <v>444</v>
      </c>
      <c r="Q285" s="19">
        <f t="shared" si="8"/>
        <v>0.6201117318</v>
      </c>
      <c r="R285" s="5">
        <f t="shared" si="9"/>
        <v>197136</v>
      </c>
      <c r="T285" s="5">
        <f t="shared" si="10"/>
        <v>578</v>
      </c>
      <c r="U285" s="19">
        <f t="shared" si="11"/>
        <v>0.8072625698</v>
      </c>
      <c r="V285" s="5">
        <f t="shared" si="12"/>
        <v>334084</v>
      </c>
    </row>
    <row r="286">
      <c r="A286" s="2">
        <v>40953.0</v>
      </c>
      <c r="B286" s="5">
        <v>866.0</v>
      </c>
      <c r="C286" s="5">
        <f t="shared" si="2"/>
        <v>330</v>
      </c>
      <c r="D286" s="5">
        <f t="shared" si="3"/>
        <v>273</v>
      </c>
      <c r="E286" s="5">
        <f t="shared" si="1"/>
        <v>369</v>
      </c>
      <c r="L286" s="5">
        <f t="shared" si="4"/>
        <v>536</v>
      </c>
      <c r="M286" s="19">
        <f t="shared" si="5"/>
        <v>0.6189376443</v>
      </c>
      <c r="N286" s="5">
        <f t="shared" si="6"/>
        <v>287296</v>
      </c>
      <c r="P286" s="5">
        <f t="shared" si="7"/>
        <v>593</v>
      </c>
      <c r="Q286" s="19">
        <f t="shared" si="8"/>
        <v>0.6847575058</v>
      </c>
      <c r="R286" s="5">
        <f t="shared" si="9"/>
        <v>351649</v>
      </c>
      <c r="T286" s="5">
        <f t="shared" si="10"/>
        <v>497</v>
      </c>
      <c r="U286" s="19">
        <f t="shared" si="11"/>
        <v>0.5739030023</v>
      </c>
      <c r="V286" s="5">
        <f t="shared" si="12"/>
        <v>247009</v>
      </c>
    </row>
    <row r="287">
      <c r="A287" s="2">
        <v>40954.0</v>
      </c>
      <c r="B287" s="5">
        <v>13.0</v>
      </c>
      <c r="C287" s="5">
        <f t="shared" si="2"/>
        <v>414</v>
      </c>
      <c r="D287" s="5">
        <f t="shared" si="3"/>
        <v>275</v>
      </c>
      <c r="E287" s="5">
        <f t="shared" si="1"/>
        <v>568</v>
      </c>
      <c r="L287" s="5">
        <f t="shared" si="4"/>
        <v>-401</v>
      </c>
      <c r="M287" s="19">
        <f t="shared" si="5"/>
        <v>30.84615385</v>
      </c>
      <c r="N287" s="5">
        <f t="shared" si="6"/>
        <v>160801</v>
      </c>
      <c r="P287" s="5">
        <f t="shared" si="7"/>
        <v>-262</v>
      </c>
      <c r="Q287" s="19">
        <f t="shared" si="8"/>
        <v>20.15384615</v>
      </c>
      <c r="R287" s="5">
        <f t="shared" si="9"/>
        <v>68644</v>
      </c>
      <c r="T287" s="5">
        <f t="shared" si="10"/>
        <v>-555</v>
      </c>
      <c r="U287" s="19">
        <f t="shared" si="11"/>
        <v>42.69230769</v>
      </c>
      <c r="V287" s="5">
        <f t="shared" si="12"/>
        <v>308025</v>
      </c>
    </row>
    <row r="288">
      <c r="A288" s="2">
        <v>40955.0</v>
      </c>
      <c r="B288" s="5">
        <v>0.0</v>
      </c>
      <c r="C288" s="5">
        <f t="shared" si="2"/>
        <v>327</v>
      </c>
      <c r="D288" s="5">
        <f t="shared" si="3"/>
        <v>275</v>
      </c>
      <c r="E288" s="5">
        <f t="shared" si="1"/>
        <v>346</v>
      </c>
      <c r="L288" s="5">
        <f t="shared" si="4"/>
        <v>-327</v>
      </c>
      <c r="M288" s="19">
        <f t="shared" si="5"/>
        <v>1</v>
      </c>
      <c r="N288" s="5">
        <f t="shared" si="6"/>
        <v>106929</v>
      </c>
      <c r="P288" s="5">
        <f t="shared" si="7"/>
        <v>-275</v>
      </c>
      <c r="Q288" s="19">
        <f t="shared" si="8"/>
        <v>1</v>
      </c>
      <c r="R288" s="5">
        <f t="shared" si="9"/>
        <v>75625</v>
      </c>
      <c r="T288" s="5">
        <f t="shared" si="10"/>
        <v>-346</v>
      </c>
      <c r="U288" s="19">
        <f t="shared" si="11"/>
        <v>1</v>
      </c>
      <c r="V288" s="5">
        <f t="shared" si="12"/>
        <v>119716</v>
      </c>
    </row>
    <row r="289">
      <c r="A289" s="2">
        <v>40956.0</v>
      </c>
      <c r="B289" s="5">
        <v>0.0</v>
      </c>
      <c r="C289" s="5">
        <f t="shared" si="2"/>
        <v>319</v>
      </c>
      <c r="D289" s="5">
        <f t="shared" si="3"/>
        <v>274</v>
      </c>
      <c r="E289" s="5">
        <f t="shared" si="1"/>
        <v>208</v>
      </c>
      <c r="L289" s="5">
        <f t="shared" si="4"/>
        <v>-319</v>
      </c>
      <c r="M289" s="19">
        <f t="shared" si="5"/>
        <v>1</v>
      </c>
      <c r="N289" s="5">
        <f t="shared" si="6"/>
        <v>101761</v>
      </c>
      <c r="P289" s="5">
        <f t="shared" si="7"/>
        <v>-274</v>
      </c>
      <c r="Q289" s="19">
        <f t="shared" si="8"/>
        <v>1</v>
      </c>
      <c r="R289" s="5">
        <f t="shared" si="9"/>
        <v>75076</v>
      </c>
      <c r="T289" s="5">
        <f t="shared" si="10"/>
        <v>-208</v>
      </c>
      <c r="U289" s="19">
        <f t="shared" si="11"/>
        <v>1</v>
      </c>
      <c r="V289" s="5">
        <f t="shared" si="12"/>
        <v>43264</v>
      </c>
    </row>
    <row r="290">
      <c r="A290" s="2">
        <v>40959.0</v>
      </c>
      <c r="B290" s="5">
        <v>6.0</v>
      </c>
      <c r="C290" s="5">
        <f t="shared" si="2"/>
        <v>319</v>
      </c>
      <c r="D290" s="5">
        <f t="shared" si="3"/>
        <v>273</v>
      </c>
      <c r="E290" s="5">
        <f t="shared" si="1"/>
        <v>125</v>
      </c>
      <c r="L290" s="5">
        <f t="shared" si="4"/>
        <v>-313</v>
      </c>
      <c r="M290" s="19">
        <f t="shared" si="5"/>
        <v>52.16666667</v>
      </c>
      <c r="N290" s="5">
        <f t="shared" si="6"/>
        <v>97969</v>
      </c>
      <c r="P290" s="5">
        <f t="shared" si="7"/>
        <v>-267</v>
      </c>
      <c r="Q290" s="19">
        <f t="shared" si="8"/>
        <v>44.5</v>
      </c>
      <c r="R290" s="5">
        <f t="shared" si="9"/>
        <v>71289</v>
      </c>
      <c r="T290" s="5">
        <f t="shared" si="10"/>
        <v>-119</v>
      </c>
      <c r="U290" s="19">
        <f t="shared" si="11"/>
        <v>19.83333333</v>
      </c>
      <c r="V290" s="5">
        <f t="shared" si="12"/>
        <v>14161</v>
      </c>
    </row>
    <row r="291">
      <c r="A291" s="2">
        <v>40960.0</v>
      </c>
      <c r="B291" s="5">
        <v>770.0</v>
      </c>
      <c r="C291" s="5">
        <f t="shared" si="2"/>
        <v>177</v>
      </c>
      <c r="D291" s="5">
        <f t="shared" si="3"/>
        <v>272</v>
      </c>
      <c r="E291" s="5">
        <f t="shared" si="1"/>
        <v>77</v>
      </c>
      <c r="L291" s="5">
        <f t="shared" si="4"/>
        <v>593</v>
      </c>
      <c r="M291" s="19">
        <f t="shared" si="5"/>
        <v>0.7701298701</v>
      </c>
      <c r="N291" s="5">
        <f t="shared" si="6"/>
        <v>351649</v>
      </c>
      <c r="P291" s="5">
        <f t="shared" si="7"/>
        <v>498</v>
      </c>
      <c r="Q291" s="19">
        <f t="shared" si="8"/>
        <v>0.6467532468</v>
      </c>
      <c r="R291" s="5">
        <f t="shared" si="9"/>
        <v>248004</v>
      </c>
      <c r="T291" s="5">
        <f t="shared" si="10"/>
        <v>693</v>
      </c>
      <c r="U291" s="19">
        <f t="shared" si="11"/>
        <v>0.9</v>
      </c>
      <c r="V291" s="5">
        <f t="shared" si="12"/>
        <v>480249</v>
      </c>
    </row>
    <row r="292">
      <c r="A292" s="2">
        <v>40961.0</v>
      </c>
      <c r="B292" s="5">
        <v>522.0</v>
      </c>
      <c r="C292" s="5">
        <f t="shared" si="2"/>
        <v>158</v>
      </c>
      <c r="D292" s="5">
        <f t="shared" si="3"/>
        <v>273</v>
      </c>
      <c r="E292" s="5">
        <f t="shared" si="1"/>
        <v>354</v>
      </c>
      <c r="L292" s="5">
        <f t="shared" si="4"/>
        <v>364</v>
      </c>
      <c r="M292" s="19">
        <f t="shared" si="5"/>
        <v>0.6973180077</v>
      </c>
      <c r="N292" s="5">
        <f t="shared" si="6"/>
        <v>132496</v>
      </c>
      <c r="P292" s="5">
        <f t="shared" si="7"/>
        <v>249</v>
      </c>
      <c r="Q292" s="19">
        <f t="shared" si="8"/>
        <v>0.4770114943</v>
      </c>
      <c r="R292" s="5">
        <f t="shared" si="9"/>
        <v>62001</v>
      </c>
      <c r="T292" s="5">
        <f t="shared" si="10"/>
        <v>168</v>
      </c>
      <c r="U292" s="19">
        <f t="shared" si="11"/>
        <v>0.3218390805</v>
      </c>
      <c r="V292" s="5">
        <f t="shared" si="12"/>
        <v>28224</v>
      </c>
    </row>
    <row r="293">
      <c r="A293" s="2">
        <v>40962.0</v>
      </c>
      <c r="B293" s="5">
        <v>6.0</v>
      </c>
      <c r="C293" s="5">
        <f t="shared" si="2"/>
        <v>260</v>
      </c>
      <c r="D293" s="5">
        <f t="shared" si="3"/>
        <v>274</v>
      </c>
      <c r="E293" s="5">
        <f t="shared" si="1"/>
        <v>421</v>
      </c>
      <c r="L293" s="5">
        <f t="shared" si="4"/>
        <v>-254</v>
      </c>
      <c r="M293" s="19">
        <f t="shared" si="5"/>
        <v>42.33333333</v>
      </c>
      <c r="N293" s="5">
        <f t="shared" si="6"/>
        <v>64516</v>
      </c>
      <c r="P293" s="5">
        <f t="shared" si="7"/>
        <v>-268</v>
      </c>
      <c r="Q293" s="19">
        <f t="shared" si="8"/>
        <v>44.66666667</v>
      </c>
      <c r="R293" s="5">
        <f t="shared" si="9"/>
        <v>71824</v>
      </c>
      <c r="T293" s="5">
        <f t="shared" si="10"/>
        <v>-415</v>
      </c>
      <c r="U293" s="19">
        <f t="shared" si="11"/>
        <v>69.16666667</v>
      </c>
      <c r="V293" s="5">
        <f t="shared" si="12"/>
        <v>172225</v>
      </c>
    </row>
    <row r="294">
      <c r="A294" s="2">
        <v>40963.0</v>
      </c>
      <c r="B294" s="5">
        <v>0.0</v>
      </c>
      <c r="C294" s="5">
        <f t="shared" si="2"/>
        <v>261</v>
      </c>
      <c r="D294" s="5">
        <f t="shared" si="3"/>
        <v>273</v>
      </c>
      <c r="E294" s="5">
        <f t="shared" si="1"/>
        <v>255</v>
      </c>
      <c r="L294" s="5">
        <f t="shared" si="4"/>
        <v>-261</v>
      </c>
      <c r="M294" s="19">
        <f t="shared" si="5"/>
        <v>1</v>
      </c>
      <c r="N294" s="5">
        <f t="shared" si="6"/>
        <v>68121</v>
      </c>
      <c r="P294" s="5">
        <f t="shared" si="7"/>
        <v>-273</v>
      </c>
      <c r="Q294" s="19">
        <f t="shared" si="8"/>
        <v>1</v>
      </c>
      <c r="R294" s="5">
        <f t="shared" si="9"/>
        <v>74529</v>
      </c>
      <c r="T294" s="5">
        <f t="shared" si="10"/>
        <v>-255</v>
      </c>
      <c r="U294" s="19">
        <f t="shared" si="11"/>
        <v>1</v>
      </c>
      <c r="V294" s="5">
        <f t="shared" si="12"/>
        <v>65025</v>
      </c>
    </row>
    <row r="295">
      <c r="A295" s="2">
        <v>40966.0</v>
      </c>
      <c r="B295" s="5">
        <v>408.0</v>
      </c>
      <c r="C295" s="5">
        <f t="shared" si="2"/>
        <v>261</v>
      </c>
      <c r="D295" s="5">
        <f t="shared" si="3"/>
        <v>272</v>
      </c>
      <c r="E295" s="5">
        <f t="shared" si="1"/>
        <v>153</v>
      </c>
      <c r="L295" s="5">
        <f t="shared" si="4"/>
        <v>147</v>
      </c>
      <c r="M295" s="19">
        <f t="shared" si="5"/>
        <v>0.3602941176</v>
      </c>
      <c r="N295" s="5">
        <f t="shared" si="6"/>
        <v>21609</v>
      </c>
      <c r="P295" s="5">
        <f t="shared" si="7"/>
        <v>136</v>
      </c>
      <c r="Q295" s="19">
        <f t="shared" si="8"/>
        <v>0.3333333333</v>
      </c>
      <c r="R295" s="5">
        <f t="shared" si="9"/>
        <v>18496</v>
      </c>
      <c r="T295" s="5">
        <f t="shared" si="10"/>
        <v>255</v>
      </c>
      <c r="U295" s="19">
        <f t="shared" si="11"/>
        <v>0.625</v>
      </c>
      <c r="V295" s="5">
        <f t="shared" si="12"/>
        <v>65025</v>
      </c>
    </row>
    <row r="296">
      <c r="A296" s="2">
        <v>40967.0</v>
      </c>
      <c r="B296" s="5">
        <v>264.0</v>
      </c>
      <c r="C296" s="5">
        <f t="shared" si="2"/>
        <v>341</v>
      </c>
      <c r="D296" s="5">
        <f t="shared" si="3"/>
        <v>273</v>
      </c>
      <c r="E296" s="5">
        <f t="shared" si="1"/>
        <v>255</v>
      </c>
      <c r="L296" s="5">
        <f t="shared" si="4"/>
        <v>-77</v>
      </c>
      <c r="M296" s="19">
        <f t="shared" si="5"/>
        <v>0.2916666667</v>
      </c>
      <c r="N296" s="5">
        <f t="shared" si="6"/>
        <v>5929</v>
      </c>
      <c r="P296" s="5">
        <f t="shared" si="7"/>
        <v>-9</v>
      </c>
      <c r="Q296" s="19">
        <f t="shared" si="8"/>
        <v>0.03409090909</v>
      </c>
      <c r="R296" s="5">
        <f t="shared" si="9"/>
        <v>81</v>
      </c>
      <c r="T296" s="5">
        <f t="shared" si="10"/>
        <v>9</v>
      </c>
      <c r="U296" s="19">
        <f t="shared" si="11"/>
        <v>0.03409090909</v>
      </c>
      <c r="V296" s="5">
        <f t="shared" si="12"/>
        <v>81</v>
      </c>
    </row>
    <row r="297">
      <c r="A297" s="2">
        <v>40968.0</v>
      </c>
      <c r="B297" s="5">
        <v>390.0</v>
      </c>
      <c r="C297" s="5">
        <f t="shared" si="2"/>
        <v>240</v>
      </c>
      <c r="D297" s="5">
        <f t="shared" si="3"/>
        <v>273</v>
      </c>
      <c r="E297" s="5">
        <f t="shared" si="1"/>
        <v>259</v>
      </c>
      <c r="L297" s="5">
        <f t="shared" si="4"/>
        <v>150</v>
      </c>
      <c r="M297" s="19">
        <f t="shared" si="5"/>
        <v>0.3846153846</v>
      </c>
      <c r="N297" s="5">
        <f t="shared" si="6"/>
        <v>22500</v>
      </c>
      <c r="P297" s="5">
        <f t="shared" si="7"/>
        <v>117</v>
      </c>
      <c r="Q297" s="19">
        <f t="shared" si="8"/>
        <v>0.3</v>
      </c>
      <c r="R297" s="5">
        <f t="shared" si="9"/>
        <v>13689</v>
      </c>
      <c r="T297" s="5">
        <f t="shared" si="10"/>
        <v>131</v>
      </c>
      <c r="U297" s="19">
        <f t="shared" si="11"/>
        <v>0.3358974359</v>
      </c>
      <c r="V297" s="5">
        <f t="shared" si="12"/>
        <v>17161</v>
      </c>
    </row>
    <row r="298">
      <c r="A298" s="2">
        <v>40969.0</v>
      </c>
      <c r="B298" s="5">
        <v>216.0</v>
      </c>
      <c r="C298" s="5">
        <f t="shared" si="2"/>
        <v>214</v>
      </c>
      <c r="D298" s="5">
        <f t="shared" si="3"/>
        <v>273</v>
      </c>
      <c r="E298" s="5">
        <f t="shared" si="1"/>
        <v>311</v>
      </c>
      <c r="L298" s="5">
        <f t="shared" si="4"/>
        <v>2</v>
      </c>
      <c r="M298" s="19">
        <f t="shared" si="5"/>
        <v>0.009259259259</v>
      </c>
      <c r="N298" s="5">
        <f t="shared" si="6"/>
        <v>4</v>
      </c>
      <c r="P298" s="5">
        <f t="shared" si="7"/>
        <v>-57</v>
      </c>
      <c r="Q298" s="19">
        <f t="shared" si="8"/>
        <v>0.2638888889</v>
      </c>
      <c r="R298" s="5">
        <f t="shared" si="9"/>
        <v>3249</v>
      </c>
      <c r="T298" s="5">
        <f t="shared" si="10"/>
        <v>-95</v>
      </c>
      <c r="U298" s="19">
        <f t="shared" si="11"/>
        <v>0.4398148148</v>
      </c>
      <c r="V298" s="5">
        <f t="shared" si="12"/>
        <v>9025</v>
      </c>
    </row>
    <row r="299">
      <c r="A299" s="2">
        <v>40970.0</v>
      </c>
      <c r="B299" s="5">
        <v>0.0</v>
      </c>
      <c r="C299" s="5">
        <f t="shared" si="2"/>
        <v>256</v>
      </c>
      <c r="D299" s="5">
        <f t="shared" si="3"/>
        <v>273</v>
      </c>
      <c r="E299" s="5">
        <f t="shared" si="1"/>
        <v>273</v>
      </c>
      <c r="L299" s="5">
        <f t="shared" si="4"/>
        <v>-256</v>
      </c>
      <c r="M299" s="19">
        <f t="shared" si="5"/>
        <v>1</v>
      </c>
      <c r="N299" s="5">
        <f t="shared" si="6"/>
        <v>65536</v>
      </c>
      <c r="P299" s="5">
        <f t="shared" si="7"/>
        <v>-273</v>
      </c>
      <c r="Q299" s="19">
        <f t="shared" si="8"/>
        <v>1</v>
      </c>
      <c r="R299" s="5">
        <f t="shared" si="9"/>
        <v>74529</v>
      </c>
      <c r="T299" s="5">
        <f t="shared" si="10"/>
        <v>-273</v>
      </c>
      <c r="U299" s="19">
        <f t="shared" si="11"/>
        <v>1</v>
      </c>
      <c r="V299" s="5">
        <f t="shared" si="12"/>
        <v>74529</v>
      </c>
    </row>
    <row r="300">
      <c r="A300" s="2">
        <v>40973.0</v>
      </c>
      <c r="B300" s="5">
        <v>372.0</v>
      </c>
      <c r="C300" s="5">
        <f t="shared" si="2"/>
        <v>256</v>
      </c>
      <c r="D300" s="5">
        <f t="shared" si="3"/>
        <v>272</v>
      </c>
      <c r="E300" s="5">
        <f t="shared" si="1"/>
        <v>164</v>
      </c>
      <c r="L300" s="5">
        <f t="shared" si="4"/>
        <v>116</v>
      </c>
      <c r="M300" s="19">
        <f t="shared" si="5"/>
        <v>0.311827957</v>
      </c>
      <c r="N300" s="5">
        <f t="shared" si="6"/>
        <v>13456</v>
      </c>
      <c r="P300" s="5">
        <f t="shared" si="7"/>
        <v>100</v>
      </c>
      <c r="Q300" s="19">
        <f t="shared" si="8"/>
        <v>0.2688172043</v>
      </c>
      <c r="R300" s="5">
        <f t="shared" si="9"/>
        <v>10000</v>
      </c>
      <c r="T300" s="5">
        <f t="shared" si="10"/>
        <v>208</v>
      </c>
      <c r="U300" s="19">
        <f t="shared" si="11"/>
        <v>0.5591397849</v>
      </c>
      <c r="V300" s="5">
        <f t="shared" si="12"/>
        <v>43264</v>
      </c>
    </row>
    <row r="301">
      <c r="A301" s="2">
        <v>40974.0</v>
      </c>
      <c r="B301" s="5">
        <v>480.0</v>
      </c>
      <c r="C301" s="5">
        <f t="shared" si="2"/>
        <v>248</v>
      </c>
      <c r="D301" s="5">
        <f t="shared" si="3"/>
        <v>273</v>
      </c>
      <c r="E301" s="5">
        <f t="shared" si="1"/>
        <v>247</v>
      </c>
      <c r="L301" s="5">
        <f t="shared" si="4"/>
        <v>232</v>
      </c>
      <c r="M301" s="19">
        <f t="shared" si="5"/>
        <v>0.4833333333</v>
      </c>
      <c r="N301" s="5">
        <f t="shared" si="6"/>
        <v>53824</v>
      </c>
      <c r="P301" s="5">
        <f t="shared" si="7"/>
        <v>207</v>
      </c>
      <c r="Q301" s="19">
        <f t="shared" si="8"/>
        <v>0.43125</v>
      </c>
      <c r="R301" s="5">
        <f t="shared" si="9"/>
        <v>42849</v>
      </c>
      <c r="T301" s="5">
        <f t="shared" si="10"/>
        <v>233</v>
      </c>
      <c r="U301" s="19">
        <f t="shared" si="11"/>
        <v>0.4854166667</v>
      </c>
      <c r="V301" s="5">
        <f t="shared" si="12"/>
        <v>54289</v>
      </c>
    </row>
    <row r="302">
      <c r="A302" s="2">
        <v>40975.0</v>
      </c>
      <c r="B302" s="5">
        <v>534.0</v>
      </c>
      <c r="C302" s="5">
        <f t="shared" si="2"/>
        <v>292</v>
      </c>
      <c r="D302" s="5">
        <f t="shared" si="3"/>
        <v>273</v>
      </c>
      <c r="E302" s="5">
        <f t="shared" si="1"/>
        <v>340</v>
      </c>
      <c r="L302" s="5">
        <f t="shared" si="4"/>
        <v>242</v>
      </c>
      <c r="M302" s="19">
        <f t="shared" si="5"/>
        <v>0.4531835206</v>
      </c>
      <c r="N302" s="5">
        <f t="shared" si="6"/>
        <v>58564</v>
      </c>
      <c r="P302" s="5">
        <f t="shared" si="7"/>
        <v>261</v>
      </c>
      <c r="Q302" s="19">
        <f t="shared" si="8"/>
        <v>0.4887640449</v>
      </c>
      <c r="R302" s="5">
        <f t="shared" si="9"/>
        <v>68121</v>
      </c>
      <c r="T302" s="5">
        <f t="shared" si="10"/>
        <v>194</v>
      </c>
      <c r="U302" s="19">
        <f t="shared" si="11"/>
        <v>0.3632958801</v>
      </c>
      <c r="V302" s="5">
        <f t="shared" si="12"/>
        <v>37636</v>
      </c>
    </row>
    <row r="303">
      <c r="A303" s="2">
        <v>40976.0</v>
      </c>
      <c r="B303" s="5">
        <v>24.0</v>
      </c>
      <c r="C303" s="5">
        <f t="shared" si="2"/>
        <v>320</v>
      </c>
      <c r="D303" s="5">
        <f t="shared" si="3"/>
        <v>274</v>
      </c>
      <c r="E303" s="5">
        <f t="shared" si="1"/>
        <v>418</v>
      </c>
      <c r="L303" s="5">
        <f t="shared" si="4"/>
        <v>-296</v>
      </c>
      <c r="M303" s="19">
        <f t="shared" si="5"/>
        <v>12.33333333</v>
      </c>
      <c r="N303" s="5">
        <f t="shared" si="6"/>
        <v>87616</v>
      </c>
      <c r="P303" s="5">
        <f t="shared" si="7"/>
        <v>-250</v>
      </c>
      <c r="Q303" s="19">
        <f t="shared" si="8"/>
        <v>10.41666667</v>
      </c>
      <c r="R303" s="5">
        <f t="shared" si="9"/>
        <v>62500</v>
      </c>
      <c r="T303" s="5">
        <f t="shared" si="10"/>
        <v>-394</v>
      </c>
      <c r="U303" s="19">
        <f t="shared" si="11"/>
        <v>16.41666667</v>
      </c>
      <c r="V303" s="5">
        <f t="shared" si="12"/>
        <v>155236</v>
      </c>
    </row>
    <row r="304">
      <c r="A304" s="2">
        <v>40977.0</v>
      </c>
      <c r="B304" s="5">
        <v>0.0</v>
      </c>
      <c r="C304" s="5">
        <f t="shared" si="2"/>
        <v>282</v>
      </c>
      <c r="D304" s="5">
        <f t="shared" si="3"/>
        <v>273</v>
      </c>
      <c r="E304" s="5">
        <f t="shared" si="1"/>
        <v>260</v>
      </c>
      <c r="L304" s="5">
        <f t="shared" si="4"/>
        <v>-282</v>
      </c>
      <c r="M304" s="19">
        <f t="shared" si="5"/>
        <v>1</v>
      </c>
      <c r="N304" s="5">
        <f t="shared" si="6"/>
        <v>79524</v>
      </c>
      <c r="P304" s="5">
        <f t="shared" si="7"/>
        <v>-273</v>
      </c>
      <c r="Q304" s="19">
        <f t="shared" si="8"/>
        <v>1</v>
      </c>
      <c r="R304" s="5">
        <f t="shared" si="9"/>
        <v>74529</v>
      </c>
      <c r="T304" s="5">
        <f t="shared" si="10"/>
        <v>-260</v>
      </c>
      <c r="U304" s="19">
        <f t="shared" si="11"/>
        <v>1</v>
      </c>
      <c r="V304" s="5">
        <f t="shared" si="12"/>
        <v>67600</v>
      </c>
    </row>
    <row r="305">
      <c r="A305" s="2">
        <v>40980.0</v>
      </c>
      <c r="B305" s="5">
        <v>270.0</v>
      </c>
      <c r="C305" s="5">
        <f t="shared" si="2"/>
        <v>282</v>
      </c>
      <c r="D305" s="5">
        <f t="shared" si="3"/>
        <v>272</v>
      </c>
      <c r="E305" s="5">
        <f t="shared" si="1"/>
        <v>156</v>
      </c>
      <c r="L305" s="5">
        <f t="shared" si="4"/>
        <v>-12</v>
      </c>
      <c r="M305" s="19">
        <f t="shared" si="5"/>
        <v>0.04444444444</v>
      </c>
      <c r="N305" s="5">
        <f t="shared" si="6"/>
        <v>144</v>
      </c>
      <c r="P305" s="5">
        <f t="shared" si="7"/>
        <v>-2</v>
      </c>
      <c r="Q305" s="19">
        <f t="shared" si="8"/>
        <v>0.007407407407</v>
      </c>
      <c r="R305" s="5">
        <f t="shared" si="9"/>
        <v>4</v>
      </c>
      <c r="T305" s="5">
        <f t="shared" si="10"/>
        <v>114</v>
      </c>
      <c r="U305" s="19">
        <f t="shared" si="11"/>
        <v>0.4222222222</v>
      </c>
      <c r="V305" s="5">
        <f t="shared" si="12"/>
        <v>12996</v>
      </c>
    </row>
    <row r="306">
      <c r="A306" s="2">
        <v>40981.0</v>
      </c>
      <c r="B306" s="5">
        <v>550.0</v>
      </c>
      <c r="C306" s="5">
        <f t="shared" si="2"/>
        <v>262</v>
      </c>
      <c r="D306" s="5">
        <f t="shared" si="3"/>
        <v>272</v>
      </c>
      <c r="E306" s="5">
        <f t="shared" si="1"/>
        <v>202</v>
      </c>
      <c r="L306" s="5">
        <f t="shared" si="4"/>
        <v>288</v>
      </c>
      <c r="M306" s="19">
        <f t="shared" si="5"/>
        <v>0.5236363636</v>
      </c>
      <c r="N306" s="5">
        <f t="shared" si="6"/>
        <v>82944</v>
      </c>
      <c r="P306" s="5">
        <f t="shared" si="7"/>
        <v>278</v>
      </c>
      <c r="Q306" s="19">
        <f t="shared" si="8"/>
        <v>0.5054545455</v>
      </c>
      <c r="R306" s="5">
        <f t="shared" si="9"/>
        <v>77284</v>
      </c>
      <c r="T306" s="5">
        <f t="shared" si="10"/>
        <v>348</v>
      </c>
      <c r="U306" s="19">
        <f t="shared" si="11"/>
        <v>0.6327272727</v>
      </c>
      <c r="V306" s="5">
        <f t="shared" si="12"/>
        <v>121104</v>
      </c>
    </row>
    <row r="307">
      <c r="A307" s="2">
        <v>40982.0</v>
      </c>
      <c r="B307" s="5">
        <v>546.0</v>
      </c>
      <c r="C307" s="5">
        <f t="shared" si="2"/>
        <v>276</v>
      </c>
      <c r="D307" s="5">
        <f t="shared" si="3"/>
        <v>273</v>
      </c>
      <c r="E307" s="5">
        <f t="shared" si="1"/>
        <v>341</v>
      </c>
      <c r="L307" s="5">
        <f t="shared" si="4"/>
        <v>270</v>
      </c>
      <c r="M307" s="19">
        <f t="shared" si="5"/>
        <v>0.4945054945</v>
      </c>
      <c r="N307" s="5">
        <f t="shared" si="6"/>
        <v>72900</v>
      </c>
      <c r="P307" s="5">
        <f t="shared" si="7"/>
        <v>273</v>
      </c>
      <c r="Q307" s="19">
        <f t="shared" si="8"/>
        <v>0.5</v>
      </c>
      <c r="R307" s="5">
        <f t="shared" si="9"/>
        <v>74529</v>
      </c>
      <c r="T307" s="5">
        <f t="shared" si="10"/>
        <v>205</v>
      </c>
      <c r="U307" s="19">
        <f t="shared" si="11"/>
        <v>0.3754578755</v>
      </c>
      <c r="V307" s="5">
        <f t="shared" si="12"/>
        <v>42025</v>
      </c>
    </row>
    <row r="308">
      <c r="A308" s="2">
        <v>40983.0</v>
      </c>
      <c r="B308" s="5">
        <v>24.0</v>
      </c>
      <c r="C308" s="5">
        <f t="shared" si="2"/>
        <v>278</v>
      </c>
      <c r="D308" s="5">
        <f t="shared" si="3"/>
        <v>274</v>
      </c>
      <c r="E308" s="5">
        <f t="shared" si="1"/>
        <v>423</v>
      </c>
      <c r="L308" s="5">
        <f t="shared" si="4"/>
        <v>-254</v>
      </c>
      <c r="M308" s="19">
        <f t="shared" si="5"/>
        <v>10.58333333</v>
      </c>
      <c r="N308" s="5">
        <f t="shared" si="6"/>
        <v>64516</v>
      </c>
      <c r="P308" s="5">
        <f t="shared" si="7"/>
        <v>-250</v>
      </c>
      <c r="Q308" s="19">
        <f t="shared" si="8"/>
        <v>10.41666667</v>
      </c>
      <c r="R308" s="5">
        <f t="shared" si="9"/>
        <v>62500</v>
      </c>
      <c r="T308" s="5">
        <f t="shared" si="10"/>
        <v>-399</v>
      </c>
      <c r="U308" s="19">
        <f t="shared" si="11"/>
        <v>16.625</v>
      </c>
      <c r="V308" s="5">
        <f t="shared" si="12"/>
        <v>159201</v>
      </c>
    </row>
    <row r="309">
      <c r="A309" s="2">
        <v>40984.0</v>
      </c>
      <c r="B309" s="5">
        <v>0.0</v>
      </c>
      <c r="C309" s="5">
        <f t="shared" si="2"/>
        <v>278</v>
      </c>
      <c r="D309" s="5">
        <f t="shared" si="3"/>
        <v>273</v>
      </c>
      <c r="E309" s="5">
        <f t="shared" si="1"/>
        <v>263</v>
      </c>
      <c r="L309" s="5">
        <f t="shared" si="4"/>
        <v>-278</v>
      </c>
      <c r="M309" s="19">
        <f t="shared" si="5"/>
        <v>1</v>
      </c>
      <c r="N309" s="5">
        <f t="shared" si="6"/>
        <v>77284</v>
      </c>
      <c r="P309" s="5">
        <f t="shared" si="7"/>
        <v>-273</v>
      </c>
      <c r="Q309" s="19">
        <f t="shared" si="8"/>
        <v>1</v>
      </c>
      <c r="R309" s="5">
        <f t="shared" si="9"/>
        <v>74529</v>
      </c>
      <c r="T309" s="5">
        <f t="shared" si="10"/>
        <v>-263</v>
      </c>
      <c r="U309" s="19">
        <f t="shared" si="11"/>
        <v>1</v>
      </c>
      <c r="V309" s="5">
        <f t="shared" si="12"/>
        <v>69169</v>
      </c>
    </row>
    <row r="310">
      <c r="A310" s="2">
        <v>40987.0</v>
      </c>
      <c r="B310" s="5">
        <v>278.0</v>
      </c>
      <c r="C310" s="5">
        <f t="shared" si="2"/>
        <v>278</v>
      </c>
      <c r="D310" s="5">
        <f t="shared" si="3"/>
        <v>272</v>
      </c>
      <c r="E310" s="5">
        <f t="shared" si="1"/>
        <v>158</v>
      </c>
      <c r="L310" s="5">
        <f t="shared" si="4"/>
        <v>0</v>
      </c>
      <c r="M310" s="19">
        <f t="shared" si="5"/>
        <v>0</v>
      </c>
      <c r="N310" s="5">
        <f t="shared" si="6"/>
        <v>0</v>
      </c>
      <c r="P310" s="5">
        <f t="shared" si="7"/>
        <v>6</v>
      </c>
      <c r="Q310" s="19">
        <f t="shared" si="8"/>
        <v>0.02158273381</v>
      </c>
      <c r="R310" s="5">
        <f t="shared" si="9"/>
        <v>36</v>
      </c>
      <c r="T310" s="5">
        <f t="shared" si="10"/>
        <v>120</v>
      </c>
      <c r="U310" s="19">
        <f t="shared" si="11"/>
        <v>0.4316546763</v>
      </c>
      <c r="V310" s="5">
        <f t="shared" si="12"/>
        <v>14400</v>
      </c>
    </row>
    <row r="311">
      <c r="A311" s="2">
        <v>40988.0</v>
      </c>
      <c r="B311" s="5">
        <v>456.0</v>
      </c>
      <c r="C311" s="5">
        <f t="shared" si="2"/>
        <v>280</v>
      </c>
      <c r="D311" s="5">
        <f t="shared" si="3"/>
        <v>272</v>
      </c>
      <c r="E311" s="5">
        <f t="shared" si="1"/>
        <v>206</v>
      </c>
      <c r="L311" s="5">
        <f t="shared" si="4"/>
        <v>176</v>
      </c>
      <c r="M311" s="19">
        <f t="shared" si="5"/>
        <v>0.3859649123</v>
      </c>
      <c r="N311" s="5">
        <f t="shared" si="6"/>
        <v>30976</v>
      </c>
      <c r="P311" s="5">
        <f t="shared" si="7"/>
        <v>184</v>
      </c>
      <c r="Q311" s="19">
        <f t="shared" si="8"/>
        <v>0.4035087719</v>
      </c>
      <c r="R311" s="5">
        <f t="shared" si="9"/>
        <v>33856</v>
      </c>
      <c r="T311" s="5">
        <f t="shared" si="10"/>
        <v>250</v>
      </c>
      <c r="U311" s="19">
        <f t="shared" si="11"/>
        <v>0.548245614</v>
      </c>
      <c r="V311" s="5">
        <f t="shared" si="12"/>
        <v>62500</v>
      </c>
    </row>
    <row r="312">
      <c r="A312" s="2">
        <v>40989.0</v>
      </c>
      <c r="B312" s="5">
        <v>408.0</v>
      </c>
      <c r="C312" s="5">
        <f t="shared" si="2"/>
        <v>261</v>
      </c>
      <c r="D312" s="5">
        <f t="shared" si="3"/>
        <v>273</v>
      </c>
      <c r="E312" s="5">
        <f t="shared" si="1"/>
        <v>306</v>
      </c>
      <c r="L312" s="5">
        <f t="shared" si="4"/>
        <v>147</v>
      </c>
      <c r="M312" s="19">
        <f t="shared" si="5"/>
        <v>0.3602941176</v>
      </c>
      <c r="N312" s="5">
        <f t="shared" si="6"/>
        <v>21609</v>
      </c>
      <c r="P312" s="5">
        <f t="shared" si="7"/>
        <v>135</v>
      </c>
      <c r="Q312" s="19">
        <f t="shared" si="8"/>
        <v>0.3308823529</v>
      </c>
      <c r="R312" s="5">
        <f t="shared" si="9"/>
        <v>18225</v>
      </c>
      <c r="T312" s="5">
        <f t="shared" si="10"/>
        <v>102</v>
      </c>
      <c r="U312" s="19">
        <f t="shared" si="11"/>
        <v>0.25</v>
      </c>
      <c r="V312" s="5">
        <f t="shared" si="12"/>
        <v>10404</v>
      </c>
    </row>
    <row r="313">
      <c r="A313" s="2">
        <v>40990.0</v>
      </c>
      <c r="B313" s="5">
        <v>18.0</v>
      </c>
      <c r="C313" s="5">
        <f t="shared" si="2"/>
        <v>233</v>
      </c>
      <c r="D313" s="5">
        <f t="shared" si="3"/>
        <v>273</v>
      </c>
      <c r="E313" s="5">
        <f t="shared" si="1"/>
        <v>347</v>
      </c>
      <c r="L313" s="5">
        <f t="shared" si="4"/>
        <v>-215</v>
      </c>
      <c r="M313" s="19">
        <f t="shared" si="5"/>
        <v>11.94444444</v>
      </c>
      <c r="N313" s="5">
        <f t="shared" si="6"/>
        <v>46225</v>
      </c>
      <c r="P313" s="5">
        <f t="shared" si="7"/>
        <v>-255</v>
      </c>
      <c r="Q313" s="19">
        <f t="shared" si="8"/>
        <v>14.16666667</v>
      </c>
      <c r="R313" s="5">
        <f t="shared" si="9"/>
        <v>65025</v>
      </c>
      <c r="T313" s="5">
        <f t="shared" si="10"/>
        <v>-329</v>
      </c>
      <c r="U313" s="19">
        <f t="shared" si="11"/>
        <v>18.27777778</v>
      </c>
      <c r="V313" s="5">
        <f t="shared" si="12"/>
        <v>108241</v>
      </c>
    </row>
    <row r="314">
      <c r="A314" s="2">
        <v>40991.0</v>
      </c>
      <c r="B314" s="5">
        <v>0.0</v>
      </c>
      <c r="C314" s="5">
        <f t="shared" si="2"/>
        <v>232</v>
      </c>
      <c r="D314" s="5">
        <f t="shared" si="3"/>
        <v>273</v>
      </c>
      <c r="E314" s="5">
        <f t="shared" si="1"/>
        <v>215</v>
      </c>
      <c r="L314" s="5">
        <f t="shared" si="4"/>
        <v>-232</v>
      </c>
      <c r="M314" s="19">
        <f t="shared" si="5"/>
        <v>1</v>
      </c>
      <c r="N314" s="5">
        <f t="shared" si="6"/>
        <v>53824</v>
      </c>
      <c r="P314" s="5">
        <f t="shared" si="7"/>
        <v>-273</v>
      </c>
      <c r="Q314" s="19">
        <f t="shared" si="8"/>
        <v>1</v>
      </c>
      <c r="R314" s="5">
        <f t="shared" si="9"/>
        <v>74529</v>
      </c>
      <c r="T314" s="5">
        <f t="shared" si="10"/>
        <v>-215</v>
      </c>
      <c r="U314" s="19">
        <f t="shared" si="11"/>
        <v>1</v>
      </c>
      <c r="V314" s="5">
        <f t="shared" si="12"/>
        <v>46225</v>
      </c>
    </row>
    <row r="315">
      <c r="A315" s="2">
        <v>40994.0</v>
      </c>
      <c r="B315" s="5">
        <v>450.0</v>
      </c>
      <c r="C315" s="5">
        <f t="shared" si="2"/>
        <v>232</v>
      </c>
      <c r="D315" s="5">
        <f t="shared" si="3"/>
        <v>272</v>
      </c>
      <c r="E315" s="5">
        <f t="shared" si="1"/>
        <v>129</v>
      </c>
      <c r="L315" s="5">
        <f t="shared" si="4"/>
        <v>218</v>
      </c>
      <c r="M315" s="19">
        <f t="shared" si="5"/>
        <v>0.4844444444</v>
      </c>
      <c r="N315" s="5">
        <f t="shared" si="6"/>
        <v>47524</v>
      </c>
      <c r="P315" s="5">
        <f t="shared" si="7"/>
        <v>178</v>
      </c>
      <c r="Q315" s="19">
        <f t="shared" si="8"/>
        <v>0.3955555556</v>
      </c>
      <c r="R315" s="5">
        <f t="shared" si="9"/>
        <v>31684</v>
      </c>
      <c r="T315" s="5">
        <f t="shared" si="10"/>
        <v>321</v>
      </c>
      <c r="U315" s="19">
        <f t="shared" si="11"/>
        <v>0.7133333333</v>
      </c>
      <c r="V315" s="5">
        <f t="shared" si="12"/>
        <v>103041</v>
      </c>
    </row>
    <row r="316">
      <c r="A316" s="2">
        <v>40995.0</v>
      </c>
      <c r="B316" s="5">
        <v>465.0</v>
      </c>
      <c r="C316" s="5">
        <f t="shared" si="2"/>
        <v>266</v>
      </c>
      <c r="D316" s="5">
        <f t="shared" si="3"/>
        <v>272</v>
      </c>
      <c r="E316" s="5">
        <f t="shared" si="1"/>
        <v>257</v>
      </c>
      <c r="L316" s="5">
        <f t="shared" si="4"/>
        <v>199</v>
      </c>
      <c r="M316" s="19">
        <f t="shared" si="5"/>
        <v>0.4279569892</v>
      </c>
      <c r="N316" s="5">
        <f t="shared" si="6"/>
        <v>39601</v>
      </c>
      <c r="P316" s="5">
        <f t="shared" si="7"/>
        <v>193</v>
      </c>
      <c r="Q316" s="19">
        <f t="shared" si="8"/>
        <v>0.4150537634</v>
      </c>
      <c r="R316" s="5">
        <f t="shared" si="9"/>
        <v>37249</v>
      </c>
      <c r="T316" s="5">
        <f t="shared" si="10"/>
        <v>208</v>
      </c>
      <c r="U316" s="19">
        <f t="shared" si="11"/>
        <v>0.447311828</v>
      </c>
      <c r="V316" s="5">
        <f t="shared" si="12"/>
        <v>43264</v>
      </c>
    </row>
    <row r="317">
      <c r="A317" s="2">
        <v>40996.0</v>
      </c>
      <c r="B317" s="5">
        <v>480.0</v>
      </c>
      <c r="C317" s="5">
        <f t="shared" si="2"/>
        <v>268</v>
      </c>
      <c r="D317" s="5">
        <f t="shared" si="3"/>
        <v>273</v>
      </c>
      <c r="E317" s="5">
        <f t="shared" si="1"/>
        <v>340</v>
      </c>
      <c r="L317" s="5">
        <f t="shared" si="4"/>
        <v>212</v>
      </c>
      <c r="M317" s="19">
        <f t="shared" si="5"/>
        <v>0.4416666667</v>
      </c>
      <c r="N317" s="5">
        <f t="shared" si="6"/>
        <v>44944</v>
      </c>
      <c r="P317" s="5">
        <f t="shared" si="7"/>
        <v>207</v>
      </c>
      <c r="Q317" s="19">
        <f t="shared" si="8"/>
        <v>0.43125</v>
      </c>
      <c r="R317" s="5">
        <f t="shared" si="9"/>
        <v>42849</v>
      </c>
      <c r="T317" s="5">
        <f t="shared" si="10"/>
        <v>140</v>
      </c>
      <c r="U317" s="19">
        <f t="shared" si="11"/>
        <v>0.2916666667</v>
      </c>
      <c r="V317" s="5">
        <f t="shared" si="12"/>
        <v>19600</v>
      </c>
    </row>
    <row r="318">
      <c r="A318" s="2">
        <v>40997.0</v>
      </c>
      <c r="B318" s="5">
        <v>31.0</v>
      </c>
      <c r="C318" s="5">
        <f t="shared" si="2"/>
        <v>283</v>
      </c>
      <c r="D318" s="5">
        <f t="shared" si="3"/>
        <v>274</v>
      </c>
      <c r="E318" s="5">
        <f t="shared" si="1"/>
        <v>396</v>
      </c>
      <c r="L318" s="5">
        <f t="shared" si="4"/>
        <v>-252</v>
      </c>
      <c r="M318" s="19">
        <f t="shared" si="5"/>
        <v>8.129032258</v>
      </c>
      <c r="N318" s="5">
        <f t="shared" si="6"/>
        <v>63504</v>
      </c>
      <c r="P318" s="5">
        <f t="shared" si="7"/>
        <v>-243</v>
      </c>
      <c r="Q318" s="19">
        <f t="shared" si="8"/>
        <v>7.838709677</v>
      </c>
      <c r="R318" s="5">
        <f t="shared" si="9"/>
        <v>59049</v>
      </c>
      <c r="T318" s="5">
        <f t="shared" si="10"/>
        <v>-365</v>
      </c>
      <c r="U318" s="19">
        <f t="shared" si="11"/>
        <v>11.77419355</v>
      </c>
      <c r="V318" s="5">
        <f t="shared" si="12"/>
        <v>133225</v>
      </c>
    </row>
    <row r="319">
      <c r="A319" s="2">
        <v>40998.0</v>
      </c>
      <c r="B319" s="5">
        <v>0.0</v>
      </c>
      <c r="C319" s="5">
        <f t="shared" si="2"/>
        <v>285</v>
      </c>
      <c r="D319" s="5">
        <f t="shared" si="3"/>
        <v>273</v>
      </c>
      <c r="E319" s="5">
        <f t="shared" si="1"/>
        <v>250</v>
      </c>
      <c r="L319" s="5">
        <f t="shared" si="4"/>
        <v>-285</v>
      </c>
      <c r="M319" s="19">
        <f t="shared" si="5"/>
        <v>1</v>
      </c>
      <c r="N319" s="5">
        <f t="shared" si="6"/>
        <v>81225</v>
      </c>
      <c r="P319" s="5">
        <f t="shared" si="7"/>
        <v>-273</v>
      </c>
      <c r="Q319" s="19">
        <f t="shared" si="8"/>
        <v>1</v>
      </c>
      <c r="R319" s="5">
        <f t="shared" si="9"/>
        <v>74529</v>
      </c>
      <c r="T319" s="5">
        <f t="shared" si="10"/>
        <v>-250</v>
      </c>
      <c r="U319" s="19">
        <f t="shared" si="11"/>
        <v>1</v>
      </c>
      <c r="V319" s="5">
        <f t="shared" si="12"/>
        <v>62500</v>
      </c>
    </row>
    <row r="320">
      <c r="A320" s="2">
        <v>41001.0</v>
      </c>
      <c r="B320" s="5">
        <v>324.0</v>
      </c>
      <c r="C320" s="5">
        <f t="shared" si="2"/>
        <v>285</v>
      </c>
      <c r="D320" s="5">
        <f t="shared" si="3"/>
        <v>272</v>
      </c>
      <c r="E320" s="5">
        <f t="shared" si="1"/>
        <v>150</v>
      </c>
      <c r="L320" s="5">
        <f t="shared" si="4"/>
        <v>39</v>
      </c>
      <c r="M320" s="19">
        <f t="shared" si="5"/>
        <v>0.1203703704</v>
      </c>
      <c r="N320" s="5">
        <f t="shared" si="6"/>
        <v>1521</v>
      </c>
      <c r="P320" s="5">
        <f t="shared" si="7"/>
        <v>52</v>
      </c>
      <c r="Q320" s="19">
        <f t="shared" si="8"/>
        <v>0.1604938272</v>
      </c>
      <c r="R320" s="5">
        <f t="shared" si="9"/>
        <v>2704</v>
      </c>
      <c r="T320" s="5">
        <f t="shared" si="10"/>
        <v>174</v>
      </c>
      <c r="U320" s="19">
        <f t="shared" si="11"/>
        <v>0.537037037</v>
      </c>
      <c r="V320" s="5">
        <f t="shared" si="12"/>
        <v>30276</v>
      </c>
    </row>
    <row r="321">
      <c r="A321" s="2">
        <v>41002.0</v>
      </c>
      <c r="B321" s="5">
        <v>470.0</v>
      </c>
      <c r="C321" s="5">
        <f t="shared" si="2"/>
        <v>260</v>
      </c>
      <c r="D321" s="5">
        <f t="shared" si="3"/>
        <v>272</v>
      </c>
      <c r="E321" s="5">
        <f t="shared" si="1"/>
        <v>220</v>
      </c>
      <c r="L321" s="5">
        <f t="shared" si="4"/>
        <v>210</v>
      </c>
      <c r="M321" s="19">
        <f t="shared" si="5"/>
        <v>0.4468085106</v>
      </c>
      <c r="N321" s="5">
        <f t="shared" si="6"/>
        <v>44100</v>
      </c>
      <c r="P321" s="5">
        <f t="shared" si="7"/>
        <v>198</v>
      </c>
      <c r="Q321" s="19">
        <f t="shared" si="8"/>
        <v>0.4212765957</v>
      </c>
      <c r="R321" s="5">
        <f t="shared" si="9"/>
        <v>39204</v>
      </c>
      <c r="T321" s="5">
        <f t="shared" si="10"/>
        <v>250</v>
      </c>
      <c r="U321" s="19">
        <f t="shared" si="11"/>
        <v>0.5319148936</v>
      </c>
      <c r="V321" s="5">
        <f t="shared" si="12"/>
        <v>62500</v>
      </c>
    </row>
    <row r="322">
      <c r="A322" s="2">
        <v>41003.0</v>
      </c>
      <c r="B322" s="5">
        <v>482.0</v>
      </c>
      <c r="C322" s="5">
        <f t="shared" si="2"/>
        <v>261</v>
      </c>
      <c r="D322" s="5">
        <f t="shared" si="3"/>
        <v>273</v>
      </c>
      <c r="E322" s="5">
        <f t="shared" si="1"/>
        <v>320</v>
      </c>
      <c r="L322" s="5">
        <f t="shared" si="4"/>
        <v>221</v>
      </c>
      <c r="M322" s="19">
        <f t="shared" si="5"/>
        <v>0.4585062241</v>
      </c>
      <c r="N322" s="5">
        <f t="shared" si="6"/>
        <v>48841</v>
      </c>
      <c r="P322" s="5">
        <f t="shared" si="7"/>
        <v>209</v>
      </c>
      <c r="Q322" s="19">
        <f t="shared" si="8"/>
        <v>0.4336099585</v>
      </c>
      <c r="R322" s="5">
        <f t="shared" si="9"/>
        <v>43681</v>
      </c>
      <c r="T322" s="5">
        <f t="shared" si="10"/>
        <v>162</v>
      </c>
      <c r="U322" s="19">
        <f t="shared" si="11"/>
        <v>0.3360995851</v>
      </c>
      <c r="V322" s="5">
        <f t="shared" si="12"/>
        <v>26244</v>
      </c>
    </row>
    <row r="323">
      <c r="A323" s="2">
        <v>41004.0</v>
      </c>
      <c r="B323" s="5">
        <v>234.0</v>
      </c>
      <c r="C323" s="5">
        <f t="shared" si="2"/>
        <v>261</v>
      </c>
      <c r="D323" s="5">
        <f t="shared" si="3"/>
        <v>273</v>
      </c>
      <c r="E323" s="5">
        <f t="shared" si="1"/>
        <v>385</v>
      </c>
      <c r="L323" s="5">
        <f t="shared" si="4"/>
        <v>-27</v>
      </c>
      <c r="M323" s="19">
        <f t="shared" si="5"/>
        <v>0.1153846154</v>
      </c>
      <c r="N323" s="5">
        <f t="shared" si="6"/>
        <v>729</v>
      </c>
      <c r="P323" s="5">
        <f t="shared" si="7"/>
        <v>-39</v>
      </c>
      <c r="Q323" s="19">
        <f t="shared" si="8"/>
        <v>0.1666666667</v>
      </c>
      <c r="R323" s="5">
        <f t="shared" si="9"/>
        <v>1521</v>
      </c>
      <c r="T323" s="5">
        <f t="shared" si="10"/>
        <v>-151</v>
      </c>
      <c r="U323" s="19">
        <f t="shared" si="11"/>
        <v>0.6452991453</v>
      </c>
      <c r="V323" s="5">
        <f t="shared" si="12"/>
        <v>22801</v>
      </c>
    </row>
    <row r="324">
      <c r="A324" s="2">
        <v>41005.0</v>
      </c>
      <c r="B324" s="5">
        <v>0.0</v>
      </c>
      <c r="C324" s="5">
        <f t="shared" si="2"/>
        <v>302</v>
      </c>
      <c r="D324" s="5">
        <f t="shared" si="3"/>
        <v>273</v>
      </c>
      <c r="E324" s="5">
        <f t="shared" si="1"/>
        <v>325</v>
      </c>
      <c r="L324" s="5">
        <f t="shared" si="4"/>
        <v>-302</v>
      </c>
      <c r="M324" s="19">
        <f t="shared" si="5"/>
        <v>1</v>
      </c>
      <c r="N324" s="5">
        <f t="shared" si="6"/>
        <v>91204</v>
      </c>
      <c r="P324" s="5">
        <f t="shared" si="7"/>
        <v>-273</v>
      </c>
      <c r="Q324" s="19">
        <f t="shared" si="8"/>
        <v>1</v>
      </c>
      <c r="R324" s="5">
        <f t="shared" si="9"/>
        <v>74529</v>
      </c>
      <c r="T324" s="5">
        <f t="shared" si="10"/>
        <v>-325</v>
      </c>
      <c r="U324" s="19">
        <f t="shared" si="11"/>
        <v>1</v>
      </c>
      <c r="V324" s="5">
        <f t="shared" si="12"/>
        <v>105625</v>
      </c>
    </row>
    <row r="325">
      <c r="A325" s="2">
        <v>41008.0</v>
      </c>
      <c r="B325" s="5">
        <v>348.0</v>
      </c>
      <c r="C325" s="5">
        <f t="shared" si="2"/>
        <v>302</v>
      </c>
      <c r="D325" s="5">
        <f t="shared" si="3"/>
        <v>272</v>
      </c>
      <c r="E325" s="5">
        <f t="shared" si="1"/>
        <v>195</v>
      </c>
      <c r="L325" s="5">
        <f t="shared" si="4"/>
        <v>46</v>
      </c>
      <c r="M325" s="19">
        <f t="shared" si="5"/>
        <v>0.132183908</v>
      </c>
      <c r="N325" s="5">
        <f t="shared" si="6"/>
        <v>2116</v>
      </c>
      <c r="P325" s="5">
        <f t="shared" si="7"/>
        <v>76</v>
      </c>
      <c r="Q325" s="19">
        <f t="shared" si="8"/>
        <v>0.2183908046</v>
      </c>
      <c r="R325" s="5">
        <f t="shared" si="9"/>
        <v>5776</v>
      </c>
      <c r="T325" s="5">
        <f t="shared" si="10"/>
        <v>153</v>
      </c>
      <c r="U325" s="19">
        <f t="shared" si="11"/>
        <v>0.4396551724</v>
      </c>
      <c r="V325" s="5">
        <f t="shared" si="12"/>
        <v>23409</v>
      </c>
    </row>
    <row r="326">
      <c r="A326" s="2">
        <v>41009.0</v>
      </c>
      <c r="B326" s="5">
        <v>498.0</v>
      </c>
      <c r="C326" s="5">
        <f t="shared" si="2"/>
        <v>307</v>
      </c>
      <c r="D326" s="5">
        <f t="shared" si="3"/>
        <v>273</v>
      </c>
      <c r="E326" s="5">
        <f t="shared" si="1"/>
        <v>256</v>
      </c>
      <c r="L326" s="5">
        <f t="shared" si="4"/>
        <v>191</v>
      </c>
      <c r="M326" s="19">
        <f t="shared" si="5"/>
        <v>0.3835341365</v>
      </c>
      <c r="N326" s="5">
        <f t="shared" si="6"/>
        <v>36481</v>
      </c>
      <c r="P326" s="5">
        <f t="shared" si="7"/>
        <v>225</v>
      </c>
      <c r="Q326" s="19">
        <f t="shared" si="8"/>
        <v>0.4518072289</v>
      </c>
      <c r="R326" s="5">
        <f t="shared" si="9"/>
        <v>50625</v>
      </c>
      <c r="T326" s="5">
        <f t="shared" si="10"/>
        <v>242</v>
      </c>
      <c r="U326" s="19">
        <f t="shared" si="11"/>
        <v>0.4859437751</v>
      </c>
      <c r="V326" s="5">
        <f t="shared" si="12"/>
        <v>58564</v>
      </c>
    </row>
    <row r="327">
      <c r="A327" s="2">
        <v>41010.0</v>
      </c>
      <c r="B327" s="5">
        <v>420.0</v>
      </c>
      <c r="C327" s="5">
        <f t="shared" si="2"/>
        <v>312</v>
      </c>
      <c r="D327" s="5">
        <f t="shared" si="3"/>
        <v>273</v>
      </c>
      <c r="E327" s="5">
        <f t="shared" si="1"/>
        <v>353</v>
      </c>
      <c r="L327" s="5">
        <f t="shared" si="4"/>
        <v>108</v>
      </c>
      <c r="M327" s="19">
        <f t="shared" si="5"/>
        <v>0.2571428571</v>
      </c>
      <c r="N327" s="5">
        <f t="shared" si="6"/>
        <v>11664</v>
      </c>
      <c r="P327" s="5">
        <f t="shared" si="7"/>
        <v>147</v>
      </c>
      <c r="Q327" s="19">
        <f t="shared" si="8"/>
        <v>0.35</v>
      </c>
      <c r="R327" s="5">
        <f t="shared" si="9"/>
        <v>21609</v>
      </c>
      <c r="T327" s="5">
        <f t="shared" si="10"/>
        <v>67</v>
      </c>
      <c r="U327" s="19">
        <f t="shared" si="11"/>
        <v>0.1595238095</v>
      </c>
      <c r="V327" s="5">
        <f t="shared" si="12"/>
        <v>4489</v>
      </c>
    </row>
    <row r="328">
      <c r="A328" s="2">
        <v>41011.0</v>
      </c>
      <c r="B328" s="5">
        <v>30.0</v>
      </c>
      <c r="C328" s="5">
        <f t="shared" si="2"/>
        <v>300</v>
      </c>
      <c r="D328" s="5">
        <f t="shared" si="3"/>
        <v>274</v>
      </c>
      <c r="E328" s="5">
        <f t="shared" si="1"/>
        <v>380</v>
      </c>
      <c r="L328" s="5">
        <f t="shared" si="4"/>
        <v>-270</v>
      </c>
      <c r="M328" s="19">
        <f t="shared" si="5"/>
        <v>9</v>
      </c>
      <c r="N328" s="5">
        <f t="shared" si="6"/>
        <v>72900</v>
      </c>
      <c r="P328" s="5">
        <f t="shared" si="7"/>
        <v>-244</v>
      </c>
      <c r="Q328" s="19">
        <f t="shared" si="8"/>
        <v>8.133333333</v>
      </c>
      <c r="R328" s="5">
        <f t="shared" si="9"/>
        <v>59536</v>
      </c>
      <c r="T328" s="5">
        <f t="shared" si="10"/>
        <v>-350</v>
      </c>
      <c r="U328" s="19">
        <f t="shared" si="11"/>
        <v>11.66666667</v>
      </c>
      <c r="V328" s="5">
        <f t="shared" si="12"/>
        <v>122500</v>
      </c>
    </row>
    <row r="329">
      <c r="A329" s="2">
        <v>41012.0</v>
      </c>
      <c r="B329" s="5">
        <v>0.0</v>
      </c>
      <c r="C329" s="5">
        <f t="shared" si="2"/>
        <v>259</v>
      </c>
      <c r="D329" s="5">
        <f t="shared" si="3"/>
        <v>273</v>
      </c>
      <c r="E329" s="5">
        <f t="shared" si="1"/>
        <v>240</v>
      </c>
      <c r="L329" s="5">
        <f t="shared" si="4"/>
        <v>-259</v>
      </c>
      <c r="M329" s="19">
        <f t="shared" si="5"/>
        <v>1</v>
      </c>
      <c r="N329" s="5">
        <f t="shared" si="6"/>
        <v>67081</v>
      </c>
      <c r="P329" s="5">
        <f t="shared" si="7"/>
        <v>-273</v>
      </c>
      <c r="Q329" s="19">
        <f t="shared" si="8"/>
        <v>1</v>
      </c>
      <c r="R329" s="5">
        <f t="shared" si="9"/>
        <v>74529</v>
      </c>
      <c r="T329" s="5">
        <f t="shared" si="10"/>
        <v>-240</v>
      </c>
      <c r="U329" s="19">
        <f t="shared" si="11"/>
        <v>1</v>
      </c>
      <c r="V329" s="5">
        <f t="shared" si="12"/>
        <v>57600</v>
      </c>
    </row>
    <row r="330">
      <c r="A330" s="2">
        <v>41015.0</v>
      </c>
      <c r="B330" s="5">
        <v>300.0</v>
      </c>
      <c r="C330" s="5">
        <f t="shared" si="2"/>
        <v>259</v>
      </c>
      <c r="D330" s="5">
        <f t="shared" si="3"/>
        <v>272</v>
      </c>
      <c r="E330" s="5">
        <f t="shared" si="1"/>
        <v>144</v>
      </c>
      <c r="L330" s="5">
        <f t="shared" si="4"/>
        <v>41</v>
      </c>
      <c r="M330" s="19">
        <f t="shared" si="5"/>
        <v>0.1366666667</v>
      </c>
      <c r="N330" s="5">
        <f t="shared" si="6"/>
        <v>1681</v>
      </c>
      <c r="P330" s="5">
        <f t="shared" si="7"/>
        <v>28</v>
      </c>
      <c r="Q330" s="19">
        <f t="shared" si="8"/>
        <v>0.09333333333</v>
      </c>
      <c r="R330" s="5">
        <f t="shared" si="9"/>
        <v>784</v>
      </c>
      <c r="T330" s="5">
        <f t="shared" si="10"/>
        <v>156</v>
      </c>
      <c r="U330" s="19">
        <f t="shared" si="11"/>
        <v>0.52</v>
      </c>
      <c r="V330" s="5">
        <f t="shared" si="12"/>
        <v>24336</v>
      </c>
    </row>
    <row r="331">
      <c r="A331" s="2">
        <v>41016.0</v>
      </c>
      <c r="B331" s="5">
        <v>264.0</v>
      </c>
      <c r="C331" s="5">
        <f t="shared" si="2"/>
        <v>250</v>
      </c>
      <c r="D331" s="5">
        <f t="shared" si="3"/>
        <v>272</v>
      </c>
      <c r="E331" s="5">
        <f t="shared" si="1"/>
        <v>206</v>
      </c>
      <c r="L331" s="5">
        <f t="shared" si="4"/>
        <v>14</v>
      </c>
      <c r="M331" s="19">
        <f t="shared" si="5"/>
        <v>0.05303030303</v>
      </c>
      <c r="N331" s="5">
        <f t="shared" si="6"/>
        <v>196</v>
      </c>
      <c r="P331" s="5">
        <f t="shared" si="7"/>
        <v>-8</v>
      </c>
      <c r="Q331" s="19">
        <f t="shared" si="8"/>
        <v>0.0303030303</v>
      </c>
      <c r="R331" s="5">
        <f t="shared" si="9"/>
        <v>64</v>
      </c>
      <c r="T331" s="5">
        <f t="shared" si="10"/>
        <v>58</v>
      </c>
      <c r="U331" s="19">
        <f t="shared" si="11"/>
        <v>0.2196969697</v>
      </c>
      <c r="V331" s="5">
        <f t="shared" si="12"/>
        <v>3364</v>
      </c>
    </row>
    <row r="332">
      <c r="A332" s="2">
        <v>41017.0</v>
      </c>
      <c r="B332" s="5">
        <v>384.0</v>
      </c>
      <c r="C332" s="5">
        <f t="shared" si="2"/>
        <v>203</v>
      </c>
      <c r="D332" s="5">
        <f t="shared" si="3"/>
        <v>272</v>
      </c>
      <c r="E332" s="5">
        <f t="shared" si="1"/>
        <v>229</v>
      </c>
      <c r="L332" s="5">
        <f t="shared" si="4"/>
        <v>181</v>
      </c>
      <c r="M332" s="19">
        <f t="shared" si="5"/>
        <v>0.4713541667</v>
      </c>
      <c r="N332" s="5">
        <f t="shared" si="6"/>
        <v>32761</v>
      </c>
      <c r="P332" s="5">
        <f t="shared" si="7"/>
        <v>112</v>
      </c>
      <c r="Q332" s="19">
        <f t="shared" si="8"/>
        <v>0.2916666667</v>
      </c>
      <c r="R332" s="5">
        <f t="shared" si="9"/>
        <v>12544</v>
      </c>
      <c r="T332" s="5">
        <f t="shared" si="10"/>
        <v>155</v>
      </c>
      <c r="U332" s="19">
        <f t="shared" si="11"/>
        <v>0.4036458333</v>
      </c>
      <c r="V332" s="5">
        <f t="shared" si="12"/>
        <v>24025</v>
      </c>
    </row>
    <row r="333">
      <c r="A333" s="2">
        <v>41018.0</v>
      </c>
      <c r="B333" s="5">
        <v>12.0</v>
      </c>
      <c r="C333" s="5">
        <f t="shared" si="2"/>
        <v>196</v>
      </c>
      <c r="D333" s="5">
        <f t="shared" si="3"/>
        <v>273</v>
      </c>
      <c r="E333" s="5">
        <f t="shared" si="1"/>
        <v>291</v>
      </c>
      <c r="L333" s="5">
        <f t="shared" si="4"/>
        <v>-184</v>
      </c>
      <c r="M333" s="19">
        <f t="shared" si="5"/>
        <v>15.33333333</v>
      </c>
      <c r="N333" s="5">
        <f t="shared" si="6"/>
        <v>33856</v>
      </c>
      <c r="P333" s="5">
        <f t="shared" si="7"/>
        <v>-261</v>
      </c>
      <c r="Q333" s="19">
        <f t="shared" si="8"/>
        <v>21.75</v>
      </c>
      <c r="R333" s="5">
        <f t="shared" si="9"/>
        <v>68121</v>
      </c>
      <c r="T333" s="5">
        <f t="shared" si="10"/>
        <v>-279</v>
      </c>
      <c r="U333" s="19">
        <f t="shared" si="11"/>
        <v>23.25</v>
      </c>
      <c r="V333" s="5">
        <f t="shared" si="12"/>
        <v>77841</v>
      </c>
    </row>
    <row r="334">
      <c r="A334" s="2">
        <v>41019.0</v>
      </c>
      <c r="B334" s="5">
        <v>0.0</v>
      </c>
      <c r="C334" s="5">
        <f t="shared" si="2"/>
        <v>192</v>
      </c>
      <c r="D334" s="5">
        <f t="shared" si="3"/>
        <v>272</v>
      </c>
      <c r="E334" s="5">
        <f t="shared" si="1"/>
        <v>179</v>
      </c>
      <c r="L334" s="5">
        <f t="shared" si="4"/>
        <v>-192</v>
      </c>
      <c r="M334" s="19">
        <f t="shared" si="5"/>
        <v>1</v>
      </c>
      <c r="N334" s="5">
        <f t="shared" si="6"/>
        <v>36864</v>
      </c>
      <c r="P334" s="5">
        <f t="shared" si="7"/>
        <v>-272</v>
      </c>
      <c r="Q334" s="19">
        <f t="shared" si="8"/>
        <v>1</v>
      </c>
      <c r="R334" s="5">
        <f t="shared" si="9"/>
        <v>73984</v>
      </c>
      <c r="T334" s="5">
        <f t="shared" si="10"/>
        <v>-179</v>
      </c>
      <c r="U334" s="19">
        <f t="shared" si="11"/>
        <v>1</v>
      </c>
      <c r="V334" s="5">
        <f t="shared" si="12"/>
        <v>32041</v>
      </c>
    </row>
    <row r="335">
      <c r="A335" s="2">
        <v>41022.0</v>
      </c>
      <c r="B335" s="5">
        <v>350.0</v>
      </c>
      <c r="C335" s="5">
        <f t="shared" si="2"/>
        <v>192</v>
      </c>
      <c r="D335" s="5">
        <f t="shared" si="3"/>
        <v>271</v>
      </c>
      <c r="E335" s="5">
        <f t="shared" si="1"/>
        <v>107</v>
      </c>
      <c r="L335" s="5">
        <f t="shared" si="4"/>
        <v>158</v>
      </c>
      <c r="M335" s="19">
        <f t="shared" si="5"/>
        <v>0.4514285714</v>
      </c>
      <c r="N335" s="5">
        <f t="shared" si="6"/>
        <v>24964</v>
      </c>
      <c r="P335" s="5">
        <f t="shared" si="7"/>
        <v>79</v>
      </c>
      <c r="Q335" s="19">
        <f t="shared" si="8"/>
        <v>0.2257142857</v>
      </c>
      <c r="R335" s="5">
        <f t="shared" si="9"/>
        <v>6241</v>
      </c>
      <c r="T335" s="5">
        <f t="shared" si="10"/>
        <v>243</v>
      </c>
      <c r="U335" s="19">
        <f t="shared" si="11"/>
        <v>0.6942857143</v>
      </c>
      <c r="V335" s="5">
        <f t="shared" si="12"/>
        <v>59049</v>
      </c>
    </row>
    <row r="336">
      <c r="A336" s="2">
        <v>41023.0</v>
      </c>
      <c r="B336" s="5">
        <v>450.0</v>
      </c>
      <c r="C336" s="5">
        <f t="shared" si="2"/>
        <v>202</v>
      </c>
      <c r="D336" s="5">
        <f t="shared" si="3"/>
        <v>271</v>
      </c>
      <c r="E336" s="5">
        <f t="shared" si="1"/>
        <v>204</v>
      </c>
      <c r="L336" s="5">
        <f t="shared" si="4"/>
        <v>248</v>
      </c>
      <c r="M336" s="19">
        <f t="shared" si="5"/>
        <v>0.5511111111</v>
      </c>
      <c r="N336" s="5">
        <f t="shared" si="6"/>
        <v>61504</v>
      </c>
      <c r="P336" s="5">
        <f t="shared" si="7"/>
        <v>179</v>
      </c>
      <c r="Q336" s="19">
        <f t="shared" si="8"/>
        <v>0.3977777778</v>
      </c>
      <c r="R336" s="5">
        <f t="shared" si="9"/>
        <v>32041</v>
      </c>
      <c r="T336" s="5">
        <f t="shared" si="10"/>
        <v>246</v>
      </c>
      <c r="U336" s="19">
        <f t="shared" si="11"/>
        <v>0.5466666667</v>
      </c>
      <c r="V336" s="5">
        <f t="shared" si="12"/>
        <v>60516</v>
      </c>
    </row>
    <row r="337">
      <c r="A337" s="2">
        <v>41024.0</v>
      </c>
      <c r="B337" s="5">
        <v>12.0</v>
      </c>
      <c r="C337" s="5">
        <f t="shared" si="2"/>
        <v>239</v>
      </c>
      <c r="D337" s="5">
        <f t="shared" si="3"/>
        <v>272</v>
      </c>
      <c r="E337" s="5">
        <f t="shared" si="1"/>
        <v>302</v>
      </c>
      <c r="L337" s="5">
        <f t="shared" si="4"/>
        <v>-227</v>
      </c>
      <c r="M337" s="19">
        <f t="shared" si="5"/>
        <v>18.91666667</v>
      </c>
      <c r="N337" s="5">
        <f t="shared" si="6"/>
        <v>51529</v>
      </c>
      <c r="P337" s="5">
        <f t="shared" si="7"/>
        <v>-260</v>
      </c>
      <c r="Q337" s="19">
        <f t="shared" si="8"/>
        <v>21.66666667</v>
      </c>
      <c r="R337" s="5">
        <f t="shared" si="9"/>
        <v>67600</v>
      </c>
      <c r="T337" s="5">
        <f t="shared" si="10"/>
        <v>-290</v>
      </c>
      <c r="U337" s="19">
        <f t="shared" si="11"/>
        <v>24.16666667</v>
      </c>
      <c r="V337" s="5">
        <f t="shared" si="12"/>
        <v>84100</v>
      </c>
    </row>
    <row r="338">
      <c r="A338" s="2">
        <v>41025.0</v>
      </c>
      <c r="B338" s="5">
        <v>445.0</v>
      </c>
      <c r="C338" s="5">
        <f t="shared" si="2"/>
        <v>165</v>
      </c>
      <c r="D338" s="5">
        <f t="shared" si="3"/>
        <v>271</v>
      </c>
      <c r="E338" s="5">
        <f t="shared" si="1"/>
        <v>186</v>
      </c>
      <c r="L338" s="5">
        <f t="shared" si="4"/>
        <v>280</v>
      </c>
      <c r="M338" s="19">
        <f t="shared" si="5"/>
        <v>0.6292134831</v>
      </c>
      <c r="N338" s="5">
        <f t="shared" si="6"/>
        <v>78400</v>
      </c>
      <c r="P338" s="5">
        <f t="shared" si="7"/>
        <v>174</v>
      </c>
      <c r="Q338" s="19">
        <f t="shared" si="8"/>
        <v>0.391011236</v>
      </c>
      <c r="R338" s="5">
        <f t="shared" si="9"/>
        <v>30276</v>
      </c>
      <c r="T338" s="5">
        <f t="shared" si="10"/>
        <v>259</v>
      </c>
      <c r="U338" s="19">
        <f t="shared" si="11"/>
        <v>0.5820224719</v>
      </c>
      <c r="V338" s="5">
        <f t="shared" si="12"/>
        <v>67081</v>
      </c>
    </row>
    <row r="339">
      <c r="A339" s="2">
        <v>41026.0</v>
      </c>
      <c r="B339" s="5">
        <v>0.0</v>
      </c>
      <c r="C339" s="5">
        <f t="shared" si="2"/>
        <v>251</v>
      </c>
      <c r="D339" s="5">
        <f t="shared" si="3"/>
        <v>272</v>
      </c>
      <c r="E339" s="5">
        <f t="shared" si="1"/>
        <v>290</v>
      </c>
      <c r="L339" s="5">
        <f t="shared" si="4"/>
        <v>-251</v>
      </c>
      <c r="M339" s="19">
        <f t="shared" si="5"/>
        <v>1</v>
      </c>
      <c r="N339" s="5">
        <f t="shared" si="6"/>
        <v>63001</v>
      </c>
      <c r="P339" s="5">
        <f t="shared" si="7"/>
        <v>-272</v>
      </c>
      <c r="Q339" s="19">
        <f t="shared" si="8"/>
        <v>1</v>
      </c>
      <c r="R339" s="5">
        <f t="shared" si="9"/>
        <v>73984</v>
      </c>
      <c r="T339" s="5">
        <f t="shared" si="10"/>
        <v>-290</v>
      </c>
      <c r="U339" s="19">
        <f t="shared" si="11"/>
        <v>1</v>
      </c>
      <c r="V339" s="5">
        <f t="shared" si="12"/>
        <v>84100</v>
      </c>
    </row>
    <row r="340">
      <c r="A340" s="2">
        <v>41029.0</v>
      </c>
      <c r="B340" s="5">
        <v>0.0</v>
      </c>
      <c r="C340" s="5">
        <f t="shared" si="2"/>
        <v>251</v>
      </c>
      <c r="D340" s="5">
        <f t="shared" si="3"/>
        <v>271</v>
      </c>
      <c r="E340" s="5">
        <f t="shared" si="1"/>
        <v>174</v>
      </c>
      <c r="L340" s="5">
        <f t="shared" si="4"/>
        <v>-251</v>
      </c>
      <c r="M340" s="19">
        <f t="shared" si="5"/>
        <v>1</v>
      </c>
      <c r="N340" s="5">
        <f t="shared" si="6"/>
        <v>63001</v>
      </c>
      <c r="P340" s="5">
        <f t="shared" si="7"/>
        <v>-271</v>
      </c>
      <c r="Q340" s="19">
        <f t="shared" si="8"/>
        <v>1</v>
      </c>
      <c r="R340" s="5">
        <f t="shared" si="9"/>
        <v>73441</v>
      </c>
      <c r="T340" s="5">
        <f t="shared" si="10"/>
        <v>-174</v>
      </c>
      <c r="U340" s="19">
        <f t="shared" si="11"/>
        <v>1</v>
      </c>
      <c r="V340" s="5">
        <f t="shared" si="12"/>
        <v>30276</v>
      </c>
    </row>
    <row r="341">
      <c r="A341" s="4">
        <v>41030.0</v>
      </c>
      <c r="B341" s="5">
        <v>716.0</v>
      </c>
      <c r="C341" s="5">
        <f t="shared" si="2"/>
        <v>181</v>
      </c>
      <c r="D341" s="5">
        <f t="shared" si="3"/>
        <v>270</v>
      </c>
      <c r="E341" s="5">
        <f t="shared" si="1"/>
        <v>104</v>
      </c>
      <c r="L341" s="5">
        <f t="shared" si="4"/>
        <v>535</v>
      </c>
      <c r="M341" s="19">
        <f t="shared" si="5"/>
        <v>0.7472067039</v>
      </c>
      <c r="N341" s="5">
        <f t="shared" si="6"/>
        <v>286225</v>
      </c>
      <c r="P341" s="5">
        <f t="shared" si="7"/>
        <v>446</v>
      </c>
      <c r="Q341" s="19">
        <f t="shared" si="8"/>
        <v>0.6229050279</v>
      </c>
      <c r="R341" s="5">
        <f t="shared" si="9"/>
        <v>198916</v>
      </c>
      <c r="T341" s="5">
        <f t="shared" si="10"/>
        <v>612</v>
      </c>
      <c r="U341" s="19">
        <f t="shared" si="11"/>
        <v>0.8547486034</v>
      </c>
      <c r="V341" s="5">
        <f t="shared" si="12"/>
        <v>374544</v>
      </c>
    </row>
    <row r="342">
      <c r="A342" s="4">
        <v>41031.0</v>
      </c>
      <c r="B342" s="5">
        <v>577.0</v>
      </c>
      <c r="C342" s="5">
        <f t="shared" si="2"/>
        <v>235</v>
      </c>
      <c r="D342" s="5">
        <f t="shared" si="3"/>
        <v>271</v>
      </c>
      <c r="E342" s="5">
        <f t="shared" si="1"/>
        <v>349</v>
      </c>
      <c r="L342" s="5">
        <f t="shared" si="4"/>
        <v>342</v>
      </c>
      <c r="M342" s="19">
        <f t="shared" si="5"/>
        <v>0.5927209705</v>
      </c>
      <c r="N342" s="5">
        <f t="shared" si="6"/>
        <v>116964</v>
      </c>
      <c r="P342" s="5">
        <f t="shared" si="7"/>
        <v>306</v>
      </c>
      <c r="Q342" s="19">
        <f t="shared" si="8"/>
        <v>0.5303292894</v>
      </c>
      <c r="R342" s="5">
        <f t="shared" si="9"/>
        <v>93636</v>
      </c>
      <c r="T342" s="5">
        <f t="shared" si="10"/>
        <v>228</v>
      </c>
      <c r="U342" s="19">
        <f t="shared" si="11"/>
        <v>0.3951473137</v>
      </c>
      <c r="V342" s="5">
        <f t="shared" si="12"/>
        <v>51984</v>
      </c>
    </row>
    <row r="343">
      <c r="A343" s="4">
        <v>41032.0</v>
      </c>
      <c r="B343" s="5">
        <v>224.0</v>
      </c>
      <c r="C343" s="5">
        <f t="shared" si="2"/>
        <v>348</v>
      </c>
      <c r="D343" s="5">
        <f t="shared" si="3"/>
        <v>272</v>
      </c>
      <c r="E343" s="5">
        <f t="shared" si="1"/>
        <v>440</v>
      </c>
      <c r="L343" s="5">
        <f t="shared" si="4"/>
        <v>-124</v>
      </c>
      <c r="M343" s="19">
        <f t="shared" si="5"/>
        <v>0.5535714286</v>
      </c>
      <c r="N343" s="5">
        <f t="shared" si="6"/>
        <v>15376</v>
      </c>
      <c r="P343" s="5">
        <f t="shared" si="7"/>
        <v>-48</v>
      </c>
      <c r="Q343" s="19">
        <f t="shared" si="8"/>
        <v>0.2142857143</v>
      </c>
      <c r="R343" s="5">
        <f t="shared" si="9"/>
        <v>2304</v>
      </c>
      <c r="T343" s="5">
        <f t="shared" si="10"/>
        <v>-216</v>
      </c>
      <c r="U343" s="19">
        <f t="shared" si="11"/>
        <v>0.9642857143</v>
      </c>
      <c r="V343" s="5">
        <f t="shared" si="12"/>
        <v>46656</v>
      </c>
    </row>
    <row r="344">
      <c r="A344" s="4">
        <v>41033.0</v>
      </c>
      <c r="B344" s="5">
        <v>0.0</v>
      </c>
      <c r="C344" s="5">
        <f t="shared" si="2"/>
        <v>303</v>
      </c>
      <c r="D344" s="5">
        <f t="shared" si="3"/>
        <v>272</v>
      </c>
      <c r="E344" s="5">
        <f t="shared" si="1"/>
        <v>354</v>
      </c>
      <c r="L344" s="5">
        <f t="shared" si="4"/>
        <v>-303</v>
      </c>
      <c r="M344" s="19">
        <f t="shared" si="5"/>
        <v>1</v>
      </c>
      <c r="N344" s="5">
        <f t="shared" si="6"/>
        <v>91809</v>
      </c>
      <c r="P344" s="5">
        <f t="shared" si="7"/>
        <v>-272</v>
      </c>
      <c r="Q344" s="19">
        <f t="shared" si="8"/>
        <v>1</v>
      </c>
      <c r="R344" s="5">
        <f t="shared" si="9"/>
        <v>73984</v>
      </c>
      <c r="T344" s="5">
        <f t="shared" si="10"/>
        <v>-354</v>
      </c>
      <c r="U344" s="19">
        <f t="shared" si="11"/>
        <v>1</v>
      </c>
      <c r="V344" s="5">
        <f t="shared" si="12"/>
        <v>125316</v>
      </c>
    </row>
    <row r="345">
      <c r="A345" s="4">
        <v>41036.0</v>
      </c>
      <c r="B345" s="5">
        <v>432.0</v>
      </c>
      <c r="C345" s="5">
        <f t="shared" si="2"/>
        <v>303</v>
      </c>
      <c r="D345" s="5">
        <f t="shared" si="3"/>
        <v>271</v>
      </c>
      <c r="E345" s="5">
        <f t="shared" si="1"/>
        <v>212</v>
      </c>
      <c r="L345" s="5">
        <f t="shared" si="4"/>
        <v>129</v>
      </c>
      <c r="M345" s="19">
        <f t="shared" si="5"/>
        <v>0.2986111111</v>
      </c>
      <c r="N345" s="5">
        <f t="shared" si="6"/>
        <v>16641</v>
      </c>
      <c r="P345" s="5">
        <f t="shared" si="7"/>
        <v>161</v>
      </c>
      <c r="Q345" s="19">
        <f t="shared" si="8"/>
        <v>0.3726851852</v>
      </c>
      <c r="R345" s="5">
        <f t="shared" si="9"/>
        <v>25921</v>
      </c>
      <c r="T345" s="5">
        <f t="shared" si="10"/>
        <v>220</v>
      </c>
      <c r="U345" s="19">
        <f t="shared" si="11"/>
        <v>0.5092592593</v>
      </c>
      <c r="V345" s="5">
        <f t="shared" si="12"/>
        <v>48400</v>
      </c>
    </row>
    <row r="346">
      <c r="A346" s="4">
        <v>41037.0</v>
      </c>
      <c r="B346" s="5">
        <v>486.0</v>
      </c>
      <c r="C346" s="5">
        <f t="shared" si="2"/>
        <v>390</v>
      </c>
      <c r="D346" s="5">
        <f t="shared" si="3"/>
        <v>272</v>
      </c>
      <c r="E346" s="5">
        <f t="shared" si="1"/>
        <v>300</v>
      </c>
      <c r="L346" s="5">
        <f t="shared" si="4"/>
        <v>96</v>
      </c>
      <c r="M346" s="19">
        <f t="shared" si="5"/>
        <v>0.1975308642</v>
      </c>
      <c r="N346" s="5">
        <f t="shared" si="6"/>
        <v>9216</v>
      </c>
      <c r="P346" s="5">
        <f t="shared" si="7"/>
        <v>214</v>
      </c>
      <c r="Q346" s="19">
        <f t="shared" si="8"/>
        <v>0.4403292181</v>
      </c>
      <c r="R346" s="5">
        <f t="shared" si="9"/>
        <v>45796</v>
      </c>
      <c r="T346" s="5">
        <f t="shared" si="10"/>
        <v>186</v>
      </c>
      <c r="U346" s="19">
        <f t="shared" si="11"/>
        <v>0.3827160494</v>
      </c>
      <c r="V346" s="5">
        <f t="shared" si="12"/>
        <v>34596</v>
      </c>
    </row>
    <row r="347">
      <c r="A347" s="4">
        <v>41038.0</v>
      </c>
      <c r="B347" s="5">
        <v>510.0</v>
      </c>
      <c r="C347" s="5">
        <f t="shared" si="2"/>
        <v>344</v>
      </c>
      <c r="D347" s="5">
        <f t="shared" si="3"/>
        <v>272</v>
      </c>
      <c r="E347" s="5">
        <f t="shared" si="1"/>
        <v>374</v>
      </c>
      <c r="L347" s="5">
        <f t="shared" si="4"/>
        <v>166</v>
      </c>
      <c r="M347" s="19">
        <f t="shared" si="5"/>
        <v>0.3254901961</v>
      </c>
      <c r="N347" s="5">
        <f t="shared" si="6"/>
        <v>27556</v>
      </c>
      <c r="P347" s="5">
        <f t="shared" si="7"/>
        <v>238</v>
      </c>
      <c r="Q347" s="19">
        <f t="shared" si="8"/>
        <v>0.4666666667</v>
      </c>
      <c r="R347" s="5">
        <f t="shared" si="9"/>
        <v>56644</v>
      </c>
      <c r="T347" s="5">
        <f t="shared" si="10"/>
        <v>136</v>
      </c>
      <c r="U347" s="19">
        <f t="shared" si="11"/>
        <v>0.2666666667</v>
      </c>
      <c r="V347" s="5">
        <f t="shared" si="12"/>
        <v>18496</v>
      </c>
    </row>
    <row r="348">
      <c r="A348" s="4">
        <v>41039.0</v>
      </c>
      <c r="B348" s="5">
        <v>32.0</v>
      </c>
      <c r="C348" s="5">
        <f t="shared" si="2"/>
        <v>330</v>
      </c>
      <c r="D348" s="5">
        <f t="shared" si="3"/>
        <v>273</v>
      </c>
      <c r="E348" s="5">
        <f t="shared" si="1"/>
        <v>428</v>
      </c>
      <c r="L348" s="5">
        <f t="shared" si="4"/>
        <v>-298</v>
      </c>
      <c r="M348" s="19">
        <f t="shared" si="5"/>
        <v>9.3125</v>
      </c>
      <c r="N348" s="5">
        <f t="shared" si="6"/>
        <v>88804</v>
      </c>
      <c r="P348" s="5">
        <f t="shared" si="7"/>
        <v>-241</v>
      </c>
      <c r="Q348" s="19">
        <f t="shared" si="8"/>
        <v>7.53125</v>
      </c>
      <c r="R348" s="5">
        <f t="shared" si="9"/>
        <v>58081</v>
      </c>
      <c r="T348" s="5">
        <f t="shared" si="10"/>
        <v>-396</v>
      </c>
      <c r="U348" s="19">
        <f t="shared" si="11"/>
        <v>12.375</v>
      </c>
      <c r="V348" s="5">
        <f t="shared" si="12"/>
        <v>156816</v>
      </c>
    </row>
    <row r="349">
      <c r="A349" s="4">
        <v>41040.0</v>
      </c>
      <c r="B349" s="5">
        <v>0.0</v>
      </c>
      <c r="C349" s="5">
        <f t="shared" si="2"/>
        <v>292</v>
      </c>
      <c r="D349" s="5">
        <f t="shared" si="3"/>
        <v>272</v>
      </c>
      <c r="E349" s="5">
        <f t="shared" si="1"/>
        <v>270</v>
      </c>
      <c r="L349" s="5">
        <f t="shared" si="4"/>
        <v>-292</v>
      </c>
      <c r="M349" s="19">
        <f t="shared" si="5"/>
        <v>1</v>
      </c>
      <c r="N349" s="5">
        <f t="shared" si="6"/>
        <v>85264</v>
      </c>
      <c r="P349" s="5">
        <f t="shared" si="7"/>
        <v>-272</v>
      </c>
      <c r="Q349" s="19">
        <f t="shared" si="8"/>
        <v>1</v>
      </c>
      <c r="R349" s="5">
        <f t="shared" si="9"/>
        <v>73984</v>
      </c>
      <c r="T349" s="5">
        <f t="shared" si="10"/>
        <v>-270</v>
      </c>
      <c r="U349" s="19">
        <f t="shared" si="11"/>
        <v>1</v>
      </c>
      <c r="V349" s="5">
        <f t="shared" si="12"/>
        <v>72900</v>
      </c>
    </row>
    <row r="350">
      <c r="A350" s="4">
        <v>41043.0</v>
      </c>
      <c r="B350" s="5">
        <v>276.0</v>
      </c>
      <c r="C350" s="5">
        <f t="shared" si="2"/>
        <v>292</v>
      </c>
      <c r="D350" s="5">
        <f t="shared" si="3"/>
        <v>272</v>
      </c>
      <c r="E350" s="5">
        <f t="shared" si="1"/>
        <v>162</v>
      </c>
      <c r="L350" s="5">
        <f t="shared" si="4"/>
        <v>-16</v>
      </c>
      <c r="M350" s="19">
        <f t="shared" si="5"/>
        <v>0.05797101449</v>
      </c>
      <c r="N350" s="5">
        <f t="shared" si="6"/>
        <v>256</v>
      </c>
      <c r="P350" s="5">
        <f t="shared" si="7"/>
        <v>4</v>
      </c>
      <c r="Q350" s="19">
        <f t="shared" si="8"/>
        <v>0.01449275362</v>
      </c>
      <c r="R350" s="5">
        <f t="shared" si="9"/>
        <v>16</v>
      </c>
      <c r="T350" s="5">
        <f t="shared" si="10"/>
        <v>114</v>
      </c>
      <c r="U350" s="19">
        <f t="shared" si="11"/>
        <v>0.4130434783</v>
      </c>
      <c r="V350" s="5">
        <f t="shared" si="12"/>
        <v>12996</v>
      </c>
    </row>
    <row r="351">
      <c r="A351" s="4">
        <v>41044.0</v>
      </c>
      <c r="B351" s="5">
        <v>432.0</v>
      </c>
      <c r="C351" s="5">
        <f t="shared" si="2"/>
        <v>261</v>
      </c>
      <c r="D351" s="5">
        <f t="shared" si="3"/>
        <v>272</v>
      </c>
      <c r="E351" s="5">
        <f t="shared" si="1"/>
        <v>208</v>
      </c>
      <c r="L351" s="5">
        <f t="shared" si="4"/>
        <v>171</v>
      </c>
      <c r="M351" s="19">
        <f t="shared" si="5"/>
        <v>0.3958333333</v>
      </c>
      <c r="N351" s="5">
        <f t="shared" si="6"/>
        <v>29241</v>
      </c>
      <c r="P351" s="5">
        <f t="shared" si="7"/>
        <v>160</v>
      </c>
      <c r="Q351" s="19">
        <f t="shared" si="8"/>
        <v>0.3703703704</v>
      </c>
      <c r="R351" s="5">
        <f t="shared" si="9"/>
        <v>25600</v>
      </c>
      <c r="T351" s="5">
        <f t="shared" si="10"/>
        <v>224</v>
      </c>
      <c r="U351" s="19">
        <f t="shared" si="11"/>
        <v>0.5185185185</v>
      </c>
      <c r="V351" s="5">
        <f t="shared" si="12"/>
        <v>50176</v>
      </c>
    </row>
    <row r="352">
      <c r="A352" s="4">
        <v>41045.0</v>
      </c>
      <c r="B352" s="5">
        <v>900.0</v>
      </c>
      <c r="C352" s="5">
        <f t="shared" si="2"/>
        <v>250</v>
      </c>
      <c r="D352" s="5">
        <f t="shared" si="3"/>
        <v>272</v>
      </c>
      <c r="E352" s="5">
        <f t="shared" si="1"/>
        <v>298</v>
      </c>
      <c r="L352" s="5">
        <f t="shared" si="4"/>
        <v>650</v>
      </c>
      <c r="M352" s="19">
        <f t="shared" si="5"/>
        <v>0.7222222222</v>
      </c>
      <c r="N352" s="5">
        <f t="shared" si="6"/>
        <v>422500</v>
      </c>
      <c r="P352" s="5">
        <f t="shared" si="7"/>
        <v>628</v>
      </c>
      <c r="Q352" s="19">
        <f t="shared" si="8"/>
        <v>0.6977777778</v>
      </c>
      <c r="R352" s="5">
        <f t="shared" si="9"/>
        <v>394384</v>
      </c>
      <c r="T352" s="5">
        <f t="shared" si="10"/>
        <v>602</v>
      </c>
      <c r="U352" s="19">
        <f t="shared" si="11"/>
        <v>0.6688888889</v>
      </c>
      <c r="V352" s="5">
        <f t="shared" si="12"/>
        <v>362404</v>
      </c>
    </row>
    <row r="353">
      <c r="A353" s="4">
        <v>41046.0</v>
      </c>
      <c r="B353" s="5">
        <v>18.0</v>
      </c>
      <c r="C353" s="5">
        <f t="shared" si="2"/>
        <v>328</v>
      </c>
      <c r="D353" s="5">
        <f t="shared" si="3"/>
        <v>274</v>
      </c>
      <c r="E353" s="5">
        <f t="shared" si="1"/>
        <v>539</v>
      </c>
      <c r="L353" s="5">
        <f t="shared" si="4"/>
        <v>-310</v>
      </c>
      <c r="M353" s="19">
        <f t="shared" si="5"/>
        <v>17.22222222</v>
      </c>
      <c r="N353" s="5">
        <f t="shared" si="6"/>
        <v>96100</v>
      </c>
      <c r="P353" s="5">
        <f t="shared" si="7"/>
        <v>-256</v>
      </c>
      <c r="Q353" s="19">
        <f t="shared" si="8"/>
        <v>14.22222222</v>
      </c>
      <c r="R353" s="5">
        <f t="shared" si="9"/>
        <v>65536</v>
      </c>
      <c r="T353" s="5">
        <f t="shared" si="10"/>
        <v>-521</v>
      </c>
      <c r="U353" s="19">
        <f t="shared" si="11"/>
        <v>28.94444444</v>
      </c>
      <c r="V353" s="5">
        <f t="shared" si="12"/>
        <v>271441</v>
      </c>
    </row>
    <row r="354">
      <c r="A354" s="4">
        <v>41047.0</v>
      </c>
      <c r="B354" s="5">
        <v>0.0</v>
      </c>
      <c r="C354" s="5">
        <f t="shared" si="2"/>
        <v>325</v>
      </c>
      <c r="D354" s="5">
        <f t="shared" si="3"/>
        <v>273</v>
      </c>
      <c r="E354" s="5">
        <f t="shared" si="1"/>
        <v>331</v>
      </c>
      <c r="L354" s="5">
        <f t="shared" si="4"/>
        <v>-325</v>
      </c>
      <c r="M354" s="19">
        <f t="shared" si="5"/>
        <v>1</v>
      </c>
      <c r="N354" s="5">
        <f t="shared" si="6"/>
        <v>105625</v>
      </c>
      <c r="P354" s="5">
        <f t="shared" si="7"/>
        <v>-273</v>
      </c>
      <c r="Q354" s="19">
        <f t="shared" si="8"/>
        <v>1</v>
      </c>
      <c r="R354" s="5">
        <f t="shared" si="9"/>
        <v>74529</v>
      </c>
      <c r="T354" s="5">
        <f t="shared" si="10"/>
        <v>-331</v>
      </c>
      <c r="U354" s="19">
        <f t="shared" si="11"/>
        <v>1</v>
      </c>
      <c r="V354" s="5">
        <f t="shared" si="12"/>
        <v>109561</v>
      </c>
    </row>
    <row r="355">
      <c r="A355" s="4">
        <v>41050.0</v>
      </c>
      <c r="B355" s="5">
        <v>405.0</v>
      </c>
      <c r="C355" s="5">
        <f t="shared" si="2"/>
        <v>325</v>
      </c>
      <c r="D355" s="5">
        <f t="shared" si="3"/>
        <v>272</v>
      </c>
      <c r="E355" s="5">
        <f t="shared" si="1"/>
        <v>199</v>
      </c>
      <c r="L355" s="5">
        <f t="shared" si="4"/>
        <v>80</v>
      </c>
      <c r="M355" s="19">
        <f t="shared" si="5"/>
        <v>0.1975308642</v>
      </c>
      <c r="N355" s="5">
        <f t="shared" si="6"/>
        <v>6400</v>
      </c>
      <c r="P355" s="5">
        <f t="shared" si="7"/>
        <v>133</v>
      </c>
      <c r="Q355" s="19">
        <f t="shared" si="8"/>
        <v>0.3283950617</v>
      </c>
      <c r="R355" s="5">
        <f t="shared" si="9"/>
        <v>17689</v>
      </c>
      <c r="T355" s="5">
        <f t="shared" si="10"/>
        <v>206</v>
      </c>
      <c r="U355" s="19">
        <f t="shared" si="11"/>
        <v>0.5086419753</v>
      </c>
      <c r="V355" s="5">
        <f t="shared" si="12"/>
        <v>42436</v>
      </c>
    </row>
    <row r="356">
      <c r="A356" s="4">
        <v>41051.0</v>
      </c>
      <c r="B356" s="5">
        <v>480.0</v>
      </c>
      <c r="C356" s="5">
        <f t="shared" si="2"/>
        <v>351</v>
      </c>
      <c r="D356" s="5">
        <f t="shared" si="3"/>
        <v>273</v>
      </c>
      <c r="E356" s="5">
        <f t="shared" si="1"/>
        <v>281</v>
      </c>
      <c r="L356" s="5">
        <f t="shared" si="4"/>
        <v>129</v>
      </c>
      <c r="M356" s="19">
        <f t="shared" si="5"/>
        <v>0.26875</v>
      </c>
      <c r="N356" s="5">
        <f t="shared" si="6"/>
        <v>16641</v>
      </c>
      <c r="P356" s="5">
        <f t="shared" si="7"/>
        <v>207</v>
      </c>
      <c r="Q356" s="19">
        <f t="shared" si="8"/>
        <v>0.43125</v>
      </c>
      <c r="R356" s="5">
        <f t="shared" si="9"/>
        <v>42849</v>
      </c>
      <c r="T356" s="5">
        <f t="shared" si="10"/>
        <v>199</v>
      </c>
      <c r="U356" s="19">
        <f t="shared" si="11"/>
        <v>0.4145833333</v>
      </c>
      <c r="V356" s="5">
        <f t="shared" si="12"/>
        <v>39601</v>
      </c>
    </row>
    <row r="357">
      <c r="A357" s="4">
        <v>41052.0</v>
      </c>
      <c r="B357" s="5">
        <v>594.0</v>
      </c>
      <c r="C357" s="5">
        <f t="shared" si="2"/>
        <v>361</v>
      </c>
      <c r="D357" s="5">
        <f t="shared" si="3"/>
        <v>273</v>
      </c>
      <c r="E357" s="5">
        <f t="shared" si="1"/>
        <v>361</v>
      </c>
      <c r="L357" s="5">
        <f t="shared" si="4"/>
        <v>233</v>
      </c>
      <c r="M357" s="19">
        <f t="shared" si="5"/>
        <v>0.3922558923</v>
      </c>
      <c r="N357" s="5">
        <f t="shared" si="6"/>
        <v>54289</v>
      </c>
      <c r="P357" s="5">
        <f t="shared" si="7"/>
        <v>321</v>
      </c>
      <c r="Q357" s="19">
        <f t="shared" si="8"/>
        <v>0.5404040404</v>
      </c>
      <c r="R357" s="5">
        <f t="shared" si="9"/>
        <v>103041</v>
      </c>
      <c r="T357" s="5">
        <f t="shared" si="10"/>
        <v>233</v>
      </c>
      <c r="U357" s="19">
        <f t="shared" si="11"/>
        <v>0.3922558923</v>
      </c>
      <c r="V357" s="5">
        <f t="shared" si="12"/>
        <v>54289</v>
      </c>
    </row>
    <row r="358">
      <c r="A358" s="4">
        <v>41053.0</v>
      </c>
      <c r="B358" s="5">
        <v>24.0</v>
      </c>
      <c r="C358" s="5">
        <f t="shared" si="2"/>
        <v>299</v>
      </c>
      <c r="D358" s="5">
        <f t="shared" si="3"/>
        <v>274</v>
      </c>
      <c r="E358" s="5">
        <f t="shared" si="1"/>
        <v>454</v>
      </c>
      <c r="L358" s="5">
        <f t="shared" si="4"/>
        <v>-275</v>
      </c>
      <c r="M358" s="19">
        <f t="shared" si="5"/>
        <v>11.45833333</v>
      </c>
      <c r="N358" s="5">
        <f t="shared" si="6"/>
        <v>75625</v>
      </c>
      <c r="P358" s="5">
        <f t="shared" si="7"/>
        <v>-250</v>
      </c>
      <c r="Q358" s="19">
        <f t="shared" si="8"/>
        <v>10.41666667</v>
      </c>
      <c r="R358" s="5">
        <f t="shared" si="9"/>
        <v>62500</v>
      </c>
      <c r="T358" s="5">
        <f t="shared" si="10"/>
        <v>-430</v>
      </c>
      <c r="U358" s="19">
        <f t="shared" si="11"/>
        <v>17.91666667</v>
      </c>
      <c r="V358" s="5">
        <f t="shared" si="12"/>
        <v>184900</v>
      </c>
    </row>
    <row r="359">
      <c r="A359" s="4">
        <v>41054.0</v>
      </c>
      <c r="B359" s="5">
        <v>0.0</v>
      </c>
      <c r="C359" s="5">
        <f t="shared" si="2"/>
        <v>301</v>
      </c>
      <c r="D359" s="5">
        <f t="shared" si="3"/>
        <v>273</v>
      </c>
      <c r="E359" s="5">
        <f t="shared" si="1"/>
        <v>282</v>
      </c>
      <c r="L359" s="5">
        <f t="shared" si="4"/>
        <v>-301</v>
      </c>
      <c r="M359" s="19">
        <f t="shared" si="5"/>
        <v>1</v>
      </c>
      <c r="N359" s="5">
        <f t="shared" si="6"/>
        <v>90601</v>
      </c>
      <c r="P359" s="5">
        <f t="shared" si="7"/>
        <v>-273</v>
      </c>
      <c r="Q359" s="19">
        <f t="shared" si="8"/>
        <v>1</v>
      </c>
      <c r="R359" s="5">
        <f t="shared" si="9"/>
        <v>74529</v>
      </c>
      <c r="T359" s="5">
        <f t="shared" si="10"/>
        <v>-282</v>
      </c>
      <c r="U359" s="19">
        <f t="shared" si="11"/>
        <v>1</v>
      </c>
      <c r="V359" s="5">
        <f t="shared" si="12"/>
        <v>79524</v>
      </c>
    </row>
    <row r="360">
      <c r="A360" s="4">
        <v>41058.0</v>
      </c>
      <c r="B360" s="5">
        <v>0.0</v>
      </c>
      <c r="C360" s="5">
        <f t="shared" si="2"/>
        <v>301</v>
      </c>
      <c r="D360" s="5">
        <f t="shared" si="3"/>
        <v>273</v>
      </c>
      <c r="E360" s="5">
        <f t="shared" si="1"/>
        <v>169</v>
      </c>
      <c r="L360" s="5">
        <f t="shared" si="4"/>
        <v>-301</v>
      </c>
      <c r="M360" s="19">
        <f t="shared" si="5"/>
        <v>1</v>
      </c>
      <c r="N360" s="5">
        <f t="shared" si="6"/>
        <v>90601</v>
      </c>
      <c r="P360" s="5">
        <f t="shared" si="7"/>
        <v>-273</v>
      </c>
      <c r="Q360" s="19">
        <f t="shared" si="8"/>
        <v>1</v>
      </c>
      <c r="R360" s="5">
        <f t="shared" si="9"/>
        <v>74529</v>
      </c>
      <c r="T360" s="5">
        <f t="shared" si="10"/>
        <v>-169</v>
      </c>
      <c r="U360" s="19">
        <f t="shared" si="11"/>
        <v>1</v>
      </c>
      <c r="V360" s="5">
        <f t="shared" si="12"/>
        <v>28561</v>
      </c>
    </row>
    <row r="361">
      <c r="A361" s="4">
        <v>41059.0</v>
      </c>
      <c r="B361" s="5">
        <v>0.0</v>
      </c>
      <c r="C361" s="5">
        <f t="shared" si="2"/>
        <v>220</v>
      </c>
      <c r="D361" s="5">
        <f t="shared" si="3"/>
        <v>272</v>
      </c>
      <c r="E361" s="5">
        <f t="shared" si="1"/>
        <v>101</v>
      </c>
      <c r="L361" s="5">
        <f t="shared" si="4"/>
        <v>-220</v>
      </c>
      <c r="M361" s="19">
        <f t="shared" si="5"/>
        <v>1</v>
      </c>
      <c r="N361" s="5">
        <f t="shared" si="6"/>
        <v>48400</v>
      </c>
      <c r="P361" s="5">
        <f t="shared" si="7"/>
        <v>-272</v>
      </c>
      <c r="Q361" s="19">
        <f t="shared" si="8"/>
        <v>1</v>
      </c>
      <c r="R361" s="5">
        <f t="shared" si="9"/>
        <v>73984</v>
      </c>
      <c r="T361" s="5">
        <f t="shared" si="10"/>
        <v>-101</v>
      </c>
      <c r="U361" s="19">
        <f t="shared" si="11"/>
        <v>1</v>
      </c>
      <c r="V361" s="5">
        <f t="shared" si="12"/>
        <v>10201</v>
      </c>
    </row>
    <row r="362">
      <c r="A362" s="4">
        <v>41060.0</v>
      </c>
      <c r="B362" s="5">
        <v>0.0</v>
      </c>
      <c r="C362" s="5">
        <f t="shared" si="2"/>
        <v>124</v>
      </c>
      <c r="D362" s="5">
        <f t="shared" si="3"/>
        <v>271</v>
      </c>
      <c r="E362" s="5">
        <f t="shared" si="1"/>
        <v>61</v>
      </c>
      <c r="L362" s="5">
        <f t="shared" si="4"/>
        <v>-124</v>
      </c>
      <c r="M362" s="19">
        <f t="shared" si="5"/>
        <v>1</v>
      </c>
      <c r="N362" s="5">
        <f t="shared" si="6"/>
        <v>15376</v>
      </c>
      <c r="P362" s="5">
        <f t="shared" si="7"/>
        <v>-271</v>
      </c>
      <c r="Q362" s="19">
        <f t="shared" si="8"/>
        <v>1</v>
      </c>
      <c r="R362" s="5">
        <f t="shared" si="9"/>
        <v>73441</v>
      </c>
      <c r="T362" s="5">
        <f t="shared" si="10"/>
        <v>-61</v>
      </c>
      <c r="U362" s="19">
        <f t="shared" si="11"/>
        <v>1</v>
      </c>
      <c r="V362" s="5">
        <f t="shared" si="12"/>
        <v>3721</v>
      </c>
    </row>
    <row r="363">
      <c r="A363" s="2">
        <v>41061.0</v>
      </c>
      <c r="B363" s="5">
        <v>0.0</v>
      </c>
      <c r="C363" s="5">
        <f t="shared" si="2"/>
        <v>5</v>
      </c>
      <c r="D363" s="5">
        <f t="shared" si="3"/>
        <v>270</v>
      </c>
      <c r="E363" s="5">
        <f t="shared" si="1"/>
        <v>37</v>
      </c>
      <c r="L363" s="5">
        <f t="shared" si="4"/>
        <v>-5</v>
      </c>
      <c r="M363" s="19">
        <f t="shared" si="5"/>
        <v>1</v>
      </c>
      <c r="N363" s="5">
        <f t="shared" si="6"/>
        <v>25</v>
      </c>
      <c r="P363" s="5">
        <f t="shared" si="7"/>
        <v>-270</v>
      </c>
      <c r="Q363" s="19">
        <f t="shared" si="8"/>
        <v>1</v>
      </c>
      <c r="R363" s="5">
        <f t="shared" si="9"/>
        <v>72900</v>
      </c>
      <c r="T363" s="5">
        <f t="shared" si="10"/>
        <v>-37</v>
      </c>
      <c r="U363" s="19">
        <f t="shared" si="11"/>
        <v>1</v>
      </c>
      <c r="V363" s="5">
        <f t="shared" si="12"/>
        <v>1369</v>
      </c>
    </row>
    <row r="364">
      <c r="A364" s="2">
        <v>41064.0</v>
      </c>
      <c r="B364" s="5">
        <v>698.0</v>
      </c>
      <c r="C364" s="5">
        <f t="shared" si="2"/>
        <v>0</v>
      </c>
      <c r="D364" s="5">
        <f t="shared" si="3"/>
        <v>270</v>
      </c>
      <c r="E364" s="5">
        <f t="shared" si="1"/>
        <v>22</v>
      </c>
      <c r="L364" s="5">
        <f t="shared" si="4"/>
        <v>698</v>
      </c>
      <c r="M364" s="19">
        <f t="shared" si="5"/>
        <v>1</v>
      </c>
      <c r="N364" s="5">
        <f t="shared" si="6"/>
        <v>487204</v>
      </c>
      <c r="P364" s="5">
        <f t="shared" si="7"/>
        <v>428</v>
      </c>
      <c r="Q364" s="19">
        <f t="shared" si="8"/>
        <v>0.6131805158</v>
      </c>
      <c r="R364" s="5">
        <f t="shared" si="9"/>
        <v>183184</v>
      </c>
      <c r="T364" s="5">
        <f t="shared" si="10"/>
        <v>676</v>
      </c>
      <c r="U364" s="19">
        <f t="shared" si="11"/>
        <v>0.9684813754</v>
      </c>
      <c r="V364" s="5">
        <f t="shared" si="12"/>
        <v>456976</v>
      </c>
    </row>
    <row r="365">
      <c r="A365" s="2">
        <v>41065.0</v>
      </c>
      <c r="B365" s="5">
        <v>840.0</v>
      </c>
      <c r="C365" s="5">
        <f t="shared" si="2"/>
        <v>140</v>
      </c>
      <c r="D365" s="5">
        <f t="shared" si="3"/>
        <v>271</v>
      </c>
      <c r="E365" s="5">
        <f t="shared" si="1"/>
        <v>292</v>
      </c>
      <c r="L365" s="5">
        <f t="shared" si="4"/>
        <v>700</v>
      </c>
      <c r="M365" s="19">
        <f t="shared" si="5"/>
        <v>0.8333333333</v>
      </c>
      <c r="N365" s="5">
        <f t="shared" si="6"/>
        <v>490000</v>
      </c>
      <c r="P365" s="5">
        <f t="shared" si="7"/>
        <v>569</v>
      </c>
      <c r="Q365" s="19">
        <f t="shared" si="8"/>
        <v>0.6773809524</v>
      </c>
      <c r="R365" s="5">
        <f t="shared" si="9"/>
        <v>323761</v>
      </c>
      <c r="T365" s="5">
        <f t="shared" si="10"/>
        <v>548</v>
      </c>
      <c r="U365" s="19">
        <f t="shared" si="11"/>
        <v>0.6523809524</v>
      </c>
      <c r="V365" s="5">
        <f t="shared" si="12"/>
        <v>300304</v>
      </c>
    </row>
    <row r="366">
      <c r="A366" s="2">
        <v>41066.0</v>
      </c>
      <c r="B366" s="5">
        <v>954.0</v>
      </c>
      <c r="C366" s="5">
        <f t="shared" si="2"/>
        <v>308</v>
      </c>
      <c r="D366" s="5">
        <f t="shared" si="3"/>
        <v>272</v>
      </c>
      <c r="E366" s="5">
        <f t="shared" si="1"/>
        <v>511</v>
      </c>
      <c r="L366" s="5">
        <f t="shared" si="4"/>
        <v>646</v>
      </c>
      <c r="M366" s="19">
        <f t="shared" si="5"/>
        <v>0.677148847</v>
      </c>
      <c r="N366" s="5">
        <f t="shared" si="6"/>
        <v>417316</v>
      </c>
      <c r="P366" s="5">
        <f t="shared" si="7"/>
        <v>682</v>
      </c>
      <c r="Q366" s="19">
        <f t="shared" si="8"/>
        <v>0.714884696</v>
      </c>
      <c r="R366" s="5">
        <f t="shared" si="9"/>
        <v>465124</v>
      </c>
      <c r="T366" s="5">
        <f t="shared" si="10"/>
        <v>443</v>
      </c>
      <c r="U366" s="19">
        <f t="shared" si="11"/>
        <v>0.464360587</v>
      </c>
      <c r="V366" s="5">
        <f t="shared" si="12"/>
        <v>196249</v>
      </c>
    </row>
    <row r="367">
      <c r="A367" s="2">
        <v>41067.0</v>
      </c>
      <c r="B367" s="5">
        <v>46.0</v>
      </c>
      <c r="C367" s="5">
        <f t="shared" si="2"/>
        <v>498</v>
      </c>
      <c r="D367" s="5">
        <f t="shared" si="3"/>
        <v>274</v>
      </c>
      <c r="E367" s="5">
        <f t="shared" si="1"/>
        <v>688</v>
      </c>
      <c r="L367" s="5">
        <f t="shared" si="4"/>
        <v>-452</v>
      </c>
      <c r="M367" s="19">
        <f t="shared" si="5"/>
        <v>9.826086957</v>
      </c>
      <c r="N367" s="5">
        <f t="shared" si="6"/>
        <v>204304</v>
      </c>
      <c r="P367" s="5">
        <f t="shared" si="7"/>
        <v>-228</v>
      </c>
      <c r="Q367" s="19">
        <f t="shared" si="8"/>
        <v>4.956521739</v>
      </c>
      <c r="R367" s="5">
        <f t="shared" si="9"/>
        <v>51984</v>
      </c>
      <c r="T367" s="5">
        <f t="shared" si="10"/>
        <v>-642</v>
      </c>
      <c r="U367" s="19">
        <f t="shared" si="11"/>
        <v>13.95652174</v>
      </c>
      <c r="V367" s="5">
        <f t="shared" si="12"/>
        <v>412164</v>
      </c>
    </row>
    <row r="368">
      <c r="A368" s="2">
        <v>41068.0</v>
      </c>
      <c r="B368" s="5">
        <v>0.0</v>
      </c>
      <c r="C368" s="5">
        <f t="shared" si="2"/>
        <v>508</v>
      </c>
      <c r="D368" s="5">
        <f t="shared" si="3"/>
        <v>274</v>
      </c>
      <c r="E368" s="5">
        <f t="shared" si="1"/>
        <v>431</v>
      </c>
      <c r="L368" s="5">
        <f t="shared" si="4"/>
        <v>-508</v>
      </c>
      <c r="M368" s="19">
        <f t="shared" si="5"/>
        <v>1</v>
      </c>
      <c r="N368" s="5">
        <f t="shared" si="6"/>
        <v>258064</v>
      </c>
      <c r="P368" s="5">
        <f t="shared" si="7"/>
        <v>-274</v>
      </c>
      <c r="Q368" s="19">
        <f t="shared" si="8"/>
        <v>1</v>
      </c>
      <c r="R368" s="5">
        <f t="shared" si="9"/>
        <v>75076</v>
      </c>
      <c r="T368" s="5">
        <f t="shared" si="10"/>
        <v>-431</v>
      </c>
      <c r="U368" s="19">
        <f t="shared" si="11"/>
        <v>1</v>
      </c>
      <c r="V368" s="5">
        <f t="shared" si="12"/>
        <v>185761</v>
      </c>
    </row>
    <row r="369">
      <c r="A369" s="2">
        <v>41071.0</v>
      </c>
      <c r="B369" s="5">
        <v>252.0</v>
      </c>
      <c r="C369" s="5">
        <f t="shared" si="2"/>
        <v>508</v>
      </c>
      <c r="D369" s="5">
        <f t="shared" si="3"/>
        <v>273</v>
      </c>
      <c r="E369" s="5">
        <f t="shared" si="1"/>
        <v>259</v>
      </c>
      <c r="L369" s="5">
        <f t="shared" si="4"/>
        <v>-256</v>
      </c>
      <c r="M369" s="19">
        <f t="shared" si="5"/>
        <v>1.015873016</v>
      </c>
      <c r="N369" s="5">
        <f t="shared" si="6"/>
        <v>65536</v>
      </c>
      <c r="P369" s="5">
        <f t="shared" si="7"/>
        <v>-21</v>
      </c>
      <c r="Q369" s="19">
        <f t="shared" si="8"/>
        <v>0.08333333333</v>
      </c>
      <c r="R369" s="5">
        <f t="shared" si="9"/>
        <v>441</v>
      </c>
      <c r="T369" s="5">
        <f t="shared" si="10"/>
        <v>-7</v>
      </c>
      <c r="U369" s="19">
        <f t="shared" si="11"/>
        <v>0.02777777778</v>
      </c>
      <c r="V369" s="5">
        <f t="shared" si="12"/>
        <v>49</v>
      </c>
    </row>
    <row r="370">
      <c r="A370" s="2">
        <v>41072.0</v>
      </c>
      <c r="B370" s="5">
        <v>480.0</v>
      </c>
      <c r="C370" s="5">
        <f t="shared" si="2"/>
        <v>418</v>
      </c>
      <c r="D370" s="5">
        <f t="shared" si="3"/>
        <v>273</v>
      </c>
      <c r="E370" s="5">
        <f t="shared" si="1"/>
        <v>256</v>
      </c>
      <c r="L370" s="5">
        <f t="shared" si="4"/>
        <v>62</v>
      </c>
      <c r="M370" s="19">
        <f t="shared" si="5"/>
        <v>0.1291666667</v>
      </c>
      <c r="N370" s="5">
        <f t="shared" si="6"/>
        <v>3844</v>
      </c>
      <c r="P370" s="5">
        <f t="shared" si="7"/>
        <v>207</v>
      </c>
      <c r="Q370" s="19">
        <f t="shared" si="8"/>
        <v>0.43125</v>
      </c>
      <c r="R370" s="5">
        <f t="shared" si="9"/>
        <v>42849</v>
      </c>
      <c r="T370" s="5">
        <f t="shared" si="10"/>
        <v>224</v>
      </c>
      <c r="U370" s="19">
        <f t="shared" si="11"/>
        <v>0.4666666667</v>
      </c>
      <c r="V370" s="5">
        <f t="shared" si="12"/>
        <v>50176</v>
      </c>
    </row>
    <row r="371">
      <c r="A371" s="2">
        <v>41073.0</v>
      </c>
      <c r="B371" s="5">
        <v>612.0</v>
      </c>
      <c r="C371" s="5">
        <f t="shared" si="2"/>
        <v>346</v>
      </c>
      <c r="D371" s="5">
        <f t="shared" si="3"/>
        <v>273</v>
      </c>
      <c r="E371" s="5">
        <f t="shared" si="1"/>
        <v>346</v>
      </c>
      <c r="L371" s="5">
        <f t="shared" si="4"/>
        <v>266</v>
      </c>
      <c r="M371" s="19">
        <f t="shared" si="5"/>
        <v>0.4346405229</v>
      </c>
      <c r="N371" s="5">
        <f t="shared" si="6"/>
        <v>70756</v>
      </c>
      <c r="P371" s="5">
        <f t="shared" si="7"/>
        <v>339</v>
      </c>
      <c r="Q371" s="19">
        <f t="shared" si="8"/>
        <v>0.5539215686</v>
      </c>
      <c r="R371" s="5">
        <f t="shared" si="9"/>
        <v>114921</v>
      </c>
      <c r="T371" s="5">
        <f t="shared" si="10"/>
        <v>266</v>
      </c>
      <c r="U371" s="19">
        <f t="shared" si="11"/>
        <v>0.4346405229</v>
      </c>
      <c r="V371" s="5">
        <f t="shared" si="12"/>
        <v>70756</v>
      </c>
    </row>
    <row r="372">
      <c r="A372" s="2">
        <v>41074.0</v>
      </c>
      <c r="B372" s="5">
        <v>6.0</v>
      </c>
      <c r="C372" s="5">
        <f t="shared" si="2"/>
        <v>278</v>
      </c>
      <c r="D372" s="5">
        <f t="shared" si="3"/>
        <v>274</v>
      </c>
      <c r="E372" s="5">
        <f t="shared" si="1"/>
        <v>452</v>
      </c>
      <c r="L372" s="5">
        <f t="shared" si="4"/>
        <v>-272</v>
      </c>
      <c r="M372" s="19">
        <f t="shared" si="5"/>
        <v>45.33333333</v>
      </c>
      <c r="N372" s="5">
        <f t="shared" si="6"/>
        <v>73984</v>
      </c>
      <c r="P372" s="5">
        <f t="shared" si="7"/>
        <v>-268</v>
      </c>
      <c r="Q372" s="19">
        <f t="shared" si="8"/>
        <v>44.66666667</v>
      </c>
      <c r="R372" s="5">
        <f t="shared" si="9"/>
        <v>71824</v>
      </c>
      <c r="T372" s="5">
        <f t="shared" si="10"/>
        <v>-446</v>
      </c>
      <c r="U372" s="19">
        <f t="shared" si="11"/>
        <v>74.33333333</v>
      </c>
      <c r="V372" s="5">
        <f t="shared" si="12"/>
        <v>198916</v>
      </c>
    </row>
    <row r="373">
      <c r="A373" s="2">
        <v>41075.0</v>
      </c>
      <c r="B373" s="5">
        <v>0.0</v>
      </c>
      <c r="C373" s="5">
        <f t="shared" si="2"/>
        <v>270</v>
      </c>
      <c r="D373" s="5">
        <f t="shared" si="3"/>
        <v>274</v>
      </c>
      <c r="E373" s="5">
        <f t="shared" si="1"/>
        <v>274</v>
      </c>
      <c r="L373" s="5">
        <f t="shared" si="4"/>
        <v>-270</v>
      </c>
      <c r="M373" s="19">
        <f t="shared" si="5"/>
        <v>1</v>
      </c>
      <c r="N373" s="5">
        <f t="shared" si="6"/>
        <v>72900</v>
      </c>
      <c r="P373" s="5">
        <f t="shared" si="7"/>
        <v>-274</v>
      </c>
      <c r="Q373" s="19">
        <f t="shared" si="8"/>
        <v>1</v>
      </c>
      <c r="R373" s="5">
        <f t="shared" si="9"/>
        <v>75076</v>
      </c>
      <c r="T373" s="5">
        <f t="shared" si="10"/>
        <v>-274</v>
      </c>
      <c r="U373" s="19">
        <f t="shared" si="11"/>
        <v>1</v>
      </c>
      <c r="V373" s="5">
        <f t="shared" si="12"/>
        <v>75076</v>
      </c>
    </row>
    <row r="374">
      <c r="A374" s="2">
        <v>41078.0</v>
      </c>
      <c r="B374" s="5">
        <v>342.0</v>
      </c>
      <c r="C374" s="5">
        <f t="shared" si="2"/>
        <v>270</v>
      </c>
      <c r="D374" s="5">
        <f t="shared" si="3"/>
        <v>273</v>
      </c>
      <c r="E374" s="5">
        <f t="shared" si="1"/>
        <v>164</v>
      </c>
      <c r="L374" s="5">
        <f t="shared" si="4"/>
        <v>72</v>
      </c>
      <c r="M374" s="19">
        <f t="shared" si="5"/>
        <v>0.2105263158</v>
      </c>
      <c r="N374" s="5">
        <f t="shared" si="6"/>
        <v>5184</v>
      </c>
      <c r="P374" s="5">
        <f t="shared" si="7"/>
        <v>69</v>
      </c>
      <c r="Q374" s="19">
        <f t="shared" si="8"/>
        <v>0.201754386</v>
      </c>
      <c r="R374" s="5">
        <f t="shared" si="9"/>
        <v>4761</v>
      </c>
      <c r="T374" s="5">
        <f t="shared" si="10"/>
        <v>178</v>
      </c>
      <c r="U374" s="19">
        <f t="shared" si="11"/>
        <v>0.5204678363</v>
      </c>
      <c r="V374" s="5">
        <f t="shared" si="12"/>
        <v>31684</v>
      </c>
    </row>
    <row r="375">
      <c r="A375" s="2">
        <v>41079.0</v>
      </c>
      <c r="B375" s="5">
        <v>540.0</v>
      </c>
      <c r="C375" s="5">
        <f t="shared" si="2"/>
        <v>288</v>
      </c>
      <c r="D375" s="5">
        <f t="shared" si="3"/>
        <v>273</v>
      </c>
      <c r="E375" s="5">
        <f t="shared" si="1"/>
        <v>235</v>
      </c>
      <c r="L375" s="5">
        <f t="shared" si="4"/>
        <v>252</v>
      </c>
      <c r="M375" s="19">
        <f t="shared" si="5"/>
        <v>0.4666666667</v>
      </c>
      <c r="N375" s="5">
        <f t="shared" si="6"/>
        <v>63504</v>
      </c>
      <c r="P375" s="5">
        <f t="shared" si="7"/>
        <v>267</v>
      </c>
      <c r="Q375" s="19">
        <f t="shared" si="8"/>
        <v>0.4944444444</v>
      </c>
      <c r="R375" s="5">
        <f t="shared" si="9"/>
        <v>71289</v>
      </c>
      <c r="T375" s="5">
        <f t="shared" si="10"/>
        <v>305</v>
      </c>
      <c r="U375" s="19">
        <f t="shared" si="11"/>
        <v>0.5648148148</v>
      </c>
      <c r="V375" s="5">
        <f t="shared" si="12"/>
        <v>93025</v>
      </c>
    </row>
    <row r="376">
      <c r="A376" s="2">
        <v>41080.0</v>
      </c>
      <c r="B376" s="5">
        <v>588.0</v>
      </c>
      <c r="C376" s="5">
        <f t="shared" si="2"/>
        <v>300</v>
      </c>
      <c r="D376" s="5">
        <f t="shared" si="3"/>
        <v>274</v>
      </c>
      <c r="E376" s="5">
        <f t="shared" si="1"/>
        <v>357</v>
      </c>
      <c r="L376" s="5">
        <f t="shared" si="4"/>
        <v>288</v>
      </c>
      <c r="M376" s="19">
        <f t="shared" si="5"/>
        <v>0.4897959184</v>
      </c>
      <c r="N376" s="5">
        <f t="shared" si="6"/>
        <v>82944</v>
      </c>
      <c r="P376" s="5">
        <f t="shared" si="7"/>
        <v>314</v>
      </c>
      <c r="Q376" s="19">
        <f t="shared" si="8"/>
        <v>0.5340136054</v>
      </c>
      <c r="R376" s="5">
        <f t="shared" si="9"/>
        <v>98596</v>
      </c>
      <c r="T376" s="5">
        <f t="shared" si="10"/>
        <v>231</v>
      </c>
      <c r="U376" s="19">
        <f t="shared" si="11"/>
        <v>0.3928571429</v>
      </c>
      <c r="V376" s="5">
        <f t="shared" si="12"/>
        <v>53361</v>
      </c>
    </row>
    <row r="377">
      <c r="A377" s="2">
        <v>41081.0</v>
      </c>
      <c r="B377" s="5">
        <v>30.0</v>
      </c>
      <c r="C377" s="5">
        <f t="shared" si="2"/>
        <v>295</v>
      </c>
      <c r="D377" s="5">
        <f t="shared" si="3"/>
        <v>275</v>
      </c>
      <c r="E377" s="5">
        <f t="shared" si="1"/>
        <v>449</v>
      </c>
      <c r="L377" s="5">
        <f t="shared" si="4"/>
        <v>-265</v>
      </c>
      <c r="M377" s="19">
        <f t="shared" si="5"/>
        <v>8.833333333</v>
      </c>
      <c r="N377" s="5">
        <f t="shared" si="6"/>
        <v>70225</v>
      </c>
      <c r="P377" s="5">
        <f t="shared" si="7"/>
        <v>-245</v>
      </c>
      <c r="Q377" s="19">
        <f t="shared" si="8"/>
        <v>8.166666667</v>
      </c>
      <c r="R377" s="5">
        <f t="shared" si="9"/>
        <v>60025</v>
      </c>
      <c r="T377" s="5">
        <f t="shared" si="10"/>
        <v>-419</v>
      </c>
      <c r="U377" s="19">
        <f t="shared" si="11"/>
        <v>13.96666667</v>
      </c>
      <c r="V377" s="5">
        <f t="shared" si="12"/>
        <v>175561</v>
      </c>
    </row>
    <row r="378">
      <c r="A378" s="2">
        <v>41082.0</v>
      </c>
      <c r="B378" s="5">
        <v>0.0</v>
      </c>
      <c r="C378" s="5">
        <f t="shared" si="2"/>
        <v>300</v>
      </c>
      <c r="D378" s="5">
        <f t="shared" si="3"/>
        <v>274</v>
      </c>
      <c r="E378" s="5">
        <f t="shared" si="1"/>
        <v>281</v>
      </c>
      <c r="L378" s="5">
        <f t="shared" si="4"/>
        <v>-300</v>
      </c>
      <c r="M378" s="19">
        <f t="shared" si="5"/>
        <v>1</v>
      </c>
      <c r="N378" s="5">
        <f t="shared" si="6"/>
        <v>90000</v>
      </c>
      <c r="P378" s="5">
        <f t="shared" si="7"/>
        <v>-274</v>
      </c>
      <c r="Q378" s="19">
        <f t="shared" si="8"/>
        <v>1</v>
      </c>
      <c r="R378" s="5">
        <f t="shared" si="9"/>
        <v>75076</v>
      </c>
      <c r="T378" s="5">
        <f t="shared" si="10"/>
        <v>-281</v>
      </c>
      <c r="U378" s="19">
        <f t="shared" si="11"/>
        <v>1</v>
      </c>
      <c r="V378" s="5">
        <f t="shared" si="12"/>
        <v>78961</v>
      </c>
    </row>
    <row r="379">
      <c r="A379" s="2">
        <v>41085.0</v>
      </c>
      <c r="B379" s="5">
        <v>338.0</v>
      </c>
      <c r="C379" s="5">
        <f t="shared" si="2"/>
        <v>300</v>
      </c>
      <c r="D379" s="5">
        <f t="shared" si="3"/>
        <v>273</v>
      </c>
      <c r="E379" s="5">
        <f t="shared" si="1"/>
        <v>169</v>
      </c>
      <c r="L379" s="5">
        <f t="shared" si="4"/>
        <v>38</v>
      </c>
      <c r="M379" s="19">
        <f t="shared" si="5"/>
        <v>0.1124260355</v>
      </c>
      <c r="N379" s="5">
        <f t="shared" si="6"/>
        <v>1444</v>
      </c>
      <c r="P379" s="5">
        <f t="shared" si="7"/>
        <v>65</v>
      </c>
      <c r="Q379" s="19">
        <f t="shared" si="8"/>
        <v>0.1923076923</v>
      </c>
      <c r="R379" s="5">
        <f t="shared" si="9"/>
        <v>4225</v>
      </c>
      <c r="T379" s="5">
        <f t="shared" si="10"/>
        <v>169</v>
      </c>
      <c r="U379" s="19">
        <f t="shared" si="11"/>
        <v>0.5</v>
      </c>
      <c r="V379" s="5">
        <f t="shared" si="12"/>
        <v>28561</v>
      </c>
    </row>
    <row r="380">
      <c r="A380" s="2">
        <v>41086.0</v>
      </c>
      <c r="B380" s="5">
        <v>492.0</v>
      </c>
      <c r="C380" s="5">
        <f t="shared" si="2"/>
        <v>299</v>
      </c>
      <c r="D380" s="5">
        <f t="shared" si="3"/>
        <v>273</v>
      </c>
      <c r="E380" s="5">
        <f t="shared" si="1"/>
        <v>237</v>
      </c>
      <c r="L380" s="5">
        <f t="shared" si="4"/>
        <v>193</v>
      </c>
      <c r="M380" s="19">
        <f t="shared" si="5"/>
        <v>0.3922764228</v>
      </c>
      <c r="N380" s="5">
        <f t="shared" si="6"/>
        <v>37249</v>
      </c>
      <c r="P380" s="5">
        <f t="shared" si="7"/>
        <v>219</v>
      </c>
      <c r="Q380" s="19">
        <f t="shared" si="8"/>
        <v>0.4451219512</v>
      </c>
      <c r="R380" s="5">
        <f t="shared" si="9"/>
        <v>47961</v>
      </c>
      <c r="T380" s="5">
        <f t="shared" si="10"/>
        <v>255</v>
      </c>
      <c r="U380" s="19">
        <f t="shared" si="11"/>
        <v>0.5182926829</v>
      </c>
      <c r="V380" s="5">
        <f t="shared" si="12"/>
        <v>65025</v>
      </c>
    </row>
    <row r="381">
      <c r="A381" s="2">
        <v>41087.0</v>
      </c>
      <c r="B381" s="5">
        <v>388.0</v>
      </c>
      <c r="C381" s="5">
        <f t="shared" si="2"/>
        <v>290</v>
      </c>
      <c r="D381" s="5">
        <f t="shared" si="3"/>
        <v>274</v>
      </c>
      <c r="E381" s="5">
        <f t="shared" si="1"/>
        <v>339</v>
      </c>
      <c r="L381" s="5">
        <f t="shared" si="4"/>
        <v>98</v>
      </c>
      <c r="M381" s="19">
        <f t="shared" si="5"/>
        <v>0.2525773196</v>
      </c>
      <c r="N381" s="5">
        <f t="shared" si="6"/>
        <v>9604</v>
      </c>
      <c r="P381" s="5">
        <f t="shared" si="7"/>
        <v>114</v>
      </c>
      <c r="Q381" s="19">
        <f t="shared" si="8"/>
        <v>0.293814433</v>
      </c>
      <c r="R381" s="5">
        <f t="shared" si="9"/>
        <v>12996</v>
      </c>
      <c r="T381" s="5">
        <f t="shared" si="10"/>
        <v>49</v>
      </c>
      <c r="U381" s="19">
        <f t="shared" si="11"/>
        <v>0.1262886598</v>
      </c>
      <c r="V381" s="5">
        <f t="shared" si="12"/>
        <v>2401</v>
      </c>
    </row>
    <row r="382">
      <c r="A382" s="2">
        <v>41088.0</v>
      </c>
      <c r="B382" s="5">
        <v>31.0</v>
      </c>
      <c r="C382" s="5">
        <f t="shared" si="2"/>
        <v>250</v>
      </c>
      <c r="D382" s="5">
        <f t="shared" si="3"/>
        <v>274</v>
      </c>
      <c r="E382" s="5">
        <f t="shared" si="1"/>
        <v>359</v>
      </c>
      <c r="L382" s="5">
        <f t="shared" si="4"/>
        <v>-219</v>
      </c>
      <c r="M382" s="19">
        <f t="shared" si="5"/>
        <v>7.064516129</v>
      </c>
      <c r="N382" s="5">
        <f t="shared" si="6"/>
        <v>47961</v>
      </c>
      <c r="P382" s="5">
        <f t="shared" si="7"/>
        <v>-243</v>
      </c>
      <c r="Q382" s="19">
        <f t="shared" si="8"/>
        <v>7.838709677</v>
      </c>
      <c r="R382" s="5">
        <f t="shared" si="9"/>
        <v>59049</v>
      </c>
      <c r="T382" s="5">
        <f t="shared" si="10"/>
        <v>-328</v>
      </c>
      <c r="U382" s="19">
        <f t="shared" si="11"/>
        <v>10.58064516</v>
      </c>
      <c r="V382" s="5">
        <f t="shared" si="12"/>
        <v>107584</v>
      </c>
    </row>
    <row r="383">
      <c r="A383" s="2">
        <v>41089.0</v>
      </c>
      <c r="B383" s="5">
        <v>0.0</v>
      </c>
      <c r="C383" s="5">
        <f t="shared" si="2"/>
        <v>250</v>
      </c>
      <c r="D383" s="5">
        <f t="shared" si="3"/>
        <v>274</v>
      </c>
      <c r="E383" s="5">
        <f t="shared" si="1"/>
        <v>228</v>
      </c>
      <c r="L383" s="5">
        <f t="shared" si="4"/>
        <v>-250</v>
      </c>
      <c r="M383" s="19">
        <f t="shared" si="5"/>
        <v>1</v>
      </c>
      <c r="N383" s="5">
        <f t="shared" si="6"/>
        <v>62500</v>
      </c>
      <c r="P383" s="5">
        <f t="shared" si="7"/>
        <v>-274</v>
      </c>
      <c r="Q383" s="19">
        <f t="shared" si="8"/>
        <v>1</v>
      </c>
      <c r="R383" s="5">
        <f t="shared" si="9"/>
        <v>75076</v>
      </c>
      <c r="T383" s="5">
        <f t="shared" si="10"/>
        <v>-228</v>
      </c>
      <c r="U383" s="19">
        <f t="shared" si="11"/>
        <v>1</v>
      </c>
      <c r="V383" s="5">
        <f t="shared" si="12"/>
        <v>51984</v>
      </c>
    </row>
    <row r="384">
      <c r="A384" s="2">
        <v>41092.0</v>
      </c>
      <c r="B384" s="5">
        <v>391.0</v>
      </c>
      <c r="C384" s="5">
        <f t="shared" si="2"/>
        <v>250</v>
      </c>
      <c r="D384" s="5">
        <f t="shared" si="3"/>
        <v>273</v>
      </c>
      <c r="E384" s="5">
        <f t="shared" si="1"/>
        <v>137</v>
      </c>
      <c r="L384" s="5">
        <f t="shared" si="4"/>
        <v>141</v>
      </c>
      <c r="M384" s="19">
        <f t="shared" si="5"/>
        <v>0.3606138107</v>
      </c>
      <c r="N384" s="5">
        <f t="shared" si="6"/>
        <v>19881</v>
      </c>
      <c r="P384" s="5">
        <f t="shared" si="7"/>
        <v>118</v>
      </c>
      <c r="Q384" s="19">
        <f t="shared" si="8"/>
        <v>0.3017902813</v>
      </c>
      <c r="R384" s="5">
        <f t="shared" si="9"/>
        <v>13924</v>
      </c>
      <c r="T384" s="5">
        <f t="shared" si="10"/>
        <v>254</v>
      </c>
      <c r="U384" s="19">
        <f t="shared" si="11"/>
        <v>0.6496163683</v>
      </c>
      <c r="V384" s="5">
        <f t="shared" si="12"/>
        <v>64516</v>
      </c>
    </row>
    <row r="385">
      <c r="A385" s="2">
        <v>41093.0</v>
      </c>
      <c r="B385" s="5">
        <v>480.0</v>
      </c>
      <c r="C385" s="5">
        <f t="shared" si="2"/>
        <v>260</v>
      </c>
      <c r="D385" s="5">
        <f t="shared" si="3"/>
        <v>273</v>
      </c>
      <c r="E385" s="5">
        <f t="shared" si="1"/>
        <v>239</v>
      </c>
      <c r="L385" s="5">
        <f t="shared" si="4"/>
        <v>220</v>
      </c>
      <c r="M385" s="19">
        <f t="shared" si="5"/>
        <v>0.4583333333</v>
      </c>
      <c r="N385" s="5">
        <f t="shared" si="6"/>
        <v>48400</v>
      </c>
      <c r="P385" s="5">
        <f t="shared" si="7"/>
        <v>207</v>
      </c>
      <c r="Q385" s="19">
        <f t="shared" si="8"/>
        <v>0.43125</v>
      </c>
      <c r="R385" s="5">
        <f t="shared" si="9"/>
        <v>42849</v>
      </c>
      <c r="T385" s="5">
        <f t="shared" si="10"/>
        <v>241</v>
      </c>
      <c r="U385" s="19">
        <f t="shared" si="11"/>
        <v>0.5020833333</v>
      </c>
      <c r="V385" s="5">
        <f t="shared" si="12"/>
        <v>58081</v>
      </c>
    </row>
    <row r="386">
      <c r="A386" s="2">
        <v>41095.0</v>
      </c>
      <c r="B386" s="5">
        <v>480.0</v>
      </c>
      <c r="C386" s="5">
        <f t="shared" si="2"/>
        <v>258</v>
      </c>
      <c r="D386" s="5">
        <f t="shared" si="3"/>
        <v>274</v>
      </c>
      <c r="E386" s="5">
        <f t="shared" si="1"/>
        <v>335</v>
      </c>
      <c r="L386" s="5">
        <f t="shared" si="4"/>
        <v>222</v>
      </c>
      <c r="M386" s="19">
        <f t="shared" si="5"/>
        <v>0.4625</v>
      </c>
      <c r="N386" s="5">
        <f t="shared" si="6"/>
        <v>49284</v>
      </c>
      <c r="P386" s="5">
        <f t="shared" si="7"/>
        <v>206</v>
      </c>
      <c r="Q386" s="19">
        <f t="shared" si="8"/>
        <v>0.4291666667</v>
      </c>
      <c r="R386" s="5">
        <f t="shared" si="9"/>
        <v>42436</v>
      </c>
      <c r="T386" s="5">
        <f t="shared" si="10"/>
        <v>145</v>
      </c>
      <c r="U386" s="19">
        <f t="shared" si="11"/>
        <v>0.3020833333</v>
      </c>
      <c r="V386" s="5">
        <f t="shared" si="12"/>
        <v>21025</v>
      </c>
    </row>
    <row r="387">
      <c r="A387" s="2">
        <v>41096.0</v>
      </c>
      <c r="B387" s="5">
        <v>0.0</v>
      </c>
      <c r="C387" s="5">
        <f t="shared" si="2"/>
        <v>276</v>
      </c>
      <c r="D387" s="5">
        <f t="shared" si="3"/>
        <v>274</v>
      </c>
      <c r="E387" s="5">
        <f t="shared" si="1"/>
        <v>393</v>
      </c>
      <c r="L387" s="5">
        <f t="shared" si="4"/>
        <v>-276</v>
      </c>
      <c r="M387" s="19">
        <f t="shared" si="5"/>
        <v>1</v>
      </c>
      <c r="N387" s="5">
        <f t="shared" si="6"/>
        <v>76176</v>
      </c>
      <c r="P387" s="5">
        <f t="shared" si="7"/>
        <v>-274</v>
      </c>
      <c r="Q387" s="19">
        <f t="shared" si="8"/>
        <v>1</v>
      </c>
      <c r="R387" s="5">
        <f t="shared" si="9"/>
        <v>75076</v>
      </c>
      <c r="T387" s="5">
        <f t="shared" si="10"/>
        <v>-393</v>
      </c>
      <c r="U387" s="19">
        <f t="shared" si="11"/>
        <v>1</v>
      </c>
      <c r="V387" s="5">
        <f t="shared" si="12"/>
        <v>154449</v>
      </c>
    </row>
    <row r="388">
      <c r="A388" s="2">
        <v>41099.0</v>
      </c>
      <c r="B388" s="5">
        <v>111.0</v>
      </c>
      <c r="C388" s="5">
        <f t="shared" si="2"/>
        <v>270</v>
      </c>
      <c r="D388" s="5">
        <f t="shared" si="3"/>
        <v>274</v>
      </c>
      <c r="E388" s="5">
        <f t="shared" si="1"/>
        <v>236</v>
      </c>
      <c r="L388" s="5">
        <f t="shared" si="4"/>
        <v>-159</v>
      </c>
      <c r="M388" s="19">
        <f t="shared" si="5"/>
        <v>1.432432432</v>
      </c>
      <c r="N388" s="5">
        <f t="shared" si="6"/>
        <v>25281</v>
      </c>
      <c r="P388" s="5">
        <f t="shared" si="7"/>
        <v>-163</v>
      </c>
      <c r="Q388" s="19">
        <f t="shared" si="8"/>
        <v>1.468468468</v>
      </c>
      <c r="R388" s="5">
        <f t="shared" si="9"/>
        <v>26569</v>
      </c>
      <c r="T388" s="5">
        <f t="shared" si="10"/>
        <v>-125</v>
      </c>
      <c r="U388" s="19">
        <f t="shared" si="11"/>
        <v>1.126126126</v>
      </c>
      <c r="V388" s="5">
        <f t="shared" si="12"/>
        <v>15625</v>
      </c>
    </row>
    <row r="389">
      <c r="A389" s="2">
        <v>41100.0</v>
      </c>
      <c r="B389" s="5">
        <v>546.0</v>
      </c>
      <c r="C389" s="5">
        <f t="shared" si="2"/>
        <v>292</v>
      </c>
      <c r="D389" s="5">
        <f t="shared" si="3"/>
        <v>273</v>
      </c>
      <c r="E389" s="5">
        <f t="shared" si="1"/>
        <v>186</v>
      </c>
      <c r="L389" s="5">
        <f t="shared" si="4"/>
        <v>254</v>
      </c>
      <c r="M389" s="19">
        <f t="shared" si="5"/>
        <v>0.4652014652</v>
      </c>
      <c r="N389" s="5">
        <f t="shared" si="6"/>
        <v>64516</v>
      </c>
      <c r="P389" s="5">
        <f t="shared" si="7"/>
        <v>273</v>
      </c>
      <c r="Q389" s="19">
        <f t="shared" si="8"/>
        <v>0.5</v>
      </c>
      <c r="R389" s="5">
        <f t="shared" si="9"/>
        <v>74529</v>
      </c>
      <c r="T389" s="5">
        <f t="shared" si="10"/>
        <v>360</v>
      </c>
      <c r="U389" s="19">
        <f t="shared" si="11"/>
        <v>0.6593406593</v>
      </c>
      <c r="V389" s="5">
        <f t="shared" si="12"/>
        <v>129600</v>
      </c>
    </row>
    <row r="390">
      <c r="A390" s="2">
        <v>41101.0</v>
      </c>
      <c r="B390" s="5">
        <v>578.0</v>
      </c>
      <c r="C390" s="5">
        <f t="shared" si="2"/>
        <v>323</v>
      </c>
      <c r="D390" s="5">
        <f t="shared" si="3"/>
        <v>274</v>
      </c>
      <c r="E390" s="5">
        <f t="shared" si="1"/>
        <v>330</v>
      </c>
      <c r="L390" s="5">
        <f t="shared" si="4"/>
        <v>255</v>
      </c>
      <c r="M390" s="19">
        <f t="shared" si="5"/>
        <v>0.4411764706</v>
      </c>
      <c r="N390" s="5">
        <f t="shared" si="6"/>
        <v>65025</v>
      </c>
      <c r="P390" s="5">
        <f t="shared" si="7"/>
        <v>304</v>
      </c>
      <c r="Q390" s="19">
        <f t="shared" si="8"/>
        <v>0.5259515571</v>
      </c>
      <c r="R390" s="5">
        <f t="shared" si="9"/>
        <v>92416</v>
      </c>
      <c r="T390" s="5">
        <f t="shared" si="10"/>
        <v>248</v>
      </c>
      <c r="U390" s="19">
        <f t="shared" si="11"/>
        <v>0.4290657439</v>
      </c>
      <c r="V390" s="5">
        <f t="shared" si="12"/>
        <v>61504</v>
      </c>
    </row>
    <row r="391">
      <c r="A391" s="2">
        <v>41102.0</v>
      </c>
      <c r="B391" s="5">
        <v>0.0</v>
      </c>
      <c r="C391" s="5">
        <f t="shared" si="2"/>
        <v>343</v>
      </c>
      <c r="D391" s="5">
        <f t="shared" si="3"/>
        <v>275</v>
      </c>
      <c r="E391" s="5">
        <f t="shared" si="1"/>
        <v>429</v>
      </c>
      <c r="L391" s="5">
        <f t="shared" si="4"/>
        <v>-343</v>
      </c>
      <c r="M391" s="19">
        <f t="shared" si="5"/>
        <v>1</v>
      </c>
      <c r="N391" s="5">
        <f t="shared" si="6"/>
        <v>117649</v>
      </c>
      <c r="P391" s="5">
        <f t="shared" si="7"/>
        <v>-275</v>
      </c>
      <c r="Q391" s="19">
        <f t="shared" si="8"/>
        <v>1</v>
      </c>
      <c r="R391" s="5">
        <f t="shared" si="9"/>
        <v>75625</v>
      </c>
      <c r="T391" s="5">
        <f t="shared" si="10"/>
        <v>-429</v>
      </c>
      <c r="U391" s="19">
        <f t="shared" si="11"/>
        <v>1</v>
      </c>
      <c r="V391" s="5">
        <f t="shared" si="12"/>
        <v>184041</v>
      </c>
    </row>
    <row r="392">
      <c r="A392" s="2">
        <v>41103.0</v>
      </c>
      <c r="B392" s="5">
        <v>0.0</v>
      </c>
      <c r="C392" s="5">
        <f t="shared" si="2"/>
        <v>247</v>
      </c>
      <c r="D392" s="5">
        <f t="shared" si="3"/>
        <v>274</v>
      </c>
      <c r="E392" s="5">
        <f t="shared" si="1"/>
        <v>257</v>
      </c>
      <c r="L392" s="5">
        <f t="shared" si="4"/>
        <v>-247</v>
      </c>
      <c r="M392" s="19">
        <f t="shared" si="5"/>
        <v>1</v>
      </c>
      <c r="N392" s="5">
        <f t="shared" si="6"/>
        <v>61009</v>
      </c>
      <c r="P392" s="5">
        <f t="shared" si="7"/>
        <v>-274</v>
      </c>
      <c r="Q392" s="19">
        <f t="shared" si="8"/>
        <v>1</v>
      </c>
      <c r="R392" s="5">
        <f t="shared" si="9"/>
        <v>75076</v>
      </c>
      <c r="T392" s="5">
        <f t="shared" si="10"/>
        <v>-257</v>
      </c>
      <c r="U392" s="19">
        <f t="shared" si="11"/>
        <v>1</v>
      </c>
      <c r="V392" s="5">
        <f t="shared" si="12"/>
        <v>66049</v>
      </c>
    </row>
    <row r="393">
      <c r="A393" s="2">
        <v>41106.0</v>
      </c>
      <c r="B393" s="5">
        <v>368.0</v>
      </c>
      <c r="C393" s="5">
        <f t="shared" si="2"/>
        <v>247</v>
      </c>
      <c r="D393" s="5">
        <f t="shared" si="3"/>
        <v>273</v>
      </c>
      <c r="E393" s="5">
        <f t="shared" si="1"/>
        <v>154</v>
      </c>
      <c r="L393" s="5">
        <f t="shared" si="4"/>
        <v>121</v>
      </c>
      <c r="M393" s="19">
        <f t="shared" si="5"/>
        <v>0.3288043478</v>
      </c>
      <c r="N393" s="5">
        <f t="shared" si="6"/>
        <v>14641</v>
      </c>
      <c r="P393" s="5">
        <f t="shared" si="7"/>
        <v>95</v>
      </c>
      <c r="Q393" s="19">
        <f t="shared" si="8"/>
        <v>0.2581521739</v>
      </c>
      <c r="R393" s="5">
        <f t="shared" si="9"/>
        <v>9025</v>
      </c>
      <c r="T393" s="5">
        <f t="shared" si="10"/>
        <v>214</v>
      </c>
      <c r="U393" s="19">
        <f t="shared" si="11"/>
        <v>0.5815217391</v>
      </c>
      <c r="V393" s="5">
        <f t="shared" si="12"/>
        <v>45796</v>
      </c>
    </row>
    <row r="394">
      <c r="A394" s="2">
        <v>41107.0</v>
      </c>
      <c r="B394" s="5">
        <v>1213.0</v>
      </c>
      <c r="C394" s="5">
        <f t="shared" si="2"/>
        <v>298</v>
      </c>
      <c r="D394" s="5">
        <f t="shared" si="3"/>
        <v>274</v>
      </c>
      <c r="E394" s="5">
        <f t="shared" si="1"/>
        <v>240</v>
      </c>
      <c r="L394" s="5">
        <f t="shared" si="4"/>
        <v>915</v>
      </c>
      <c r="M394" s="19">
        <f t="shared" si="5"/>
        <v>0.7543281121</v>
      </c>
      <c r="N394" s="5">
        <f t="shared" si="6"/>
        <v>837225</v>
      </c>
      <c r="P394" s="5">
        <f t="shared" si="7"/>
        <v>939</v>
      </c>
      <c r="Q394" s="19">
        <f t="shared" si="8"/>
        <v>0.7741137675</v>
      </c>
      <c r="R394" s="5">
        <f t="shared" si="9"/>
        <v>881721</v>
      </c>
      <c r="T394" s="5">
        <f t="shared" si="10"/>
        <v>973</v>
      </c>
      <c r="U394" s="19">
        <f t="shared" si="11"/>
        <v>0.802143446</v>
      </c>
      <c r="V394" s="5">
        <f t="shared" si="12"/>
        <v>946729</v>
      </c>
    </row>
    <row r="395">
      <c r="A395" s="2">
        <v>41108.0</v>
      </c>
      <c r="B395" s="5">
        <v>12.0</v>
      </c>
      <c r="C395" s="5">
        <f t="shared" si="2"/>
        <v>432</v>
      </c>
      <c r="D395" s="5">
        <f t="shared" si="3"/>
        <v>276</v>
      </c>
      <c r="E395" s="5">
        <f t="shared" si="1"/>
        <v>629</v>
      </c>
      <c r="L395" s="5">
        <f t="shared" si="4"/>
        <v>-420</v>
      </c>
      <c r="M395" s="19">
        <f t="shared" si="5"/>
        <v>35</v>
      </c>
      <c r="N395" s="5">
        <f t="shared" si="6"/>
        <v>176400</v>
      </c>
      <c r="P395" s="5">
        <f t="shared" si="7"/>
        <v>-264</v>
      </c>
      <c r="Q395" s="19">
        <f t="shared" si="8"/>
        <v>22</v>
      </c>
      <c r="R395" s="5">
        <f t="shared" si="9"/>
        <v>69696</v>
      </c>
      <c r="T395" s="5">
        <f t="shared" si="10"/>
        <v>-617</v>
      </c>
      <c r="U395" s="19">
        <f t="shared" si="11"/>
        <v>51.41666667</v>
      </c>
      <c r="V395" s="5">
        <f t="shared" si="12"/>
        <v>380689</v>
      </c>
    </row>
    <row r="396">
      <c r="A396" s="2">
        <v>41109.0</v>
      </c>
      <c r="B396" s="5">
        <v>24.0</v>
      </c>
      <c r="C396" s="5">
        <f t="shared" si="2"/>
        <v>319</v>
      </c>
      <c r="D396" s="5">
        <f t="shared" si="3"/>
        <v>275</v>
      </c>
      <c r="E396" s="5">
        <f t="shared" si="1"/>
        <v>382</v>
      </c>
      <c r="L396" s="5">
        <f t="shared" si="4"/>
        <v>-295</v>
      </c>
      <c r="M396" s="19">
        <f t="shared" si="5"/>
        <v>12.29166667</v>
      </c>
      <c r="N396" s="5">
        <f t="shared" si="6"/>
        <v>87025</v>
      </c>
      <c r="P396" s="5">
        <f t="shared" si="7"/>
        <v>-251</v>
      </c>
      <c r="Q396" s="19">
        <f t="shared" si="8"/>
        <v>10.45833333</v>
      </c>
      <c r="R396" s="5">
        <f t="shared" si="9"/>
        <v>63001</v>
      </c>
      <c r="T396" s="5">
        <f t="shared" si="10"/>
        <v>-358</v>
      </c>
      <c r="U396" s="19">
        <f t="shared" si="11"/>
        <v>14.91666667</v>
      </c>
      <c r="V396" s="5">
        <f t="shared" si="12"/>
        <v>128164</v>
      </c>
    </row>
    <row r="397">
      <c r="A397" s="2">
        <v>41110.0</v>
      </c>
      <c r="B397" s="5">
        <v>0.0</v>
      </c>
      <c r="C397" s="5">
        <f t="shared" si="2"/>
        <v>323</v>
      </c>
      <c r="D397" s="5">
        <f t="shared" si="3"/>
        <v>275</v>
      </c>
      <c r="E397" s="5">
        <f t="shared" si="1"/>
        <v>239</v>
      </c>
      <c r="L397" s="5">
        <f t="shared" si="4"/>
        <v>-323</v>
      </c>
      <c r="M397" s="19">
        <f t="shared" si="5"/>
        <v>1</v>
      </c>
      <c r="N397" s="5">
        <f t="shared" si="6"/>
        <v>104329</v>
      </c>
      <c r="P397" s="5">
        <f t="shared" si="7"/>
        <v>-275</v>
      </c>
      <c r="Q397" s="19">
        <f t="shared" si="8"/>
        <v>1</v>
      </c>
      <c r="R397" s="5">
        <f t="shared" si="9"/>
        <v>75625</v>
      </c>
      <c r="T397" s="5">
        <f t="shared" si="10"/>
        <v>-239</v>
      </c>
      <c r="U397" s="19">
        <f t="shared" si="11"/>
        <v>1</v>
      </c>
      <c r="V397" s="5">
        <f t="shared" si="12"/>
        <v>57121</v>
      </c>
    </row>
    <row r="398">
      <c r="A398" s="2">
        <v>41113.0</v>
      </c>
      <c r="B398" s="5">
        <v>258.0</v>
      </c>
      <c r="C398" s="5">
        <f t="shared" si="2"/>
        <v>323</v>
      </c>
      <c r="D398" s="5">
        <f t="shared" si="3"/>
        <v>274</v>
      </c>
      <c r="E398" s="5">
        <f t="shared" si="1"/>
        <v>143</v>
      </c>
      <c r="L398" s="5">
        <f t="shared" si="4"/>
        <v>-65</v>
      </c>
      <c r="M398" s="19">
        <f t="shared" si="5"/>
        <v>0.2519379845</v>
      </c>
      <c r="N398" s="5">
        <f t="shared" si="6"/>
        <v>4225</v>
      </c>
      <c r="P398" s="5">
        <f t="shared" si="7"/>
        <v>-16</v>
      </c>
      <c r="Q398" s="19">
        <f t="shared" si="8"/>
        <v>0.06201550388</v>
      </c>
      <c r="R398" s="5">
        <f t="shared" si="9"/>
        <v>256</v>
      </c>
      <c r="T398" s="5">
        <f t="shared" si="10"/>
        <v>115</v>
      </c>
      <c r="U398" s="19">
        <f t="shared" si="11"/>
        <v>0.4457364341</v>
      </c>
      <c r="V398" s="5">
        <f t="shared" si="12"/>
        <v>13225</v>
      </c>
    </row>
    <row r="399">
      <c r="A399" s="2">
        <v>41114.0</v>
      </c>
      <c r="B399" s="5">
        <v>482.0</v>
      </c>
      <c r="C399" s="5">
        <f t="shared" si="2"/>
        <v>301</v>
      </c>
      <c r="D399" s="5">
        <f t="shared" si="3"/>
        <v>274</v>
      </c>
      <c r="E399" s="5">
        <f t="shared" si="1"/>
        <v>189</v>
      </c>
      <c r="L399" s="5">
        <f t="shared" si="4"/>
        <v>181</v>
      </c>
      <c r="M399" s="19">
        <f t="shared" si="5"/>
        <v>0.3755186722</v>
      </c>
      <c r="N399" s="5">
        <f t="shared" si="6"/>
        <v>32761</v>
      </c>
      <c r="P399" s="5">
        <f t="shared" si="7"/>
        <v>208</v>
      </c>
      <c r="Q399" s="19">
        <f t="shared" si="8"/>
        <v>0.4315352697</v>
      </c>
      <c r="R399" s="5">
        <f t="shared" si="9"/>
        <v>43264</v>
      </c>
      <c r="T399" s="5">
        <f t="shared" si="10"/>
        <v>293</v>
      </c>
      <c r="U399" s="19">
        <f t="shared" si="11"/>
        <v>0.6078838174</v>
      </c>
      <c r="V399" s="5">
        <f t="shared" si="12"/>
        <v>85849</v>
      </c>
    </row>
    <row r="400">
      <c r="A400" s="2">
        <v>41115.0</v>
      </c>
      <c r="B400" s="5">
        <v>396.0</v>
      </c>
      <c r="C400" s="5">
        <f t="shared" si="2"/>
        <v>155</v>
      </c>
      <c r="D400" s="5">
        <f t="shared" si="3"/>
        <v>274</v>
      </c>
      <c r="E400" s="5">
        <f t="shared" si="1"/>
        <v>306</v>
      </c>
      <c r="L400" s="5">
        <f t="shared" si="4"/>
        <v>241</v>
      </c>
      <c r="M400" s="19">
        <f t="shared" si="5"/>
        <v>0.6085858586</v>
      </c>
      <c r="N400" s="5">
        <f t="shared" si="6"/>
        <v>58081</v>
      </c>
      <c r="P400" s="5">
        <f t="shared" si="7"/>
        <v>122</v>
      </c>
      <c r="Q400" s="19">
        <f t="shared" si="8"/>
        <v>0.3080808081</v>
      </c>
      <c r="R400" s="5">
        <f t="shared" si="9"/>
        <v>14884</v>
      </c>
      <c r="T400" s="5">
        <f t="shared" si="10"/>
        <v>90</v>
      </c>
      <c r="U400" s="19">
        <f t="shared" si="11"/>
        <v>0.2272727273</v>
      </c>
      <c r="V400" s="5">
        <f t="shared" si="12"/>
        <v>8100</v>
      </c>
    </row>
    <row r="401">
      <c r="A401" s="2">
        <v>41116.0</v>
      </c>
      <c r="B401" s="5">
        <v>28.0</v>
      </c>
      <c r="C401" s="5">
        <f t="shared" si="2"/>
        <v>232</v>
      </c>
      <c r="D401" s="5">
        <f t="shared" si="3"/>
        <v>275</v>
      </c>
      <c r="E401" s="5">
        <f t="shared" si="1"/>
        <v>342</v>
      </c>
      <c r="L401" s="5">
        <f t="shared" si="4"/>
        <v>-204</v>
      </c>
      <c r="M401" s="19">
        <f t="shared" si="5"/>
        <v>7.285714286</v>
      </c>
      <c r="N401" s="5">
        <f t="shared" si="6"/>
        <v>41616</v>
      </c>
      <c r="P401" s="5">
        <f t="shared" si="7"/>
        <v>-247</v>
      </c>
      <c r="Q401" s="19">
        <f t="shared" si="8"/>
        <v>8.821428571</v>
      </c>
      <c r="R401" s="5">
        <f t="shared" si="9"/>
        <v>61009</v>
      </c>
      <c r="T401" s="5">
        <f t="shared" si="10"/>
        <v>-314</v>
      </c>
      <c r="U401" s="19">
        <f t="shared" si="11"/>
        <v>11.21428571</v>
      </c>
      <c r="V401" s="5">
        <f t="shared" si="12"/>
        <v>98596</v>
      </c>
    </row>
    <row r="402">
      <c r="A402" s="2">
        <v>41117.0</v>
      </c>
      <c r="B402" s="5">
        <v>0.0</v>
      </c>
      <c r="C402" s="5">
        <f t="shared" si="2"/>
        <v>233</v>
      </c>
      <c r="D402" s="5">
        <f t="shared" si="3"/>
        <v>274</v>
      </c>
      <c r="E402" s="5">
        <f t="shared" si="1"/>
        <v>216</v>
      </c>
      <c r="L402" s="5">
        <f t="shared" si="4"/>
        <v>-233</v>
      </c>
      <c r="M402" s="19">
        <f t="shared" si="5"/>
        <v>1</v>
      </c>
      <c r="N402" s="5">
        <f t="shared" si="6"/>
        <v>54289</v>
      </c>
      <c r="P402" s="5">
        <f t="shared" si="7"/>
        <v>-274</v>
      </c>
      <c r="Q402" s="19">
        <f t="shared" si="8"/>
        <v>1</v>
      </c>
      <c r="R402" s="5">
        <f t="shared" si="9"/>
        <v>75076</v>
      </c>
      <c r="T402" s="5">
        <f t="shared" si="10"/>
        <v>-216</v>
      </c>
      <c r="U402" s="19">
        <f t="shared" si="11"/>
        <v>1</v>
      </c>
      <c r="V402" s="5">
        <f t="shared" si="12"/>
        <v>46656</v>
      </c>
    </row>
    <row r="403">
      <c r="A403" s="2">
        <v>41120.0</v>
      </c>
      <c r="B403" s="5">
        <v>463.0</v>
      </c>
      <c r="C403" s="5">
        <f t="shared" si="2"/>
        <v>233</v>
      </c>
      <c r="D403" s="5">
        <f t="shared" si="3"/>
        <v>273</v>
      </c>
      <c r="E403" s="5">
        <f t="shared" si="1"/>
        <v>130</v>
      </c>
      <c r="L403" s="5">
        <f t="shared" si="4"/>
        <v>230</v>
      </c>
      <c r="M403" s="19">
        <f t="shared" si="5"/>
        <v>0.4967602592</v>
      </c>
      <c r="N403" s="5">
        <f t="shared" si="6"/>
        <v>52900</v>
      </c>
      <c r="P403" s="5">
        <f t="shared" si="7"/>
        <v>190</v>
      </c>
      <c r="Q403" s="19">
        <f t="shared" si="8"/>
        <v>0.4103671706</v>
      </c>
      <c r="R403" s="5">
        <f t="shared" si="9"/>
        <v>36100</v>
      </c>
      <c r="T403" s="5">
        <f t="shared" si="10"/>
        <v>333</v>
      </c>
      <c r="U403" s="19">
        <f t="shared" si="11"/>
        <v>0.7192224622</v>
      </c>
      <c r="V403" s="5">
        <f t="shared" si="12"/>
        <v>110889</v>
      </c>
    </row>
    <row r="404">
      <c r="A404" s="2">
        <v>41121.0</v>
      </c>
      <c r="B404" s="5">
        <v>0.0</v>
      </c>
      <c r="C404" s="5">
        <f t="shared" si="2"/>
        <v>274</v>
      </c>
      <c r="D404" s="5">
        <f t="shared" si="3"/>
        <v>274</v>
      </c>
      <c r="E404" s="5">
        <f t="shared" si="1"/>
        <v>263</v>
      </c>
      <c r="L404" s="5">
        <f t="shared" si="4"/>
        <v>-274</v>
      </c>
      <c r="M404" s="19">
        <f t="shared" si="5"/>
        <v>1</v>
      </c>
      <c r="N404" s="5">
        <f t="shared" si="6"/>
        <v>75076</v>
      </c>
      <c r="P404" s="5">
        <f t="shared" si="7"/>
        <v>-274</v>
      </c>
      <c r="Q404" s="19">
        <f t="shared" si="8"/>
        <v>1</v>
      </c>
      <c r="R404" s="5">
        <f t="shared" si="9"/>
        <v>75076</v>
      </c>
      <c r="T404" s="5">
        <f t="shared" si="10"/>
        <v>-263</v>
      </c>
      <c r="U404" s="19">
        <f t="shared" si="11"/>
        <v>1</v>
      </c>
      <c r="V404" s="5">
        <f t="shared" si="12"/>
        <v>69169</v>
      </c>
    </row>
    <row r="405">
      <c r="A405" s="2">
        <v>41122.0</v>
      </c>
      <c r="B405" s="5">
        <v>915.0</v>
      </c>
      <c r="C405" s="5">
        <f t="shared" si="2"/>
        <v>177</v>
      </c>
      <c r="D405" s="5">
        <f t="shared" si="3"/>
        <v>273</v>
      </c>
      <c r="E405" s="5">
        <f t="shared" si="1"/>
        <v>158</v>
      </c>
      <c r="L405" s="5">
        <f t="shared" si="4"/>
        <v>738</v>
      </c>
      <c r="M405" s="19">
        <f t="shared" si="5"/>
        <v>0.806557377</v>
      </c>
      <c r="N405" s="5">
        <f t="shared" si="6"/>
        <v>544644</v>
      </c>
      <c r="P405" s="5">
        <f t="shared" si="7"/>
        <v>642</v>
      </c>
      <c r="Q405" s="19">
        <f t="shared" si="8"/>
        <v>0.7016393443</v>
      </c>
      <c r="R405" s="5">
        <f t="shared" si="9"/>
        <v>412164</v>
      </c>
      <c r="T405" s="5">
        <f t="shared" si="10"/>
        <v>757</v>
      </c>
      <c r="U405" s="19">
        <f t="shared" si="11"/>
        <v>0.8273224044</v>
      </c>
      <c r="V405" s="5">
        <f t="shared" si="12"/>
        <v>573049</v>
      </c>
    </row>
    <row r="406">
      <c r="A406" s="2">
        <v>41123.0</v>
      </c>
      <c r="B406" s="5">
        <v>0.0</v>
      </c>
      <c r="C406" s="5">
        <f t="shared" si="2"/>
        <v>281</v>
      </c>
      <c r="D406" s="5">
        <f t="shared" si="3"/>
        <v>275</v>
      </c>
      <c r="E406" s="5">
        <f t="shared" si="1"/>
        <v>461</v>
      </c>
      <c r="L406" s="5">
        <f t="shared" si="4"/>
        <v>-281</v>
      </c>
      <c r="M406" s="19">
        <f t="shared" si="5"/>
        <v>1</v>
      </c>
      <c r="N406" s="5">
        <f t="shared" si="6"/>
        <v>78961</v>
      </c>
      <c r="P406" s="5">
        <f t="shared" si="7"/>
        <v>-275</v>
      </c>
      <c r="Q406" s="19">
        <f t="shared" si="8"/>
        <v>1</v>
      </c>
      <c r="R406" s="5">
        <f t="shared" si="9"/>
        <v>75625</v>
      </c>
      <c r="T406" s="5">
        <f t="shared" si="10"/>
        <v>-461</v>
      </c>
      <c r="U406" s="19">
        <f t="shared" si="11"/>
        <v>1</v>
      </c>
      <c r="V406" s="5">
        <f t="shared" si="12"/>
        <v>212521</v>
      </c>
    </row>
    <row r="407">
      <c r="A407" s="2">
        <v>41124.0</v>
      </c>
      <c r="B407" s="5">
        <v>0.0</v>
      </c>
      <c r="C407" s="5">
        <f t="shared" si="2"/>
        <v>276</v>
      </c>
      <c r="D407" s="5">
        <f t="shared" si="3"/>
        <v>274</v>
      </c>
      <c r="E407" s="5">
        <f t="shared" si="1"/>
        <v>277</v>
      </c>
      <c r="L407" s="5">
        <f t="shared" si="4"/>
        <v>-276</v>
      </c>
      <c r="M407" s="19">
        <f t="shared" si="5"/>
        <v>1</v>
      </c>
      <c r="N407" s="5">
        <f t="shared" si="6"/>
        <v>76176</v>
      </c>
      <c r="P407" s="5">
        <f t="shared" si="7"/>
        <v>-274</v>
      </c>
      <c r="Q407" s="19">
        <f t="shared" si="8"/>
        <v>1</v>
      </c>
      <c r="R407" s="5">
        <f t="shared" si="9"/>
        <v>75076</v>
      </c>
      <c r="T407" s="5">
        <f t="shared" si="10"/>
        <v>-277</v>
      </c>
      <c r="U407" s="19">
        <f t="shared" si="11"/>
        <v>1</v>
      </c>
      <c r="V407" s="5">
        <f t="shared" si="12"/>
        <v>76729</v>
      </c>
    </row>
    <row r="408">
      <c r="A408" s="2">
        <v>41127.0</v>
      </c>
      <c r="B408" s="5">
        <v>228.0</v>
      </c>
      <c r="C408" s="5">
        <f t="shared" si="2"/>
        <v>276</v>
      </c>
      <c r="D408" s="5">
        <f t="shared" si="3"/>
        <v>273</v>
      </c>
      <c r="E408" s="5">
        <f t="shared" si="1"/>
        <v>166</v>
      </c>
      <c r="L408" s="5">
        <f t="shared" si="4"/>
        <v>-48</v>
      </c>
      <c r="M408" s="19">
        <f t="shared" si="5"/>
        <v>0.2105263158</v>
      </c>
      <c r="N408" s="5">
        <f t="shared" si="6"/>
        <v>2304</v>
      </c>
      <c r="P408" s="5">
        <f t="shared" si="7"/>
        <v>-45</v>
      </c>
      <c r="Q408" s="19">
        <f t="shared" si="8"/>
        <v>0.1973684211</v>
      </c>
      <c r="R408" s="5">
        <f t="shared" si="9"/>
        <v>2025</v>
      </c>
      <c r="T408" s="5">
        <f t="shared" si="10"/>
        <v>62</v>
      </c>
      <c r="U408" s="19">
        <f t="shared" si="11"/>
        <v>0.2719298246</v>
      </c>
      <c r="V408" s="5">
        <f t="shared" si="12"/>
        <v>3844</v>
      </c>
    </row>
    <row r="409">
      <c r="A409" s="2">
        <v>41128.0</v>
      </c>
      <c r="B409" s="5">
        <v>270.0</v>
      </c>
      <c r="C409" s="5">
        <f t="shared" si="2"/>
        <v>229</v>
      </c>
      <c r="D409" s="5">
        <f t="shared" si="3"/>
        <v>273</v>
      </c>
      <c r="E409" s="5">
        <f t="shared" si="1"/>
        <v>191</v>
      </c>
      <c r="L409" s="5">
        <f t="shared" si="4"/>
        <v>41</v>
      </c>
      <c r="M409" s="19">
        <f t="shared" si="5"/>
        <v>0.1518518519</v>
      </c>
      <c r="N409" s="5">
        <f t="shared" si="6"/>
        <v>1681</v>
      </c>
      <c r="P409" s="5">
        <f t="shared" si="7"/>
        <v>-3</v>
      </c>
      <c r="Q409" s="19">
        <f t="shared" si="8"/>
        <v>0.01111111111</v>
      </c>
      <c r="R409" s="5">
        <f t="shared" si="9"/>
        <v>9</v>
      </c>
      <c r="T409" s="5">
        <f t="shared" si="10"/>
        <v>79</v>
      </c>
      <c r="U409" s="19">
        <f t="shared" si="11"/>
        <v>0.2925925926</v>
      </c>
      <c r="V409" s="5">
        <f t="shared" si="12"/>
        <v>6241</v>
      </c>
    </row>
    <row r="410">
      <c r="A410" s="2">
        <v>41129.0</v>
      </c>
      <c r="B410" s="5">
        <v>666.0</v>
      </c>
      <c r="C410" s="5">
        <f t="shared" si="2"/>
        <v>283</v>
      </c>
      <c r="D410" s="5">
        <f t="shared" si="3"/>
        <v>273</v>
      </c>
      <c r="E410" s="5">
        <f t="shared" si="1"/>
        <v>223</v>
      </c>
      <c r="L410" s="5">
        <f t="shared" si="4"/>
        <v>383</v>
      </c>
      <c r="M410" s="19">
        <f t="shared" si="5"/>
        <v>0.5750750751</v>
      </c>
      <c r="N410" s="5">
        <f t="shared" si="6"/>
        <v>146689</v>
      </c>
      <c r="P410" s="5">
        <f t="shared" si="7"/>
        <v>393</v>
      </c>
      <c r="Q410" s="19">
        <f t="shared" si="8"/>
        <v>0.5900900901</v>
      </c>
      <c r="R410" s="5">
        <f t="shared" si="9"/>
        <v>154449</v>
      </c>
      <c r="T410" s="5">
        <f t="shared" si="10"/>
        <v>443</v>
      </c>
      <c r="U410" s="19">
        <f t="shared" si="11"/>
        <v>0.6651651652</v>
      </c>
      <c r="V410" s="5">
        <f t="shared" si="12"/>
        <v>196249</v>
      </c>
    </row>
    <row r="411">
      <c r="A411" s="2">
        <v>41130.0</v>
      </c>
      <c r="B411" s="5">
        <v>24.0</v>
      </c>
      <c r="C411" s="5">
        <f t="shared" si="2"/>
        <v>233</v>
      </c>
      <c r="D411" s="5">
        <f t="shared" si="3"/>
        <v>274</v>
      </c>
      <c r="E411" s="5">
        <f t="shared" si="1"/>
        <v>400</v>
      </c>
      <c r="L411" s="5">
        <f t="shared" si="4"/>
        <v>-209</v>
      </c>
      <c r="M411" s="19">
        <f t="shared" si="5"/>
        <v>8.708333333</v>
      </c>
      <c r="N411" s="5">
        <f t="shared" si="6"/>
        <v>43681</v>
      </c>
      <c r="P411" s="5">
        <f t="shared" si="7"/>
        <v>-250</v>
      </c>
      <c r="Q411" s="19">
        <f t="shared" si="8"/>
        <v>10.41666667</v>
      </c>
      <c r="R411" s="5">
        <f t="shared" si="9"/>
        <v>62500</v>
      </c>
      <c r="T411" s="5">
        <f t="shared" si="10"/>
        <v>-376</v>
      </c>
      <c r="U411" s="19">
        <f t="shared" si="11"/>
        <v>15.66666667</v>
      </c>
      <c r="V411" s="5">
        <f t="shared" si="12"/>
        <v>141376</v>
      </c>
    </row>
    <row r="412">
      <c r="A412" s="2">
        <v>41131.0</v>
      </c>
      <c r="B412" s="5">
        <v>0.0</v>
      </c>
      <c r="C412" s="5">
        <f t="shared" si="2"/>
        <v>238</v>
      </c>
      <c r="D412" s="5">
        <f t="shared" si="3"/>
        <v>274</v>
      </c>
      <c r="E412" s="5">
        <f t="shared" si="1"/>
        <v>250</v>
      </c>
      <c r="L412" s="5">
        <f t="shared" si="4"/>
        <v>-238</v>
      </c>
      <c r="M412" s="19">
        <f t="shared" si="5"/>
        <v>1</v>
      </c>
      <c r="N412" s="5">
        <f t="shared" si="6"/>
        <v>56644</v>
      </c>
      <c r="P412" s="5">
        <f t="shared" si="7"/>
        <v>-274</v>
      </c>
      <c r="Q412" s="19">
        <f t="shared" si="8"/>
        <v>1</v>
      </c>
      <c r="R412" s="5">
        <f t="shared" si="9"/>
        <v>75076</v>
      </c>
      <c r="T412" s="5">
        <f t="shared" si="10"/>
        <v>-250</v>
      </c>
      <c r="U412" s="19">
        <f t="shared" si="11"/>
        <v>1</v>
      </c>
      <c r="V412" s="5">
        <f t="shared" si="12"/>
        <v>62500</v>
      </c>
    </row>
    <row r="413">
      <c r="A413" s="2">
        <v>41134.0</v>
      </c>
      <c r="B413" s="5">
        <v>294.0</v>
      </c>
      <c r="C413" s="5">
        <f t="shared" si="2"/>
        <v>238</v>
      </c>
      <c r="D413" s="5">
        <f t="shared" si="3"/>
        <v>273</v>
      </c>
      <c r="E413" s="5">
        <f t="shared" si="1"/>
        <v>150</v>
      </c>
      <c r="L413" s="5">
        <f t="shared" si="4"/>
        <v>56</v>
      </c>
      <c r="M413" s="19">
        <f t="shared" si="5"/>
        <v>0.1904761905</v>
      </c>
      <c r="N413" s="5">
        <f t="shared" si="6"/>
        <v>3136</v>
      </c>
      <c r="P413" s="5">
        <f t="shared" si="7"/>
        <v>21</v>
      </c>
      <c r="Q413" s="19">
        <f t="shared" si="8"/>
        <v>0.07142857143</v>
      </c>
      <c r="R413" s="5">
        <f t="shared" si="9"/>
        <v>441</v>
      </c>
      <c r="T413" s="5">
        <f t="shared" si="10"/>
        <v>144</v>
      </c>
      <c r="U413" s="19">
        <f t="shared" si="11"/>
        <v>0.4897959184</v>
      </c>
      <c r="V413" s="5">
        <f t="shared" si="12"/>
        <v>20736</v>
      </c>
    </row>
    <row r="414">
      <c r="A414" s="2">
        <v>41135.0</v>
      </c>
      <c r="B414" s="5">
        <v>440.0</v>
      </c>
      <c r="C414" s="5">
        <f t="shared" si="2"/>
        <v>251</v>
      </c>
      <c r="D414" s="5">
        <f t="shared" si="3"/>
        <v>273</v>
      </c>
      <c r="E414" s="5">
        <f t="shared" si="1"/>
        <v>208</v>
      </c>
      <c r="L414" s="5">
        <f t="shared" si="4"/>
        <v>189</v>
      </c>
      <c r="M414" s="19">
        <f t="shared" si="5"/>
        <v>0.4295454545</v>
      </c>
      <c r="N414" s="5">
        <f t="shared" si="6"/>
        <v>35721</v>
      </c>
      <c r="P414" s="5">
        <f t="shared" si="7"/>
        <v>167</v>
      </c>
      <c r="Q414" s="19">
        <f t="shared" si="8"/>
        <v>0.3795454545</v>
      </c>
      <c r="R414" s="5">
        <f t="shared" si="9"/>
        <v>27889</v>
      </c>
      <c r="T414" s="5">
        <f t="shared" si="10"/>
        <v>232</v>
      </c>
      <c r="U414" s="19">
        <f t="shared" si="11"/>
        <v>0.5272727273</v>
      </c>
      <c r="V414" s="5">
        <f t="shared" si="12"/>
        <v>53824</v>
      </c>
    </row>
    <row r="415">
      <c r="A415" s="2">
        <v>41136.0</v>
      </c>
      <c r="B415" s="5">
        <v>528.0</v>
      </c>
      <c r="C415" s="5">
        <f t="shared" si="2"/>
        <v>285</v>
      </c>
      <c r="D415" s="5">
        <f t="shared" si="3"/>
        <v>273</v>
      </c>
      <c r="E415" s="5">
        <f t="shared" si="1"/>
        <v>301</v>
      </c>
      <c r="L415" s="5">
        <f t="shared" si="4"/>
        <v>243</v>
      </c>
      <c r="M415" s="19">
        <f t="shared" si="5"/>
        <v>0.4602272727</v>
      </c>
      <c r="N415" s="5">
        <f t="shared" si="6"/>
        <v>59049</v>
      </c>
      <c r="P415" s="5">
        <f t="shared" si="7"/>
        <v>255</v>
      </c>
      <c r="Q415" s="19">
        <f t="shared" si="8"/>
        <v>0.4829545455</v>
      </c>
      <c r="R415" s="5">
        <f t="shared" si="9"/>
        <v>65025</v>
      </c>
      <c r="T415" s="5">
        <f t="shared" si="10"/>
        <v>227</v>
      </c>
      <c r="U415" s="19">
        <f t="shared" si="11"/>
        <v>0.4299242424</v>
      </c>
      <c r="V415" s="5">
        <f t="shared" si="12"/>
        <v>51529</v>
      </c>
    </row>
    <row r="416">
      <c r="A416" s="2">
        <v>41137.0</v>
      </c>
      <c r="B416" s="5">
        <v>12.0</v>
      </c>
      <c r="C416" s="5">
        <f t="shared" si="2"/>
        <v>257</v>
      </c>
      <c r="D416" s="5">
        <f t="shared" si="3"/>
        <v>274</v>
      </c>
      <c r="E416" s="5">
        <f t="shared" si="1"/>
        <v>392</v>
      </c>
      <c r="L416" s="5">
        <f t="shared" si="4"/>
        <v>-245</v>
      </c>
      <c r="M416" s="19">
        <f t="shared" si="5"/>
        <v>20.41666667</v>
      </c>
      <c r="N416" s="5">
        <f t="shared" si="6"/>
        <v>60025</v>
      </c>
      <c r="P416" s="5">
        <f t="shared" si="7"/>
        <v>-262</v>
      </c>
      <c r="Q416" s="19">
        <f t="shared" si="8"/>
        <v>21.83333333</v>
      </c>
      <c r="R416" s="5">
        <f t="shared" si="9"/>
        <v>68644</v>
      </c>
      <c r="T416" s="5">
        <f t="shared" si="10"/>
        <v>-380</v>
      </c>
      <c r="U416" s="19">
        <f t="shared" si="11"/>
        <v>31.66666667</v>
      </c>
      <c r="V416" s="5">
        <f t="shared" si="12"/>
        <v>144400</v>
      </c>
    </row>
    <row r="417">
      <c r="A417" s="2">
        <v>41138.0</v>
      </c>
      <c r="B417" s="5">
        <v>0.0</v>
      </c>
      <c r="C417" s="5">
        <f t="shared" si="2"/>
        <v>255</v>
      </c>
      <c r="D417" s="5">
        <f t="shared" si="3"/>
        <v>273</v>
      </c>
      <c r="E417" s="5">
        <f t="shared" si="1"/>
        <v>240</v>
      </c>
      <c r="L417" s="5">
        <f t="shared" si="4"/>
        <v>-255</v>
      </c>
      <c r="M417" s="19">
        <f t="shared" si="5"/>
        <v>1</v>
      </c>
      <c r="N417" s="5">
        <f t="shared" si="6"/>
        <v>65025</v>
      </c>
      <c r="P417" s="5">
        <f t="shared" si="7"/>
        <v>-273</v>
      </c>
      <c r="Q417" s="19">
        <f t="shared" si="8"/>
        <v>1</v>
      </c>
      <c r="R417" s="5">
        <f t="shared" si="9"/>
        <v>74529</v>
      </c>
      <c r="T417" s="5">
        <f t="shared" si="10"/>
        <v>-240</v>
      </c>
      <c r="U417" s="19">
        <f t="shared" si="11"/>
        <v>1</v>
      </c>
      <c r="V417" s="5">
        <f t="shared" si="12"/>
        <v>57600</v>
      </c>
    </row>
    <row r="418">
      <c r="A418" s="2">
        <v>41141.0</v>
      </c>
      <c r="B418" s="5">
        <v>360.0</v>
      </c>
      <c r="C418" s="5">
        <f t="shared" si="2"/>
        <v>255</v>
      </c>
      <c r="D418" s="5">
        <f t="shared" si="3"/>
        <v>273</v>
      </c>
      <c r="E418" s="5">
        <f t="shared" si="1"/>
        <v>144</v>
      </c>
      <c r="L418" s="5">
        <f t="shared" si="4"/>
        <v>105</v>
      </c>
      <c r="M418" s="19">
        <f t="shared" si="5"/>
        <v>0.2916666667</v>
      </c>
      <c r="N418" s="5">
        <f t="shared" si="6"/>
        <v>11025</v>
      </c>
      <c r="P418" s="5">
        <f t="shared" si="7"/>
        <v>87</v>
      </c>
      <c r="Q418" s="19">
        <f t="shared" si="8"/>
        <v>0.2416666667</v>
      </c>
      <c r="R418" s="5">
        <f t="shared" si="9"/>
        <v>7569</v>
      </c>
      <c r="T418" s="5">
        <f t="shared" si="10"/>
        <v>216</v>
      </c>
      <c r="U418" s="19">
        <f t="shared" si="11"/>
        <v>0.6</v>
      </c>
      <c r="V418" s="5">
        <f t="shared" si="12"/>
        <v>46656</v>
      </c>
    </row>
    <row r="419">
      <c r="A419" s="2">
        <v>41142.0</v>
      </c>
      <c r="B419" s="5">
        <v>164.0</v>
      </c>
      <c r="C419" s="5">
        <f t="shared" si="2"/>
        <v>268</v>
      </c>
      <c r="D419" s="5">
        <f t="shared" si="3"/>
        <v>273</v>
      </c>
      <c r="E419" s="5">
        <f t="shared" si="1"/>
        <v>230</v>
      </c>
      <c r="L419" s="5">
        <f t="shared" si="4"/>
        <v>-104</v>
      </c>
      <c r="M419" s="19">
        <f t="shared" si="5"/>
        <v>0.6341463415</v>
      </c>
      <c r="N419" s="5">
        <f t="shared" si="6"/>
        <v>10816</v>
      </c>
      <c r="P419" s="5">
        <f t="shared" si="7"/>
        <v>-109</v>
      </c>
      <c r="Q419" s="19">
        <f t="shared" si="8"/>
        <v>0.6646341463</v>
      </c>
      <c r="R419" s="5">
        <f t="shared" si="9"/>
        <v>11881</v>
      </c>
      <c r="T419" s="5">
        <f t="shared" si="10"/>
        <v>-66</v>
      </c>
      <c r="U419" s="19">
        <f t="shared" si="11"/>
        <v>0.4024390244</v>
      </c>
      <c r="V419" s="5">
        <f t="shared" si="12"/>
        <v>4356</v>
      </c>
    </row>
    <row r="420">
      <c r="A420" s="2">
        <v>41143.0</v>
      </c>
      <c r="B420" s="5">
        <v>493.0</v>
      </c>
      <c r="C420" s="5">
        <f t="shared" si="2"/>
        <v>213</v>
      </c>
      <c r="D420" s="5">
        <f t="shared" si="3"/>
        <v>273</v>
      </c>
      <c r="E420" s="5">
        <f t="shared" si="1"/>
        <v>204</v>
      </c>
      <c r="L420" s="5">
        <f t="shared" si="4"/>
        <v>280</v>
      </c>
      <c r="M420" s="19">
        <f t="shared" si="5"/>
        <v>0.5679513185</v>
      </c>
      <c r="N420" s="5">
        <f t="shared" si="6"/>
        <v>78400</v>
      </c>
      <c r="P420" s="5">
        <f t="shared" si="7"/>
        <v>220</v>
      </c>
      <c r="Q420" s="19">
        <f t="shared" si="8"/>
        <v>0.4462474645</v>
      </c>
      <c r="R420" s="5">
        <f t="shared" si="9"/>
        <v>48400</v>
      </c>
      <c r="T420" s="5">
        <f t="shared" si="10"/>
        <v>289</v>
      </c>
      <c r="U420" s="19">
        <f t="shared" si="11"/>
        <v>0.5862068966</v>
      </c>
      <c r="V420" s="5">
        <f t="shared" si="12"/>
        <v>83521</v>
      </c>
    </row>
    <row r="421">
      <c r="A421" s="2">
        <v>41144.0</v>
      </c>
      <c r="B421" s="5">
        <v>12.0</v>
      </c>
      <c r="C421" s="5">
        <f t="shared" si="2"/>
        <v>206</v>
      </c>
      <c r="D421" s="5">
        <f t="shared" si="3"/>
        <v>273</v>
      </c>
      <c r="E421" s="5">
        <f t="shared" si="1"/>
        <v>320</v>
      </c>
      <c r="L421" s="5">
        <f t="shared" si="4"/>
        <v>-194</v>
      </c>
      <c r="M421" s="19">
        <f t="shared" si="5"/>
        <v>16.16666667</v>
      </c>
      <c r="N421" s="5">
        <f t="shared" si="6"/>
        <v>37636</v>
      </c>
      <c r="P421" s="5">
        <f t="shared" si="7"/>
        <v>-261</v>
      </c>
      <c r="Q421" s="19">
        <f t="shared" si="8"/>
        <v>21.75</v>
      </c>
      <c r="R421" s="5">
        <f t="shared" si="9"/>
        <v>68121</v>
      </c>
      <c r="T421" s="5">
        <f t="shared" si="10"/>
        <v>-308</v>
      </c>
      <c r="U421" s="19">
        <f t="shared" si="11"/>
        <v>25.66666667</v>
      </c>
      <c r="V421" s="5">
        <f t="shared" si="12"/>
        <v>94864</v>
      </c>
    </row>
    <row r="422">
      <c r="A422" s="2">
        <v>41145.0</v>
      </c>
      <c r="B422" s="5">
        <v>0.0</v>
      </c>
      <c r="C422" s="5">
        <f t="shared" si="2"/>
        <v>206</v>
      </c>
      <c r="D422" s="5">
        <f t="shared" si="3"/>
        <v>273</v>
      </c>
      <c r="E422" s="5">
        <f t="shared" si="1"/>
        <v>197</v>
      </c>
      <c r="L422" s="5">
        <f t="shared" si="4"/>
        <v>-206</v>
      </c>
      <c r="M422" s="19">
        <f t="shared" si="5"/>
        <v>1</v>
      </c>
      <c r="N422" s="5">
        <f t="shared" si="6"/>
        <v>42436</v>
      </c>
      <c r="P422" s="5">
        <f t="shared" si="7"/>
        <v>-273</v>
      </c>
      <c r="Q422" s="19">
        <f t="shared" si="8"/>
        <v>1</v>
      </c>
      <c r="R422" s="5">
        <f t="shared" si="9"/>
        <v>74529</v>
      </c>
      <c r="T422" s="5">
        <f t="shared" si="10"/>
        <v>-197</v>
      </c>
      <c r="U422" s="19">
        <f t="shared" si="11"/>
        <v>1</v>
      </c>
      <c r="V422" s="5">
        <f t="shared" si="12"/>
        <v>38809</v>
      </c>
    </row>
    <row r="423">
      <c r="A423" s="2">
        <v>41148.0</v>
      </c>
      <c r="B423" s="5">
        <v>435.0</v>
      </c>
      <c r="C423" s="5">
        <f t="shared" si="2"/>
        <v>206</v>
      </c>
      <c r="D423" s="5">
        <f t="shared" si="3"/>
        <v>272</v>
      </c>
      <c r="E423" s="5">
        <f t="shared" si="1"/>
        <v>118</v>
      </c>
      <c r="L423" s="5">
        <f t="shared" si="4"/>
        <v>229</v>
      </c>
      <c r="M423" s="19">
        <f t="shared" si="5"/>
        <v>0.5264367816</v>
      </c>
      <c r="N423" s="5">
        <f t="shared" si="6"/>
        <v>52441</v>
      </c>
      <c r="P423" s="5">
        <f t="shared" si="7"/>
        <v>163</v>
      </c>
      <c r="Q423" s="19">
        <f t="shared" si="8"/>
        <v>0.3747126437</v>
      </c>
      <c r="R423" s="5">
        <f t="shared" si="9"/>
        <v>26569</v>
      </c>
      <c r="T423" s="5">
        <f t="shared" si="10"/>
        <v>317</v>
      </c>
      <c r="U423" s="19">
        <f t="shared" si="11"/>
        <v>0.7287356322</v>
      </c>
      <c r="V423" s="5">
        <f t="shared" si="12"/>
        <v>100489</v>
      </c>
    </row>
    <row r="424">
      <c r="A424" s="2">
        <v>41149.0</v>
      </c>
      <c r="B424" s="5">
        <v>138.0</v>
      </c>
      <c r="C424" s="5">
        <f t="shared" si="2"/>
        <v>221</v>
      </c>
      <c r="D424" s="5">
        <f t="shared" si="3"/>
        <v>272</v>
      </c>
      <c r="E424" s="5">
        <f t="shared" si="1"/>
        <v>245</v>
      </c>
      <c r="L424" s="5">
        <f t="shared" si="4"/>
        <v>-83</v>
      </c>
      <c r="M424" s="19">
        <f t="shared" si="5"/>
        <v>0.6014492754</v>
      </c>
      <c r="N424" s="5">
        <f t="shared" si="6"/>
        <v>6889</v>
      </c>
      <c r="P424" s="5">
        <f t="shared" si="7"/>
        <v>-134</v>
      </c>
      <c r="Q424" s="19">
        <f t="shared" si="8"/>
        <v>0.9710144928</v>
      </c>
      <c r="R424" s="5">
        <f t="shared" si="9"/>
        <v>17956</v>
      </c>
      <c r="T424" s="5">
        <f t="shared" si="10"/>
        <v>-107</v>
      </c>
      <c r="U424" s="19">
        <f t="shared" si="11"/>
        <v>0.7753623188</v>
      </c>
      <c r="V424" s="5">
        <f t="shared" si="12"/>
        <v>11449</v>
      </c>
    </row>
    <row r="425">
      <c r="A425" s="2">
        <v>41150.0</v>
      </c>
      <c r="B425" s="5">
        <v>492.0</v>
      </c>
      <c r="C425" s="5">
        <f t="shared" si="2"/>
        <v>216</v>
      </c>
      <c r="D425" s="5">
        <f t="shared" si="3"/>
        <v>272</v>
      </c>
      <c r="E425" s="5">
        <f t="shared" si="1"/>
        <v>202</v>
      </c>
      <c r="L425" s="5">
        <f t="shared" si="4"/>
        <v>276</v>
      </c>
      <c r="M425" s="19">
        <f t="shared" si="5"/>
        <v>0.5609756098</v>
      </c>
      <c r="N425" s="5">
        <f t="shared" si="6"/>
        <v>76176</v>
      </c>
      <c r="P425" s="5">
        <f t="shared" si="7"/>
        <v>220</v>
      </c>
      <c r="Q425" s="19">
        <f t="shared" si="8"/>
        <v>0.4471544715</v>
      </c>
      <c r="R425" s="5">
        <f t="shared" si="9"/>
        <v>48400</v>
      </c>
      <c r="T425" s="5">
        <f t="shared" si="10"/>
        <v>290</v>
      </c>
      <c r="U425" s="19">
        <f t="shared" si="11"/>
        <v>0.5894308943</v>
      </c>
      <c r="V425" s="5">
        <f t="shared" si="12"/>
        <v>84100</v>
      </c>
    </row>
    <row r="426">
      <c r="A426" s="2">
        <v>41151.0</v>
      </c>
      <c r="B426" s="5">
        <v>42.0</v>
      </c>
      <c r="C426" s="5">
        <f t="shared" si="2"/>
        <v>215</v>
      </c>
      <c r="D426" s="5">
        <f t="shared" si="3"/>
        <v>273</v>
      </c>
      <c r="E426" s="5">
        <f t="shared" si="1"/>
        <v>318</v>
      </c>
      <c r="L426" s="5">
        <f t="shared" si="4"/>
        <v>-173</v>
      </c>
      <c r="M426" s="19">
        <f t="shared" si="5"/>
        <v>4.119047619</v>
      </c>
      <c r="N426" s="5">
        <f t="shared" si="6"/>
        <v>29929</v>
      </c>
      <c r="P426" s="5">
        <f t="shared" si="7"/>
        <v>-231</v>
      </c>
      <c r="Q426" s="19">
        <f t="shared" si="8"/>
        <v>5.5</v>
      </c>
      <c r="R426" s="5">
        <f t="shared" si="9"/>
        <v>53361</v>
      </c>
      <c r="T426" s="5">
        <f t="shared" si="10"/>
        <v>-276</v>
      </c>
      <c r="U426" s="19">
        <f t="shared" si="11"/>
        <v>6.571428571</v>
      </c>
      <c r="V426" s="5">
        <f t="shared" si="12"/>
        <v>76176</v>
      </c>
    </row>
    <row r="427">
      <c r="A427" s="2">
        <v>41152.0</v>
      </c>
      <c r="B427" s="5">
        <v>0.0</v>
      </c>
      <c r="C427" s="5">
        <f t="shared" si="2"/>
        <v>221</v>
      </c>
      <c r="D427" s="5">
        <f t="shared" si="3"/>
        <v>272</v>
      </c>
      <c r="E427" s="5">
        <f t="shared" si="1"/>
        <v>208</v>
      </c>
      <c r="L427" s="5">
        <f t="shared" si="4"/>
        <v>-221</v>
      </c>
      <c r="M427" s="19">
        <f t="shared" si="5"/>
        <v>1</v>
      </c>
      <c r="N427" s="5">
        <f t="shared" si="6"/>
        <v>48841</v>
      </c>
      <c r="P427" s="5">
        <f t="shared" si="7"/>
        <v>-272</v>
      </c>
      <c r="Q427" s="19">
        <f t="shared" si="8"/>
        <v>1</v>
      </c>
      <c r="R427" s="5">
        <f t="shared" si="9"/>
        <v>73984</v>
      </c>
      <c r="T427" s="5">
        <f t="shared" si="10"/>
        <v>-208</v>
      </c>
      <c r="U427" s="19">
        <f t="shared" si="11"/>
        <v>1</v>
      </c>
      <c r="V427" s="5">
        <f t="shared" si="12"/>
        <v>43264</v>
      </c>
    </row>
    <row r="428">
      <c r="A428" s="2">
        <v>41156.0</v>
      </c>
      <c r="B428" s="5">
        <v>702.0</v>
      </c>
      <c r="C428" s="5">
        <f t="shared" si="2"/>
        <v>221</v>
      </c>
      <c r="D428" s="5">
        <f t="shared" si="3"/>
        <v>271</v>
      </c>
      <c r="E428" s="5">
        <f t="shared" si="1"/>
        <v>125</v>
      </c>
      <c r="L428" s="5">
        <f t="shared" si="4"/>
        <v>481</v>
      </c>
      <c r="M428" s="19">
        <f t="shared" si="5"/>
        <v>0.6851851852</v>
      </c>
      <c r="N428" s="5">
        <f t="shared" si="6"/>
        <v>231361</v>
      </c>
      <c r="P428" s="5">
        <f t="shared" si="7"/>
        <v>431</v>
      </c>
      <c r="Q428" s="19">
        <f t="shared" si="8"/>
        <v>0.613960114</v>
      </c>
      <c r="R428" s="5">
        <f t="shared" si="9"/>
        <v>185761</v>
      </c>
      <c r="T428" s="5">
        <f t="shared" si="10"/>
        <v>577</v>
      </c>
      <c r="U428" s="19">
        <f t="shared" si="11"/>
        <v>0.8219373219</v>
      </c>
      <c r="V428" s="5">
        <f t="shared" si="12"/>
        <v>332929</v>
      </c>
    </row>
    <row r="429">
      <c r="A429" s="2">
        <v>41157.0</v>
      </c>
      <c r="B429" s="5">
        <v>800.0</v>
      </c>
      <c r="C429" s="5">
        <f t="shared" si="2"/>
        <v>275</v>
      </c>
      <c r="D429" s="5">
        <f t="shared" si="3"/>
        <v>272</v>
      </c>
      <c r="E429" s="5">
        <f t="shared" si="1"/>
        <v>356</v>
      </c>
      <c r="L429" s="5">
        <f t="shared" si="4"/>
        <v>525</v>
      </c>
      <c r="M429" s="19">
        <f t="shared" si="5"/>
        <v>0.65625</v>
      </c>
      <c r="N429" s="5">
        <f t="shared" si="6"/>
        <v>275625</v>
      </c>
      <c r="P429" s="5">
        <f t="shared" si="7"/>
        <v>528</v>
      </c>
      <c r="Q429" s="19">
        <f t="shared" si="8"/>
        <v>0.66</v>
      </c>
      <c r="R429" s="5">
        <f t="shared" si="9"/>
        <v>278784</v>
      </c>
      <c r="T429" s="5">
        <f t="shared" si="10"/>
        <v>444</v>
      </c>
      <c r="U429" s="19">
        <f t="shared" si="11"/>
        <v>0.555</v>
      </c>
      <c r="V429" s="5">
        <f t="shared" si="12"/>
        <v>197136</v>
      </c>
    </row>
    <row r="430">
      <c r="A430" s="2">
        <v>41158.0</v>
      </c>
      <c r="B430" s="5">
        <v>4.0</v>
      </c>
      <c r="C430" s="5">
        <f t="shared" si="2"/>
        <v>407</v>
      </c>
      <c r="D430" s="5">
        <f t="shared" si="3"/>
        <v>274</v>
      </c>
      <c r="E430" s="5">
        <f t="shared" si="1"/>
        <v>534</v>
      </c>
      <c r="L430" s="5">
        <f t="shared" si="4"/>
        <v>-403</v>
      </c>
      <c r="M430" s="19">
        <f t="shared" si="5"/>
        <v>100.75</v>
      </c>
      <c r="N430" s="5">
        <f t="shared" si="6"/>
        <v>162409</v>
      </c>
      <c r="P430" s="5">
        <f t="shared" si="7"/>
        <v>-270</v>
      </c>
      <c r="Q430" s="19">
        <f t="shared" si="8"/>
        <v>67.5</v>
      </c>
      <c r="R430" s="5">
        <f t="shared" si="9"/>
        <v>72900</v>
      </c>
      <c r="T430" s="5">
        <f t="shared" si="10"/>
        <v>-530</v>
      </c>
      <c r="U430" s="19">
        <f t="shared" si="11"/>
        <v>132.5</v>
      </c>
      <c r="V430" s="5">
        <f t="shared" si="12"/>
        <v>280900</v>
      </c>
    </row>
    <row r="431">
      <c r="A431" s="2">
        <v>41159.0</v>
      </c>
      <c r="B431" s="5">
        <v>0.0</v>
      </c>
      <c r="C431" s="5">
        <f t="shared" si="2"/>
        <v>310</v>
      </c>
      <c r="D431" s="5">
        <f t="shared" si="3"/>
        <v>273</v>
      </c>
      <c r="E431" s="5">
        <f t="shared" si="1"/>
        <v>322</v>
      </c>
      <c r="L431" s="5">
        <f t="shared" si="4"/>
        <v>-310</v>
      </c>
      <c r="M431" s="19">
        <f t="shared" si="5"/>
        <v>1</v>
      </c>
      <c r="N431" s="5">
        <f t="shared" si="6"/>
        <v>96100</v>
      </c>
      <c r="P431" s="5">
        <f t="shared" si="7"/>
        <v>-273</v>
      </c>
      <c r="Q431" s="19">
        <f t="shared" si="8"/>
        <v>1</v>
      </c>
      <c r="R431" s="5">
        <f t="shared" si="9"/>
        <v>74529</v>
      </c>
      <c r="T431" s="5">
        <f t="shared" si="10"/>
        <v>-322</v>
      </c>
      <c r="U431" s="19">
        <f t="shared" si="11"/>
        <v>1</v>
      </c>
      <c r="V431" s="5">
        <f t="shared" si="12"/>
        <v>103684</v>
      </c>
    </row>
    <row r="432">
      <c r="A432" s="2">
        <v>41162.0</v>
      </c>
      <c r="B432" s="5">
        <v>144.0</v>
      </c>
      <c r="C432" s="5">
        <f t="shared" si="2"/>
        <v>301</v>
      </c>
      <c r="D432" s="5">
        <f t="shared" si="3"/>
        <v>272</v>
      </c>
      <c r="E432" s="5">
        <f t="shared" si="1"/>
        <v>193</v>
      </c>
      <c r="L432" s="5">
        <f t="shared" si="4"/>
        <v>-157</v>
      </c>
      <c r="M432" s="19">
        <f t="shared" si="5"/>
        <v>1.090277778</v>
      </c>
      <c r="N432" s="5">
        <f t="shared" si="6"/>
        <v>24649</v>
      </c>
      <c r="P432" s="5">
        <f t="shared" si="7"/>
        <v>-128</v>
      </c>
      <c r="Q432" s="19">
        <f t="shared" si="8"/>
        <v>0.8888888889</v>
      </c>
      <c r="R432" s="5">
        <f t="shared" si="9"/>
        <v>16384</v>
      </c>
      <c r="T432" s="5">
        <f t="shared" si="10"/>
        <v>-49</v>
      </c>
      <c r="U432" s="19">
        <f t="shared" si="11"/>
        <v>0.3402777778</v>
      </c>
      <c r="V432" s="5">
        <f t="shared" si="12"/>
        <v>2401</v>
      </c>
    </row>
    <row r="433">
      <c r="A433" s="2">
        <v>41163.0</v>
      </c>
      <c r="B433" s="5">
        <v>492.0</v>
      </c>
      <c r="C433" s="5">
        <f t="shared" si="2"/>
        <v>330</v>
      </c>
      <c r="D433" s="5">
        <f t="shared" si="3"/>
        <v>272</v>
      </c>
      <c r="E433" s="5">
        <f t="shared" si="1"/>
        <v>173</v>
      </c>
      <c r="L433" s="5">
        <f t="shared" si="4"/>
        <v>162</v>
      </c>
      <c r="M433" s="19">
        <f t="shared" si="5"/>
        <v>0.3292682927</v>
      </c>
      <c r="N433" s="5">
        <f t="shared" si="6"/>
        <v>26244</v>
      </c>
      <c r="P433" s="5">
        <f t="shared" si="7"/>
        <v>220</v>
      </c>
      <c r="Q433" s="19">
        <f t="shared" si="8"/>
        <v>0.4471544715</v>
      </c>
      <c r="R433" s="5">
        <f t="shared" si="9"/>
        <v>48400</v>
      </c>
      <c r="T433" s="5">
        <f t="shared" si="10"/>
        <v>319</v>
      </c>
      <c r="U433" s="19">
        <f t="shared" si="11"/>
        <v>0.6483739837</v>
      </c>
      <c r="V433" s="5">
        <f t="shared" si="12"/>
        <v>101761</v>
      </c>
    </row>
    <row r="434">
      <c r="A434" s="2">
        <v>41164.0</v>
      </c>
      <c r="B434" s="5">
        <v>464.0</v>
      </c>
      <c r="C434" s="5">
        <f t="shared" si="2"/>
        <v>288</v>
      </c>
      <c r="D434" s="5">
        <f t="shared" si="3"/>
        <v>273</v>
      </c>
      <c r="E434" s="5">
        <f t="shared" si="1"/>
        <v>301</v>
      </c>
      <c r="L434" s="5">
        <f t="shared" si="4"/>
        <v>176</v>
      </c>
      <c r="M434" s="19">
        <f t="shared" si="5"/>
        <v>0.3793103448</v>
      </c>
      <c r="N434" s="5">
        <f t="shared" si="6"/>
        <v>30976</v>
      </c>
      <c r="P434" s="5">
        <f t="shared" si="7"/>
        <v>191</v>
      </c>
      <c r="Q434" s="19">
        <f t="shared" si="8"/>
        <v>0.411637931</v>
      </c>
      <c r="R434" s="5">
        <f t="shared" si="9"/>
        <v>36481</v>
      </c>
      <c r="T434" s="5">
        <f t="shared" si="10"/>
        <v>163</v>
      </c>
      <c r="U434" s="19">
        <f t="shared" si="11"/>
        <v>0.3512931034</v>
      </c>
      <c r="V434" s="5">
        <f t="shared" si="12"/>
        <v>26569</v>
      </c>
    </row>
    <row r="435">
      <c r="A435" s="2">
        <v>41165.0</v>
      </c>
      <c r="B435" s="5">
        <v>12.0</v>
      </c>
      <c r="C435" s="5">
        <f t="shared" si="2"/>
        <v>221</v>
      </c>
      <c r="D435" s="5">
        <f t="shared" si="3"/>
        <v>273</v>
      </c>
      <c r="E435" s="5">
        <f t="shared" si="1"/>
        <v>366</v>
      </c>
      <c r="L435" s="5">
        <f t="shared" si="4"/>
        <v>-209</v>
      </c>
      <c r="M435" s="19">
        <f t="shared" si="5"/>
        <v>17.41666667</v>
      </c>
      <c r="N435" s="5">
        <f t="shared" si="6"/>
        <v>43681</v>
      </c>
      <c r="P435" s="5">
        <f t="shared" si="7"/>
        <v>-261</v>
      </c>
      <c r="Q435" s="19">
        <f t="shared" si="8"/>
        <v>21.75</v>
      </c>
      <c r="R435" s="5">
        <f t="shared" si="9"/>
        <v>68121</v>
      </c>
      <c r="T435" s="5">
        <f t="shared" si="10"/>
        <v>-354</v>
      </c>
      <c r="U435" s="19">
        <f t="shared" si="11"/>
        <v>29.5</v>
      </c>
      <c r="V435" s="5">
        <f t="shared" si="12"/>
        <v>125316</v>
      </c>
    </row>
    <row r="436">
      <c r="A436" s="2">
        <v>41166.0</v>
      </c>
      <c r="B436" s="5">
        <v>0.0</v>
      </c>
      <c r="C436" s="5">
        <f t="shared" si="2"/>
        <v>222</v>
      </c>
      <c r="D436" s="5">
        <f t="shared" si="3"/>
        <v>272</v>
      </c>
      <c r="E436" s="5">
        <f t="shared" si="1"/>
        <v>224</v>
      </c>
      <c r="L436" s="5">
        <f t="shared" si="4"/>
        <v>-222</v>
      </c>
      <c r="M436" s="19">
        <f t="shared" si="5"/>
        <v>1</v>
      </c>
      <c r="N436" s="5">
        <f t="shared" si="6"/>
        <v>49284</v>
      </c>
      <c r="P436" s="5">
        <f t="shared" si="7"/>
        <v>-272</v>
      </c>
      <c r="Q436" s="19">
        <f t="shared" si="8"/>
        <v>1</v>
      </c>
      <c r="R436" s="5">
        <f t="shared" si="9"/>
        <v>73984</v>
      </c>
      <c r="T436" s="5">
        <f t="shared" si="10"/>
        <v>-224</v>
      </c>
      <c r="U436" s="19">
        <f t="shared" si="11"/>
        <v>1</v>
      </c>
      <c r="V436" s="5">
        <f t="shared" si="12"/>
        <v>50176</v>
      </c>
    </row>
    <row r="437">
      <c r="A437" s="2">
        <v>41169.0</v>
      </c>
      <c r="B437" s="5">
        <v>516.0</v>
      </c>
      <c r="C437" s="5">
        <f t="shared" si="2"/>
        <v>222</v>
      </c>
      <c r="D437" s="5">
        <f t="shared" si="3"/>
        <v>272</v>
      </c>
      <c r="E437" s="5">
        <f t="shared" si="1"/>
        <v>134</v>
      </c>
      <c r="L437" s="5">
        <f t="shared" si="4"/>
        <v>294</v>
      </c>
      <c r="M437" s="19">
        <f t="shared" si="5"/>
        <v>0.5697674419</v>
      </c>
      <c r="N437" s="5">
        <f t="shared" si="6"/>
        <v>86436</v>
      </c>
      <c r="P437" s="5">
        <f t="shared" si="7"/>
        <v>244</v>
      </c>
      <c r="Q437" s="19">
        <f t="shared" si="8"/>
        <v>0.4728682171</v>
      </c>
      <c r="R437" s="5">
        <f t="shared" si="9"/>
        <v>59536</v>
      </c>
      <c r="T437" s="5">
        <f t="shared" si="10"/>
        <v>382</v>
      </c>
      <c r="U437" s="19">
        <f t="shared" si="11"/>
        <v>0.7403100775</v>
      </c>
      <c r="V437" s="5">
        <f t="shared" si="12"/>
        <v>145924</v>
      </c>
    </row>
    <row r="438">
      <c r="A438" s="2">
        <v>41170.0</v>
      </c>
      <c r="B438" s="5">
        <v>456.0</v>
      </c>
      <c r="C438" s="5">
        <f t="shared" si="2"/>
        <v>297</v>
      </c>
      <c r="D438" s="5">
        <f t="shared" si="3"/>
        <v>272</v>
      </c>
      <c r="E438" s="5">
        <f t="shared" si="1"/>
        <v>287</v>
      </c>
      <c r="L438" s="5">
        <f t="shared" si="4"/>
        <v>159</v>
      </c>
      <c r="M438" s="19">
        <f t="shared" si="5"/>
        <v>0.3486842105</v>
      </c>
      <c r="N438" s="5">
        <f t="shared" si="6"/>
        <v>25281</v>
      </c>
      <c r="P438" s="5">
        <f t="shared" si="7"/>
        <v>184</v>
      </c>
      <c r="Q438" s="19">
        <f t="shared" si="8"/>
        <v>0.4035087719</v>
      </c>
      <c r="R438" s="5">
        <f t="shared" si="9"/>
        <v>33856</v>
      </c>
      <c r="T438" s="5">
        <f t="shared" si="10"/>
        <v>169</v>
      </c>
      <c r="U438" s="19">
        <f t="shared" si="11"/>
        <v>0.3706140351</v>
      </c>
      <c r="V438" s="5">
        <f t="shared" si="12"/>
        <v>28561</v>
      </c>
    </row>
    <row r="439">
      <c r="A439" s="2">
        <v>41171.0</v>
      </c>
      <c r="B439" s="5">
        <v>516.0</v>
      </c>
      <c r="C439" s="5">
        <f t="shared" si="2"/>
        <v>290</v>
      </c>
      <c r="D439" s="5">
        <f t="shared" si="3"/>
        <v>273</v>
      </c>
      <c r="E439" s="5">
        <f t="shared" si="1"/>
        <v>355</v>
      </c>
      <c r="L439" s="5">
        <f t="shared" si="4"/>
        <v>226</v>
      </c>
      <c r="M439" s="19">
        <f t="shared" si="5"/>
        <v>0.4379844961</v>
      </c>
      <c r="N439" s="5">
        <f t="shared" si="6"/>
        <v>51076</v>
      </c>
      <c r="P439" s="5">
        <f t="shared" si="7"/>
        <v>243</v>
      </c>
      <c r="Q439" s="19">
        <f t="shared" si="8"/>
        <v>0.4709302326</v>
      </c>
      <c r="R439" s="5">
        <f t="shared" si="9"/>
        <v>59049</v>
      </c>
      <c r="T439" s="5">
        <f t="shared" si="10"/>
        <v>161</v>
      </c>
      <c r="U439" s="19">
        <f t="shared" si="11"/>
        <v>0.3120155039</v>
      </c>
      <c r="V439" s="5">
        <f t="shared" si="12"/>
        <v>25921</v>
      </c>
    </row>
    <row r="440">
      <c r="A440" s="2">
        <v>41172.0</v>
      </c>
      <c r="B440" s="5">
        <v>6.0</v>
      </c>
      <c r="C440" s="5">
        <f t="shared" si="2"/>
        <v>300</v>
      </c>
      <c r="D440" s="5">
        <f t="shared" si="3"/>
        <v>273</v>
      </c>
      <c r="E440" s="5">
        <f t="shared" si="1"/>
        <v>419</v>
      </c>
      <c r="L440" s="5">
        <f t="shared" si="4"/>
        <v>-294</v>
      </c>
      <c r="M440" s="19">
        <f t="shared" si="5"/>
        <v>49</v>
      </c>
      <c r="N440" s="5">
        <f t="shared" si="6"/>
        <v>86436</v>
      </c>
      <c r="P440" s="5">
        <f t="shared" si="7"/>
        <v>-267</v>
      </c>
      <c r="Q440" s="19">
        <f t="shared" si="8"/>
        <v>44.5</v>
      </c>
      <c r="R440" s="5">
        <f t="shared" si="9"/>
        <v>71289</v>
      </c>
      <c r="T440" s="5">
        <f t="shared" si="10"/>
        <v>-413</v>
      </c>
      <c r="U440" s="19">
        <f t="shared" si="11"/>
        <v>68.83333333</v>
      </c>
      <c r="V440" s="5">
        <f t="shared" si="12"/>
        <v>170569</v>
      </c>
    </row>
    <row r="441">
      <c r="A441" s="2">
        <v>41173.0</v>
      </c>
      <c r="B441" s="5">
        <v>0.0</v>
      </c>
      <c r="C441" s="5">
        <f t="shared" si="2"/>
        <v>299</v>
      </c>
      <c r="D441" s="5">
        <f t="shared" si="3"/>
        <v>273</v>
      </c>
      <c r="E441" s="5">
        <f t="shared" si="1"/>
        <v>254</v>
      </c>
      <c r="L441" s="5">
        <f t="shared" si="4"/>
        <v>-299</v>
      </c>
      <c r="M441" s="19">
        <f t="shared" si="5"/>
        <v>1</v>
      </c>
      <c r="N441" s="5">
        <f t="shared" si="6"/>
        <v>89401</v>
      </c>
      <c r="P441" s="5">
        <f t="shared" si="7"/>
        <v>-273</v>
      </c>
      <c r="Q441" s="19">
        <f t="shared" si="8"/>
        <v>1</v>
      </c>
      <c r="R441" s="5">
        <f t="shared" si="9"/>
        <v>74529</v>
      </c>
      <c r="T441" s="5">
        <f t="shared" si="10"/>
        <v>-254</v>
      </c>
      <c r="U441" s="19">
        <f t="shared" si="11"/>
        <v>1</v>
      </c>
      <c r="V441" s="5">
        <f t="shared" si="12"/>
        <v>64516</v>
      </c>
    </row>
    <row r="442">
      <c r="A442" s="2">
        <v>41176.0</v>
      </c>
      <c r="B442" s="5">
        <v>360.0</v>
      </c>
      <c r="C442" s="5">
        <f t="shared" si="2"/>
        <v>299</v>
      </c>
      <c r="D442" s="5">
        <f t="shared" si="3"/>
        <v>272</v>
      </c>
      <c r="E442" s="5">
        <f t="shared" si="1"/>
        <v>152</v>
      </c>
      <c r="L442" s="5">
        <f t="shared" si="4"/>
        <v>61</v>
      </c>
      <c r="M442" s="19">
        <f t="shared" si="5"/>
        <v>0.1694444444</v>
      </c>
      <c r="N442" s="5">
        <f t="shared" si="6"/>
        <v>3721</v>
      </c>
      <c r="P442" s="5">
        <f t="shared" si="7"/>
        <v>88</v>
      </c>
      <c r="Q442" s="19">
        <f t="shared" si="8"/>
        <v>0.2444444444</v>
      </c>
      <c r="R442" s="5">
        <f t="shared" si="9"/>
        <v>7744</v>
      </c>
      <c r="T442" s="5">
        <f t="shared" si="10"/>
        <v>208</v>
      </c>
      <c r="U442" s="19">
        <f t="shared" si="11"/>
        <v>0.5777777778</v>
      </c>
      <c r="V442" s="5">
        <f t="shared" si="12"/>
        <v>43264</v>
      </c>
    </row>
    <row r="443">
      <c r="A443" s="2">
        <v>41177.0</v>
      </c>
      <c r="B443" s="5">
        <v>456.0</v>
      </c>
      <c r="C443" s="5">
        <f t="shared" si="2"/>
        <v>268</v>
      </c>
      <c r="D443" s="5">
        <f t="shared" si="3"/>
        <v>272</v>
      </c>
      <c r="E443" s="5">
        <f t="shared" si="1"/>
        <v>235</v>
      </c>
      <c r="L443" s="5">
        <f t="shared" si="4"/>
        <v>188</v>
      </c>
      <c r="M443" s="19">
        <f t="shared" si="5"/>
        <v>0.4122807018</v>
      </c>
      <c r="N443" s="5">
        <f t="shared" si="6"/>
        <v>35344</v>
      </c>
      <c r="P443" s="5">
        <f t="shared" si="7"/>
        <v>184</v>
      </c>
      <c r="Q443" s="19">
        <f t="shared" si="8"/>
        <v>0.4035087719</v>
      </c>
      <c r="R443" s="5">
        <f t="shared" si="9"/>
        <v>33856</v>
      </c>
      <c r="T443" s="5">
        <f t="shared" si="10"/>
        <v>221</v>
      </c>
      <c r="U443" s="19">
        <f t="shared" si="11"/>
        <v>0.4846491228</v>
      </c>
      <c r="V443" s="5">
        <f t="shared" si="12"/>
        <v>48841</v>
      </c>
    </row>
    <row r="444">
      <c r="A444" s="2">
        <v>41178.0</v>
      </c>
      <c r="B444" s="5">
        <v>504.0</v>
      </c>
      <c r="C444" s="5">
        <f t="shared" si="2"/>
        <v>268</v>
      </c>
      <c r="D444" s="5">
        <f t="shared" si="3"/>
        <v>273</v>
      </c>
      <c r="E444" s="5">
        <f t="shared" si="1"/>
        <v>323</v>
      </c>
      <c r="L444" s="5">
        <f t="shared" si="4"/>
        <v>236</v>
      </c>
      <c r="M444" s="19">
        <f t="shared" si="5"/>
        <v>0.4682539683</v>
      </c>
      <c r="N444" s="5">
        <f t="shared" si="6"/>
        <v>55696</v>
      </c>
      <c r="P444" s="5">
        <f t="shared" si="7"/>
        <v>231</v>
      </c>
      <c r="Q444" s="19">
        <f t="shared" si="8"/>
        <v>0.4583333333</v>
      </c>
      <c r="R444" s="5">
        <f t="shared" si="9"/>
        <v>53361</v>
      </c>
      <c r="T444" s="5">
        <f t="shared" si="10"/>
        <v>181</v>
      </c>
      <c r="U444" s="19">
        <f t="shared" si="11"/>
        <v>0.3591269841</v>
      </c>
      <c r="V444" s="5">
        <f t="shared" si="12"/>
        <v>32761</v>
      </c>
    </row>
    <row r="445">
      <c r="A445" s="2">
        <v>41179.0</v>
      </c>
      <c r="B445" s="5">
        <v>24.0</v>
      </c>
      <c r="C445" s="5">
        <f t="shared" si="2"/>
        <v>265</v>
      </c>
      <c r="D445" s="5">
        <f t="shared" si="3"/>
        <v>273</v>
      </c>
      <c r="E445" s="5">
        <f t="shared" si="1"/>
        <v>395</v>
      </c>
      <c r="L445" s="5">
        <f t="shared" si="4"/>
        <v>-241</v>
      </c>
      <c r="M445" s="19">
        <f t="shared" si="5"/>
        <v>10.04166667</v>
      </c>
      <c r="N445" s="5">
        <f t="shared" si="6"/>
        <v>58081</v>
      </c>
      <c r="P445" s="5">
        <f t="shared" si="7"/>
        <v>-249</v>
      </c>
      <c r="Q445" s="19">
        <f t="shared" si="8"/>
        <v>10.375</v>
      </c>
      <c r="R445" s="5">
        <f t="shared" si="9"/>
        <v>62001</v>
      </c>
      <c r="T445" s="5">
        <f t="shared" si="10"/>
        <v>-371</v>
      </c>
      <c r="U445" s="19">
        <f t="shared" si="11"/>
        <v>15.45833333</v>
      </c>
      <c r="V445" s="5">
        <f t="shared" si="12"/>
        <v>137641</v>
      </c>
    </row>
    <row r="446">
      <c r="A446" s="2">
        <v>41180.0</v>
      </c>
      <c r="B446" s="5">
        <v>0.0</v>
      </c>
      <c r="C446" s="5">
        <f t="shared" si="2"/>
        <v>269</v>
      </c>
      <c r="D446" s="5">
        <f t="shared" si="3"/>
        <v>273</v>
      </c>
      <c r="E446" s="5">
        <f t="shared" si="1"/>
        <v>247</v>
      </c>
      <c r="L446" s="5">
        <f t="shared" si="4"/>
        <v>-269</v>
      </c>
      <c r="M446" s="19">
        <f t="shared" si="5"/>
        <v>1</v>
      </c>
      <c r="N446" s="5">
        <f t="shared" si="6"/>
        <v>72361</v>
      </c>
      <c r="P446" s="5">
        <f t="shared" si="7"/>
        <v>-273</v>
      </c>
      <c r="Q446" s="19">
        <f t="shared" si="8"/>
        <v>1</v>
      </c>
      <c r="R446" s="5">
        <f t="shared" si="9"/>
        <v>74529</v>
      </c>
      <c r="T446" s="5">
        <f t="shared" si="10"/>
        <v>-247</v>
      </c>
      <c r="U446" s="19">
        <f t="shared" si="11"/>
        <v>1</v>
      </c>
      <c r="V446" s="5">
        <f t="shared" si="12"/>
        <v>61009</v>
      </c>
    </row>
    <row r="447">
      <c r="A447" s="2">
        <v>41183.0</v>
      </c>
      <c r="B447" s="5">
        <v>541.0</v>
      </c>
      <c r="C447" s="5">
        <f t="shared" si="2"/>
        <v>269</v>
      </c>
      <c r="D447" s="5">
        <f t="shared" si="3"/>
        <v>272</v>
      </c>
      <c r="E447" s="5">
        <f t="shared" si="1"/>
        <v>148</v>
      </c>
      <c r="L447" s="5">
        <f t="shared" si="4"/>
        <v>272</v>
      </c>
      <c r="M447" s="19">
        <f t="shared" si="5"/>
        <v>0.5027726433</v>
      </c>
      <c r="N447" s="5">
        <f t="shared" si="6"/>
        <v>73984</v>
      </c>
      <c r="P447" s="5">
        <f t="shared" si="7"/>
        <v>269</v>
      </c>
      <c r="Q447" s="19">
        <f t="shared" si="8"/>
        <v>0.4972273567</v>
      </c>
      <c r="R447" s="5">
        <f t="shared" si="9"/>
        <v>72361</v>
      </c>
      <c r="T447" s="5">
        <f t="shared" si="10"/>
        <v>393</v>
      </c>
      <c r="U447" s="19">
        <f t="shared" si="11"/>
        <v>0.7264325323</v>
      </c>
      <c r="V447" s="5">
        <f t="shared" si="12"/>
        <v>154449</v>
      </c>
    </row>
    <row r="448">
      <c r="A448" s="2">
        <v>41184.0</v>
      </c>
      <c r="B448" s="5">
        <v>462.0</v>
      </c>
      <c r="C448" s="5">
        <f t="shared" si="2"/>
        <v>305</v>
      </c>
      <c r="D448" s="5">
        <f t="shared" si="3"/>
        <v>273</v>
      </c>
      <c r="E448" s="5">
        <f t="shared" si="1"/>
        <v>305</v>
      </c>
      <c r="L448" s="5">
        <f t="shared" si="4"/>
        <v>157</v>
      </c>
      <c r="M448" s="19">
        <f t="shared" si="5"/>
        <v>0.3398268398</v>
      </c>
      <c r="N448" s="5">
        <f t="shared" si="6"/>
        <v>24649</v>
      </c>
      <c r="P448" s="5">
        <f t="shared" si="7"/>
        <v>189</v>
      </c>
      <c r="Q448" s="19">
        <f t="shared" si="8"/>
        <v>0.4090909091</v>
      </c>
      <c r="R448" s="5">
        <f t="shared" si="9"/>
        <v>35721</v>
      </c>
      <c r="T448" s="5">
        <f t="shared" si="10"/>
        <v>157</v>
      </c>
      <c r="U448" s="19">
        <f t="shared" si="11"/>
        <v>0.3398268398</v>
      </c>
      <c r="V448" s="5">
        <f t="shared" si="12"/>
        <v>24649</v>
      </c>
    </row>
    <row r="449">
      <c r="A449" s="2">
        <v>41185.0</v>
      </c>
      <c r="B449" s="5">
        <v>374.0</v>
      </c>
      <c r="C449" s="5">
        <f t="shared" si="2"/>
        <v>306</v>
      </c>
      <c r="D449" s="5">
        <f t="shared" si="3"/>
        <v>273</v>
      </c>
      <c r="E449" s="5">
        <f t="shared" si="1"/>
        <v>368</v>
      </c>
      <c r="L449" s="5">
        <f t="shared" si="4"/>
        <v>68</v>
      </c>
      <c r="M449" s="19">
        <f t="shared" si="5"/>
        <v>0.1818181818</v>
      </c>
      <c r="N449" s="5">
        <f t="shared" si="6"/>
        <v>4624</v>
      </c>
      <c r="P449" s="5">
        <f t="shared" si="7"/>
        <v>101</v>
      </c>
      <c r="Q449" s="19">
        <f t="shared" si="8"/>
        <v>0.2700534759</v>
      </c>
      <c r="R449" s="5">
        <f t="shared" si="9"/>
        <v>10201</v>
      </c>
      <c r="T449" s="5">
        <f t="shared" si="10"/>
        <v>6</v>
      </c>
      <c r="U449" s="19">
        <f t="shared" si="11"/>
        <v>0.01604278075</v>
      </c>
      <c r="V449" s="5">
        <f t="shared" si="12"/>
        <v>36</v>
      </c>
    </row>
    <row r="450">
      <c r="A450" s="2">
        <v>41186.0</v>
      </c>
      <c r="B450" s="5">
        <v>48.0</v>
      </c>
      <c r="C450" s="5">
        <f t="shared" si="2"/>
        <v>280</v>
      </c>
      <c r="D450" s="5">
        <f t="shared" si="3"/>
        <v>273</v>
      </c>
      <c r="E450" s="5">
        <f t="shared" si="1"/>
        <v>370</v>
      </c>
      <c r="L450" s="5">
        <f t="shared" si="4"/>
        <v>-232</v>
      </c>
      <c r="M450" s="19">
        <f t="shared" si="5"/>
        <v>4.833333333</v>
      </c>
      <c r="N450" s="5">
        <f t="shared" si="6"/>
        <v>53824</v>
      </c>
      <c r="P450" s="5">
        <f t="shared" si="7"/>
        <v>-225</v>
      </c>
      <c r="Q450" s="19">
        <f t="shared" si="8"/>
        <v>4.6875</v>
      </c>
      <c r="R450" s="5">
        <f t="shared" si="9"/>
        <v>50625</v>
      </c>
      <c r="T450" s="5">
        <f t="shared" si="10"/>
        <v>-322</v>
      </c>
      <c r="U450" s="19">
        <f t="shared" si="11"/>
        <v>6.708333333</v>
      </c>
      <c r="V450" s="5">
        <f t="shared" si="12"/>
        <v>103684</v>
      </c>
    </row>
    <row r="451">
      <c r="A451" s="2">
        <v>41187.0</v>
      </c>
      <c r="B451" s="5">
        <v>0.0</v>
      </c>
      <c r="C451" s="5">
        <f t="shared" si="2"/>
        <v>285</v>
      </c>
      <c r="D451" s="5">
        <f t="shared" si="3"/>
        <v>273</v>
      </c>
      <c r="E451" s="5">
        <f t="shared" si="1"/>
        <v>241</v>
      </c>
      <c r="L451" s="5">
        <f t="shared" si="4"/>
        <v>-285</v>
      </c>
      <c r="M451" s="19">
        <f t="shared" si="5"/>
        <v>1</v>
      </c>
      <c r="N451" s="5">
        <f t="shared" si="6"/>
        <v>81225</v>
      </c>
      <c r="P451" s="5">
        <f t="shared" si="7"/>
        <v>-273</v>
      </c>
      <c r="Q451" s="19">
        <f t="shared" si="8"/>
        <v>1</v>
      </c>
      <c r="R451" s="5">
        <f t="shared" si="9"/>
        <v>74529</v>
      </c>
      <c r="T451" s="5">
        <f t="shared" si="10"/>
        <v>-241</v>
      </c>
      <c r="U451" s="19">
        <f t="shared" si="11"/>
        <v>1</v>
      </c>
      <c r="V451" s="5">
        <f t="shared" si="12"/>
        <v>58081</v>
      </c>
    </row>
    <row r="452">
      <c r="A452" s="2">
        <v>41190.0</v>
      </c>
      <c r="B452" s="5">
        <v>337.0</v>
      </c>
      <c r="C452" s="5">
        <f t="shared" si="2"/>
        <v>285</v>
      </c>
      <c r="D452" s="5">
        <f t="shared" si="3"/>
        <v>272</v>
      </c>
      <c r="E452" s="5">
        <f t="shared" si="1"/>
        <v>145</v>
      </c>
      <c r="L452" s="5">
        <f t="shared" si="4"/>
        <v>52</v>
      </c>
      <c r="M452" s="19">
        <f t="shared" si="5"/>
        <v>0.1543026706</v>
      </c>
      <c r="N452" s="5">
        <f t="shared" si="6"/>
        <v>2704</v>
      </c>
      <c r="P452" s="5">
        <f t="shared" si="7"/>
        <v>65</v>
      </c>
      <c r="Q452" s="19">
        <f t="shared" si="8"/>
        <v>0.1928783383</v>
      </c>
      <c r="R452" s="5">
        <f t="shared" si="9"/>
        <v>4225</v>
      </c>
      <c r="T452" s="5">
        <f t="shared" si="10"/>
        <v>192</v>
      </c>
      <c r="U452" s="19">
        <f t="shared" si="11"/>
        <v>0.5697329377</v>
      </c>
      <c r="V452" s="5">
        <f t="shared" si="12"/>
        <v>36864</v>
      </c>
    </row>
    <row r="453">
      <c r="A453" s="2">
        <v>41191.0</v>
      </c>
      <c r="B453" s="5">
        <v>553.0</v>
      </c>
      <c r="C453" s="5">
        <f t="shared" si="2"/>
        <v>244</v>
      </c>
      <c r="D453" s="5">
        <f t="shared" si="3"/>
        <v>272</v>
      </c>
      <c r="E453" s="5">
        <f t="shared" si="1"/>
        <v>222</v>
      </c>
      <c r="L453" s="5">
        <f t="shared" si="4"/>
        <v>309</v>
      </c>
      <c r="M453" s="19">
        <f t="shared" si="5"/>
        <v>0.5587703436</v>
      </c>
      <c r="N453" s="5">
        <f t="shared" si="6"/>
        <v>95481</v>
      </c>
      <c r="P453" s="5">
        <f t="shared" si="7"/>
        <v>281</v>
      </c>
      <c r="Q453" s="19">
        <f t="shared" si="8"/>
        <v>0.5081374322</v>
      </c>
      <c r="R453" s="5">
        <f t="shared" si="9"/>
        <v>78961</v>
      </c>
      <c r="T453" s="5">
        <f t="shared" si="10"/>
        <v>331</v>
      </c>
      <c r="U453" s="19">
        <f t="shared" si="11"/>
        <v>0.5985533454</v>
      </c>
      <c r="V453" s="5">
        <f t="shared" si="12"/>
        <v>109561</v>
      </c>
    </row>
    <row r="454">
      <c r="A454" s="2">
        <v>41192.0</v>
      </c>
      <c r="B454" s="5">
        <v>358.0</v>
      </c>
      <c r="C454" s="5">
        <f t="shared" si="2"/>
        <v>262</v>
      </c>
      <c r="D454" s="5">
        <f t="shared" si="3"/>
        <v>273</v>
      </c>
      <c r="E454" s="5">
        <f t="shared" si="1"/>
        <v>354</v>
      </c>
      <c r="L454" s="5">
        <f t="shared" si="4"/>
        <v>96</v>
      </c>
      <c r="M454" s="19">
        <f t="shared" si="5"/>
        <v>0.2681564246</v>
      </c>
      <c r="N454" s="5">
        <f t="shared" si="6"/>
        <v>9216</v>
      </c>
      <c r="P454" s="5">
        <f t="shared" si="7"/>
        <v>85</v>
      </c>
      <c r="Q454" s="19">
        <f t="shared" si="8"/>
        <v>0.2374301676</v>
      </c>
      <c r="R454" s="5">
        <f t="shared" si="9"/>
        <v>7225</v>
      </c>
      <c r="T454" s="5">
        <f t="shared" si="10"/>
        <v>4</v>
      </c>
      <c r="U454" s="19">
        <f t="shared" si="11"/>
        <v>0.01117318436</v>
      </c>
      <c r="V454" s="5">
        <f t="shared" si="12"/>
        <v>16</v>
      </c>
    </row>
    <row r="455">
      <c r="A455" s="2">
        <v>41193.0</v>
      </c>
      <c r="B455" s="5">
        <v>37.0</v>
      </c>
      <c r="C455" s="5">
        <f t="shared" si="2"/>
        <v>259</v>
      </c>
      <c r="D455" s="5">
        <f t="shared" si="3"/>
        <v>273</v>
      </c>
      <c r="E455" s="5">
        <f t="shared" si="1"/>
        <v>356</v>
      </c>
      <c r="L455" s="5">
        <f t="shared" si="4"/>
        <v>-222</v>
      </c>
      <c r="M455" s="19">
        <f t="shared" si="5"/>
        <v>6</v>
      </c>
      <c r="N455" s="5">
        <f t="shared" si="6"/>
        <v>49284</v>
      </c>
      <c r="P455" s="5">
        <f t="shared" si="7"/>
        <v>-236</v>
      </c>
      <c r="Q455" s="19">
        <f t="shared" si="8"/>
        <v>6.378378378</v>
      </c>
      <c r="R455" s="5">
        <f t="shared" si="9"/>
        <v>55696</v>
      </c>
      <c r="T455" s="5">
        <f t="shared" si="10"/>
        <v>-319</v>
      </c>
      <c r="U455" s="19">
        <f t="shared" si="11"/>
        <v>8.621621622</v>
      </c>
      <c r="V455" s="5">
        <f t="shared" si="12"/>
        <v>101761</v>
      </c>
    </row>
    <row r="456">
      <c r="A456" s="2">
        <v>41194.0</v>
      </c>
      <c r="B456" s="5">
        <v>0.0</v>
      </c>
      <c r="C456" s="5">
        <f t="shared" si="2"/>
        <v>257</v>
      </c>
      <c r="D456" s="5">
        <f t="shared" si="3"/>
        <v>273</v>
      </c>
      <c r="E456" s="5">
        <f t="shared" si="1"/>
        <v>228</v>
      </c>
      <c r="L456" s="5">
        <f t="shared" si="4"/>
        <v>-257</v>
      </c>
      <c r="M456" s="19">
        <f t="shared" si="5"/>
        <v>1</v>
      </c>
      <c r="N456" s="5">
        <f t="shared" si="6"/>
        <v>66049</v>
      </c>
      <c r="P456" s="5">
        <f t="shared" si="7"/>
        <v>-273</v>
      </c>
      <c r="Q456" s="19">
        <f t="shared" si="8"/>
        <v>1</v>
      </c>
      <c r="R456" s="5">
        <f t="shared" si="9"/>
        <v>74529</v>
      </c>
      <c r="T456" s="5">
        <f t="shared" si="10"/>
        <v>-228</v>
      </c>
      <c r="U456" s="19">
        <f t="shared" si="11"/>
        <v>1</v>
      </c>
      <c r="V456" s="5">
        <f t="shared" si="12"/>
        <v>51984</v>
      </c>
    </row>
    <row r="457">
      <c r="A457" s="2">
        <v>41197.0</v>
      </c>
      <c r="B457" s="5">
        <v>979.0</v>
      </c>
      <c r="C457" s="5">
        <f t="shared" si="2"/>
        <v>257</v>
      </c>
      <c r="D457" s="5">
        <f t="shared" si="3"/>
        <v>272</v>
      </c>
      <c r="E457" s="5">
        <f t="shared" si="1"/>
        <v>137</v>
      </c>
      <c r="L457" s="5">
        <f t="shared" si="4"/>
        <v>722</v>
      </c>
      <c r="M457" s="19">
        <f t="shared" si="5"/>
        <v>0.7374872319</v>
      </c>
      <c r="N457" s="5">
        <f t="shared" si="6"/>
        <v>521284</v>
      </c>
      <c r="P457" s="5">
        <f t="shared" si="7"/>
        <v>707</v>
      </c>
      <c r="Q457" s="19">
        <f t="shared" si="8"/>
        <v>0.722165475</v>
      </c>
      <c r="R457" s="5">
        <f t="shared" si="9"/>
        <v>499849</v>
      </c>
      <c r="T457" s="5">
        <f t="shared" si="10"/>
        <v>842</v>
      </c>
      <c r="U457" s="19">
        <f t="shared" si="11"/>
        <v>0.860061287</v>
      </c>
      <c r="V457" s="5">
        <f t="shared" si="12"/>
        <v>708964</v>
      </c>
    </row>
    <row r="458">
      <c r="A458" s="2">
        <v>41198.0</v>
      </c>
      <c r="B458" s="5">
        <v>469.0</v>
      </c>
      <c r="C458" s="5">
        <f t="shared" si="2"/>
        <v>385</v>
      </c>
      <c r="D458" s="5">
        <f t="shared" si="3"/>
        <v>274</v>
      </c>
      <c r="E458" s="5">
        <f t="shared" si="1"/>
        <v>474</v>
      </c>
      <c r="L458" s="5">
        <f t="shared" si="4"/>
        <v>84</v>
      </c>
      <c r="M458" s="19">
        <f t="shared" si="5"/>
        <v>0.1791044776</v>
      </c>
      <c r="N458" s="5">
        <f t="shared" si="6"/>
        <v>7056</v>
      </c>
      <c r="P458" s="5">
        <f t="shared" si="7"/>
        <v>195</v>
      </c>
      <c r="Q458" s="19">
        <f t="shared" si="8"/>
        <v>0.4157782516</v>
      </c>
      <c r="R458" s="5">
        <f t="shared" si="9"/>
        <v>38025</v>
      </c>
      <c r="T458" s="5">
        <f t="shared" si="10"/>
        <v>-5</v>
      </c>
      <c r="U458" s="19">
        <f t="shared" si="11"/>
        <v>0.01066098081</v>
      </c>
      <c r="V458" s="5">
        <f t="shared" si="12"/>
        <v>25</v>
      </c>
    </row>
    <row r="459">
      <c r="A459" s="2">
        <v>41199.0</v>
      </c>
      <c r="B459" s="5">
        <v>36.0</v>
      </c>
      <c r="C459" s="5">
        <f t="shared" si="2"/>
        <v>369</v>
      </c>
      <c r="D459" s="5">
        <f t="shared" si="3"/>
        <v>274</v>
      </c>
      <c r="E459" s="5">
        <f t="shared" si="1"/>
        <v>472</v>
      </c>
      <c r="L459" s="5">
        <f t="shared" si="4"/>
        <v>-333</v>
      </c>
      <c r="M459" s="19">
        <f t="shared" si="5"/>
        <v>9.25</v>
      </c>
      <c r="N459" s="5">
        <f t="shared" si="6"/>
        <v>110889</v>
      </c>
      <c r="P459" s="5">
        <f t="shared" si="7"/>
        <v>-238</v>
      </c>
      <c r="Q459" s="19">
        <f t="shared" si="8"/>
        <v>6.611111111</v>
      </c>
      <c r="R459" s="5">
        <f t="shared" si="9"/>
        <v>56644</v>
      </c>
      <c r="T459" s="5">
        <f t="shared" si="10"/>
        <v>-436</v>
      </c>
      <c r="U459" s="19">
        <f t="shared" si="11"/>
        <v>12.11111111</v>
      </c>
      <c r="V459" s="5">
        <f t="shared" si="12"/>
        <v>190096</v>
      </c>
    </row>
    <row r="460">
      <c r="A460" s="2">
        <v>41200.0</v>
      </c>
      <c r="B460" s="5">
        <v>6.0</v>
      </c>
      <c r="C460" s="5">
        <f t="shared" si="2"/>
        <v>304</v>
      </c>
      <c r="D460" s="5">
        <f t="shared" si="3"/>
        <v>273</v>
      </c>
      <c r="E460" s="5">
        <f t="shared" si="1"/>
        <v>298</v>
      </c>
      <c r="L460" s="5">
        <f t="shared" si="4"/>
        <v>-298</v>
      </c>
      <c r="M460" s="19">
        <f t="shared" si="5"/>
        <v>49.66666667</v>
      </c>
      <c r="N460" s="5">
        <f t="shared" si="6"/>
        <v>88804</v>
      </c>
      <c r="P460" s="5">
        <f t="shared" si="7"/>
        <v>-267</v>
      </c>
      <c r="Q460" s="19">
        <f t="shared" si="8"/>
        <v>44.5</v>
      </c>
      <c r="R460" s="5">
        <f t="shared" si="9"/>
        <v>71289</v>
      </c>
      <c r="T460" s="5">
        <f t="shared" si="10"/>
        <v>-292</v>
      </c>
      <c r="U460" s="19">
        <f t="shared" si="11"/>
        <v>48.66666667</v>
      </c>
      <c r="V460" s="5">
        <f t="shared" si="12"/>
        <v>85264</v>
      </c>
    </row>
    <row r="461">
      <c r="A461" s="2">
        <v>41201.0</v>
      </c>
      <c r="B461" s="5">
        <v>0.0</v>
      </c>
      <c r="C461" s="5">
        <f t="shared" si="2"/>
        <v>298</v>
      </c>
      <c r="D461" s="5">
        <f t="shared" si="3"/>
        <v>273</v>
      </c>
      <c r="E461" s="5">
        <f t="shared" si="1"/>
        <v>181</v>
      </c>
      <c r="L461" s="5">
        <f t="shared" si="4"/>
        <v>-298</v>
      </c>
      <c r="M461" s="19">
        <f t="shared" si="5"/>
        <v>1</v>
      </c>
      <c r="N461" s="5">
        <f t="shared" si="6"/>
        <v>88804</v>
      </c>
      <c r="P461" s="5">
        <f t="shared" si="7"/>
        <v>-273</v>
      </c>
      <c r="Q461" s="19">
        <f t="shared" si="8"/>
        <v>1</v>
      </c>
      <c r="R461" s="5">
        <f t="shared" si="9"/>
        <v>74529</v>
      </c>
      <c r="T461" s="5">
        <f t="shared" si="10"/>
        <v>-181</v>
      </c>
      <c r="U461" s="19">
        <f t="shared" si="11"/>
        <v>1</v>
      </c>
      <c r="V461" s="5">
        <f t="shared" si="12"/>
        <v>32761</v>
      </c>
    </row>
    <row r="462">
      <c r="A462" s="2">
        <v>41204.0</v>
      </c>
      <c r="B462" s="5">
        <v>458.0</v>
      </c>
      <c r="C462" s="5">
        <f t="shared" si="2"/>
        <v>298</v>
      </c>
      <c r="D462" s="5">
        <f t="shared" si="3"/>
        <v>272</v>
      </c>
      <c r="E462" s="5">
        <f t="shared" si="1"/>
        <v>109</v>
      </c>
      <c r="L462" s="5">
        <f t="shared" si="4"/>
        <v>160</v>
      </c>
      <c r="M462" s="19">
        <f t="shared" si="5"/>
        <v>0.3493449782</v>
      </c>
      <c r="N462" s="5">
        <f t="shared" si="6"/>
        <v>25600</v>
      </c>
      <c r="P462" s="5">
        <f t="shared" si="7"/>
        <v>186</v>
      </c>
      <c r="Q462" s="19">
        <f t="shared" si="8"/>
        <v>0.4061135371</v>
      </c>
      <c r="R462" s="5">
        <f t="shared" si="9"/>
        <v>34596</v>
      </c>
      <c r="T462" s="5">
        <f t="shared" si="10"/>
        <v>349</v>
      </c>
      <c r="U462" s="19">
        <f t="shared" si="11"/>
        <v>0.7620087336</v>
      </c>
      <c r="V462" s="5">
        <f t="shared" si="12"/>
        <v>121801</v>
      </c>
    </row>
    <row r="463">
      <c r="A463" s="2">
        <v>41205.0</v>
      </c>
      <c r="B463" s="5">
        <v>534.0</v>
      </c>
      <c r="C463" s="5">
        <f t="shared" si="2"/>
        <v>194</v>
      </c>
      <c r="D463" s="5">
        <f t="shared" si="3"/>
        <v>273</v>
      </c>
      <c r="E463" s="5">
        <f t="shared" si="1"/>
        <v>249</v>
      </c>
      <c r="L463" s="5">
        <f t="shared" si="4"/>
        <v>340</v>
      </c>
      <c r="M463" s="19">
        <f t="shared" si="5"/>
        <v>0.6367041199</v>
      </c>
      <c r="N463" s="5">
        <f t="shared" si="6"/>
        <v>115600</v>
      </c>
      <c r="P463" s="5">
        <f t="shared" si="7"/>
        <v>261</v>
      </c>
      <c r="Q463" s="19">
        <f t="shared" si="8"/>
        <v>0.4887640449</v>
      </c>
      <c r="R463" s="5">
        <f t="shared" si="9"/>
        <v>68121</v>
      </c>
      <c r="T463" s="5">
        <f t="shared" si="10"/>
        <v>285</v>
      </c>
      <c r="U463" s="19">
        <f t="shared" si="11"/>
        <v>0.5337078652</v>
      </c>
      <c r="V463" s="5">
        <f t="shared" si="12"/>
        <v>81225</v>
      </c>
    </row>
    <row r="464">
      <c r="A464" s="2">
        <v>41206.0</v>
      </c>
      <c r="B464" s="5">
        <v>476.0</v>
      </c>
      <c r="C464" s="5">
        <f t="shared" si="2"/>
        <v>207</v>
      </c>
      <c r="D464" s="5">
        <f t="shared" si="3"/>
        <v>273</v>
      </c>
      <c r="E464" s="5">
        <f t="shared" si="1"/>
        <v>363</v>
      </c>
      <c r="L464" s="5">
        <f t="shared" si="4"/>
        <v>269</v>
      </c>
      <c r="M464" s="19">
        <f t="shared" si="5"/>
        <v>0.5651260504</v>
      </c>
      <c r="N464" s="5">
        <f t="shared" si="6"/>
        <v>72361</v>
      </c>
      <c r="P464" s="5">
        <f t="shared" si="7"/>
        <v>203</v>
      </c>
      <c r="Q464" s="19">
        <f t="shared" si="8"/>
        <v>0.4264705882</v>
      </c>
      <c r="R464" s="5">
        <f t="shared" si="9"/>
        <v>41209</v>
      </c>
      <c r="T464" s="5">
        <f t="shared" si="10"/>
        <v>113</v>
      </c>
      <c r="U464" s="19">
        <f t="shared" si="11"/>
        <v>0.237394958</v>
      </c>
      <c r="V464" s="5">
        <f t="shared" si="12"/>
        <v>12769</v>
      </c>
    </row>
    <row r="465">
      <c r="A465" s="2">
        <v>41207.0</v>
      </c>
      <c r="B465" s="5">
        <v>6.0</v>
      </c>
      <c r="C465" s="5">
        <f t="shared" si="2"/>
        <v>295</v>
      </c>
      <c r="D465" s="5">
        <f t="shared" si="3"/>
        <v>274</v>
      </c>
      <c r="E465" s="5">
        <f t="shared" si="1"/>
        <v>408</v>
      </c>
      <c r="L465" s="5">
        <f t="shared" si="4"/>
        <v>-289</v>
      </c>
      <c r="M465" s="19">
        <f t="shared" si="5"/>
        <v>48.16666667</v>
      </c>
      <c r="N465" s="5">
        <f t="shared" si="6"/>
        <v>83521</v>
      </c>
      <c r="P465" s="5">
        <f t="shared" si="7"/>
        <v>-268</v>
      </c>
      <c r="Q465" s="19">
        <f t="shared" si="8"/>
        <v>44.66666667</v>
      </c>
      <c r="R465" s="5">
        <f t="shared" si="9"/>
        <v>71824</v>
      </c>
      <c r="T465" s="5">
        <f t="shared" si="10"/>
        <v>-402</v>
      </c>
      <c r="U465" s="19">
        <f t="shared" si="11"/>
        <v>67</v>
      </c>
      <c r="V465" s="5">
        <f t="shared" si="12"/>
        <v>161604</v>
      </c>
    </row>
    <row r="466">
      <c r="A466" s="2">
        <v>41208.0</v>
      </c>
      <c r="B466" s="5">
        <v>0.0</v>
      </c>
      <c r="C466" s="5">
        <f t="shared" si="2"/>
        <v>295</v>
      </c>
      <c r="D466" s="5">
        <f t="shared" si="3"/>
        <v>273</v>
      </c>
      <c r="E466" s="5">
        <f t="shared" si="1"/>
        <v>247</v>
      </c>
      <c r="L466" s="5">
        <f t="shared" si="4"/>
        <v>-295</v>
      </c>
      <c r="M466" s="19">
        <f t="shared" si="5"/>
        <v>1</v>
      </c>
      <c r="N466" s="5">
        <f t="shared" si="6"/>
        <v>87025</v>
      </c>
      <c r="P466" s="5">
        <f t="shared" si="7"/>
        <v>-273</v>
      </c>
      <c r="Q466" s="19">
        <f t="shared" si="8"/>
        <v>1</v>
      </c>
      <c r="R466" s="5">
        <f t="shared" si="9"/>
        <v>74529</v>
      </c>
      <c r="T466" s="5">
        <f t="shared" si="10"/>
        <v>-247</v>
      </c>
      <c r="U466" s="19">
        <f t="shared" si="11"/>
        <v>1</v>
      </c>
      <c r="V466" s="5">
        <f t="shared" si="12"/>
        <v>61009</v>
      </c>
    </row>
    <row r="467">
      <c r="A467" s="2">
        <v>41213.0</v>
      </c>
      <c r="B467" s="5">
        <v>1418.0</v>
      </c>
      <c r="C467" s="5">
        <f t="shared" si="2"/>
        <v>295</v>
      </c>
      <c r="D467" s="5">
        <f t="shared" si="3"/>
        <v>273</v>
      </c>
      <c r="E467" s="5">
        <f t="shared" si="1"/>
        <v>148</v>
      </c>
      <c r="L467" s="5">
        <f t="shared" si="4"/>
        <v>1123</v>
      </c>
      <c r="M467" s="19">
        <f t="shared" si="5"/>
        <v>0.7919605078</v>
      </c>
      <c r="N467" s="5">
        <f t="shared" si="6"/>
        <v>1261129</v>
      </c>
      <c r="P467" s="5">
        <f t="shared" si="7"/>
        <v>1145</v>
      </c>
      <c r="Q467" s="19">
        <f t="shared" si="8"/>
        <v>0.8074753173</v>
      </c>
      <c r="R467" s="5">
        <f t="shared" si="9"/>
        <v>1311025</v>
      </c>
      <c r="T467" s="5">
        <f t="shared" si="10"/>
        <v>1270</v>
      </c>
      <c r="U467" s="19">
        <f t="shared" si="11"/>
        <v>0.8956276446</v>
      </c>
      <c r="V467" s="5">
        <f t="shared" si="12"/>
        <v>1612900</v>
      </c>
    </row>
    <row r="468">
      <c r="A468" s="2">
        <v>41214.0</v>
      </c>
      <c r="B468" s="5">
        <v>18.0</v>
      </c>
      <c r="C468" s="5">
        <f t="shared" si="2"/>
        <v>487</v>
      </c>
      <c r="D468" s="5">
        <f t="shared" si="3"/>
        <v>275</v>
      </c>
      <c r="E468" s="5">
        <f t="shared" si="1"/>
        <v>656</v>
      </c>
      <c r="L468" s="5">
        <f t="shared" si="4"/>
        <v>-469</v>
      </c>
      <c r="M468" s="19">
        <f t="shared" si="5"/>
        <v>26.05555556</v>
      </c>
      <c r="N468" s="5">
        <f t="shared" si="6"/>
        <v>219961</v>
      </c>
      <c r="P468" s="5">
        <f t="shared" si="7"/>
        <v>-257</v>
      </c>
      <c r="Q468" s="19">
        <f t="shared" si="8"/>
        <v>14.27777778</v>
      </c>
      <c r="R468" s="5">
        <f t="shared" si="9"/>
        <v>66049</v>
      </c>
      <c r="T468" s="5">
        <f t="shared" si="10"/>
        <v>-638</v>
      </c>
      <c r="U468" s="19">
        <f t="shared" si="11"/>
        <v>35.44444444</v>
      </c>
      <c r="V468" s="5">
        <f t="shared" si="12"/>
        <v>407044</v>
      </c>
    </row>
    <row r="469">
      <c r="A469" s="2">
        <v>41215.0</v>
      </c>
      <c r="B469" s="5">
        <v>0.0</v>
      </c>
      <c r="C469" s="5">
        <f t="shared" si="2"/>
        <v>384</v>
      </c>
      <c r="D469" s="5">
        <f t="shared" si="3"/>
        <v>274</v>
      </c>
      <c r="E469" s="5">
        <f t="shared" si="1"/>
        <v>401</v>
      </c>
      <c r="L469" s="5">
        <f t="shared" si="4"/>
        <v>-384</v>
      </c>
      <c r="M469" s="19">
        <f t="shared" si="5"/>
        <v>1</v>
      </c>
      <c r="N469" s="5">
        <f t="shared" si="6"/>
        <v>147456</v>
      </c>
      <c r="P469" s="5">
        <f t="shared" si="7"/>
        <v>-274</v>
      </c>
      <c r="Q469" s="19">
        <f t="shared" si="8"/>
        <v>1</v>
      </c>
      <c r="R469" s="5">
        <f t="shared" si="9"/>
        <v>75076</v>
      </c>
      <c r="T469" s="5">
        <f t="shared" si="10"/>
        <v>-401</v>
      </c>
      <c r="U469" s="19">
        <f t="shared" si="11"/>
        <v>1</v>
      </c>
      <c r="V469" s="5">
        <f t="shared" si="12"/>
        <v>160801</v>
      </c>
    </row>
    <row r="470">
      <c r="A470" s="2">
        <v>41218.0</v>
      </c>
      <c r="B470" s="5">
        <v>301.0</v>
      </c>
      <c r="C470" s="5">
        <f t="shared" si="2"/>
        <v>288</v>
      </c>
      <c r="D470" s="5">
        <f t="shared" si="3"/>
        <v>274</v>
      </c>
      <c r="E470" s="5">
        <f t="shared" si="1"/>
        <v>241</v>
      </c>
      <c r="L470" s="5">
        <f t="shared" si="4"/>
        <v>13</v>
      </c>
      <c r="M470" s="19">
        <f t="shared" si="5"/>
        <v>0.04318936877</v>
      </c>
      <c r="N470" s="5">
        <f t="shared" si="6"/>
        <v>169</v>
      </c>
      <c r="P470" s="5">
        <f t="shared" si="7"/>
        <v>27</v>
      </c>
      <c r="Q470" s="19">
        <f t="shared" si="8"/>
        <v>0.08970099668</v>
      </c>
      <c r="R470" s="5">
        <f t="shared" si="9"/>
        <v>729</v>
      </c>
      <c r="T470" s="5">
        <f t="shared" si="10"/>
        <v>60</v>
      </c>
      <c r="U470" s="19">
        <f t="shared" si="11"/>
        <v>0.1993355482</v>
      </c>
      <c r="V470" s="5">
        <f t="shared" si="12"/>
        <v>3600</v>
      </c>
    </row>
    <row r="471">
      <c r="A471" s="2">
        <v>41219.0</v>
      </c>
      <c r="B471" s="5">
        <v>438.0</v>
      </c>
      <c r="C471" s="5">
        <f t="shared" si="2"/>
        <v>347</v>
      </c>
      <c r="D471" s="5">
        <f t="shared" si="3"/>
        <v>274</v>
      </c>
      <c r="E471" s="5">
        <f t="shared" si="1"/>
        <v>265</v>
      </c>
      <c r="L471" s="5">
        <f t="shared" si="4"/>
        <v>91</v>
      </c>
      <c r="M471" s="19">
        <f t="shared" si="5"/>
        <v>0.2077625571</v>
      </c>
      <c r="N471" s="5">
        <f t="shared" si="6"/>
        <v>8281</v>
      </c>
      <c r="P471" s="5">
        <f t="shared" si="7"/>
        <v>164</v>
      </c>
      <c r="Q471" s="19">
        <f t="shared" si="8"/>
        <v>0.3744292237</v>
      </c>
      <c r="R471" s="5">
        <f t="shared" si="9"/>
        <v>26896</v>
      </c>
      <c r="T471" s="5">
        <f t="shared" si="10"/>
        <v>173</v>
      </c>
      <c r="U471" s="19">
        <f t="shared" si="11"/>
        <v>0.3949771689</v>
      </c>
      <c r="V471" s="5">
        <f t="shared" si="12"/>
        <v>29929</v>
      </c>
    </row>
    <row r="472">
      <c r="A472" s="2">
        <v>41220.0</v>
      </c>
      <c r="B472" s="5">
        <v>30.0</v>
      </c>
      <c r="C472" s="5">
        <f t="shared" si="2"/>
        <v>435</v>
      </c>
      <c r="D472" s="5">
        <f t="shared" si="3"/>
        <v>274</v>
      </c>
      <c r="E472" s="5">
        <f t="shared" si="1"/>
        <v>334</v>
      </c>
      <c r="L472" s="5">
        <f t="shared" si="4"/>
        <v>-405</v>
      </c>
      <c r="M472" s="19">
        <f t="shared" si="5"/>
        <v>13.5</v>
      </c>
      <c r="N472" s="5">
        <f t="shared" si="6"/>
        <v>164025</v>
      </c>
      <c r="P472" s="5">
        <f t="shared" si="7"/>
        <v>-244</v>
      </c>
      <c r="Q472" s="19">
        <f t="shared" si="8"/>
        <v>8.133333333</v>
      </c>
      <c r="R472" s="5">
        <f t="shared" si="9"/>
        <v>59536</v>
      </c>
      <c r="T472" s="5">
        <f t="shared" si="10"/>
        <v>-304</v>
      </c>
      <c r="U472" s="19">
        <f t="shared" si="11"/>
        <v>10.13333333</v>
      </c>
      <c r="V472" s="5">
        <f t="shared" si="12"/>
        <v>92416</v>
      </c>
    </row>
    <row r="473">
      <c r="A473" s="2">
        <v>41221.0</v>
      </c>
      <c r="B473" s="5">
        <v>432.0</v>
      </c>
      <c r="C473" s="5">
        <f t="shared" si="2"/>
        <v>157</v>
      </c>
      <c r="D473" s="5">
        <f t="shared" si="3"/>
        <v>274</v>
      </c>
      <c r="E473" s="5">
        <f t="shared" si="1"/>
        <v>212</v>
      </c>
      <c r="L473" s="5">
        <f t="shared" si="4"/>
        <v>275</v>
      </c>
      <c r="M473" s="19">
        <f t="shared" si="5"/>
        <v>0.6365740741</v>
      </c>
      <c r="N473" s="5">
        <f t="shared" si="6"/>
        <v>75625</v>
      </c>
      <c r="P473" s="5">
        <f t="shared" si="7"/>
        <v>158</v>
      </c>
      <c r="Q473" s="19">
        <f t="shared" si="8"/>
        <v>0.3657407407</v>
      </c>
      <c r="R473" s="5">
        <f t="shared" si="9"/>
        <v>24964</v>
      </c>
      <c r="T473" s="5">
        <f t="shared" si="10"/>
        <v>220</v>
      </c>
      <c r="U473" s="19">
        <f t="shared" si="11"/>
        <v>0.5092592593</v>
      </c>
      <c r="V473" s="5">
        <f t="shared" si="12"/>
        <v>48400</v>
      </c>
    </row>
    <row r="474">
      <c r="A474" s="2">
        <v>41222.0</v>
      </c>
      <c r="B474" s="5">
        <v>0.0</v>
      </c>
      <c r="C474" s="5">
        <f t="shared" si="2"/>
        <v>240</v>
      </c>
      <c r="D474" s="5">
        <f t="shared" si="3"/>
        <v>274</v>
      </c>
      <c r="E474" s="5">
        <f t="shared" si="1"/>
        <v>300</v>
      </c>
      <c r="L474" s="5">
        <f t="shared" si="4"/>
        <v>-240</v>
      </c>
      <c r="M474" s="19">
        <f t="shared" si="5"/>
        <v>1</v>
      </c>
      <c r="N474" s="5">
        <f t="shared" si="6"/>
        <v>57600</v>
      </c>
      <c r="P474" s="5">
        <f t="shared" si="7"/>
        <v>-274</v>
      </c>
      <c r="Q474" s="19">
        <f t="shared" si="8"/>
        <v>1</v>
      </c>
      <c r="R474" s="5">
        <f t="shared" si="9"/>
        <v>75076</v>
      </c>
      <c r="T474" s="5">
        <f t="shared" si="10"/>
        <v>-300</v>
      </c>
      <c r="U474" s="19">
        <f t="shared" si="11"/>
        <v>1</v>
      </c>
      <c r="V474" s="5">
        <f t="shared" si="12"/>
        <v>90000</v>
      </c>
    </row>
    <row r="475">
      <c r="A475" s="2">
        <v>41225.0</v>
      </c>
      <c r="B475" s="5">
        <v>660.0</v>
      </c>
      <c r="C475" s="5">
        <f t="shared" si="2"/>
        <v>240</v>
      </c>
      <c r="D475" s="5">
        <f t="shared" si="3"/>
        <v>274</v>
      </c>
      <c r="E475" s="5">
        <f t="shared" si="1"/>
        <v>180</v>
      </c>
      <c r="L475" s="5">
        <f t="shared" si="4"/>
        <v>420</v>
      </c>
      <c r="M475" s="19">
        <f t="shared" si="5"/>
        <v>0.6363636364</v>
      </c>
      <c r="N475" s="5">
        <f t="shared" si="6"/>
        <v>176400</v>
      </c>
      <c r="P475" s="5">
        <f t="shared" si="7"/>
        <v>386</v>
      </c>
      <c r="Q475" s="19">
        <f t="shared" si="8"/>
        <v>0.5848484848</v>
      </c>
      <c r="R475" s="5">
        <f t="shared" si="9"/>
        <v>148996</v>
      </c>
      <c r="T475" s="5">
        <f t="shared" si="10"/>
        <v>480</v>
      </c>
      <c r="U475" s="19">
        <f t="shared" si="11"/>
        <v>0.7272727273</v>
      </c>
      <c r="V475" s="5">
        <f t="shared" si="12"/>
        <v>230400</v>
      </c>
    </row>
    <row r="476">
      <c r="A476" s="2">
        <v>41226.0</v>
      </c>
      <c r="B476" s="5">
        <v>504.0</v>
      </c>
      <c r="C476" s="5">
        <f t="shared" si="2"/>
        <v>312</v>
      </c>
      <c r="D476" s="5">
        <f t="shared" si="3"/>
        <v>274</v>
      </c>
      <c r="E476" s="5">
        <f t="shared" si="1"/>
        <v>372</v>
      </c>
      <c r="L476" s="5">
        <f t="shared" si="4"/>
        <v>192</v>
      </c>
      <c r="M476" s="19">
        <f t="shared" si="5"/>
        <v>0.380952381</v>
      </c>
      <c r="N476" s="5">
        <f t="shared" si="6"/>
        <v>36864</v>
      </c>
      <c r="P476" s="5">
        <f t="shared" si="7"/>
        <v>230</v>
      </c>
      <c r="Q476" s="19">
        <f t="shared" si="8"/>
        <v>0.4563492063</v>
      </c>
      <c r="R476" s="5">
        <f t="shared" si="9"/>
        <v>52900</v>
      </c>
      <c r="T476" s="5">
        <f t="shared" si="10"/>
        <v>132</v>
      </c>
      <c r="U476" s="19">
        <f t="shared" si="11"/>
        <v>0.2619047619</v>
      </c>
      <c r="V476" s="5">
        <f t="shared" si="12"/>
        <v>17424</v>
      </c>
    </row>
    <row r="477">
      <c r="A477" s="2">
        <v>41227.0</v>
      </c>
      <c r="B477" s="5">
        <v>510.0</v>
      </c>
      <c r="C477" s="5">
        <f t="shared" si="2"/>
        <v>325</v>
      </c>
      <c r="D477" s="5">
        <f t="shared" si="3"/>
        <v>275</v>
      </c>
      <c r="E477" s="5">
        <f t="shared" si="1"/>
        <v>425</v>
      </c>
      <c r="L477" s="5">
        <f t="shared" si="4"/>
        <v>185</v>
      </c>
      <c r="M477" s="19">
        <f t="shared" si="5"/>
        <v>0.362745098</v>
      </c>
      <c r="N477" s="5">
        <f t="shared" si="6"/>
        <v>34225</v>
      </c>
      <c r="P477" s="5">
        <f t="shared" si="7"/>
        <v>235</v>
      </c>
      <c r="Q477" s="19">
        <f t="shared" si="8"/>
        <v>0.4607843137</v>
      </c>
      <c r="R477" s="5">
        <f t="shared" si="9"/>
        <v>55225</v>
      </c>
      <c r="T477" s="5">
        <f t="shared" si="10"/>
        <v>85</v>
      </c>
      <c r="U477" s="19">
        <f t="shared" si="11"/>
        <v>0.1666666667</v>
      </c>
      <c r="V477" s="5">
        <f t="shared" si="12"/>
        <v>7225</v>
      </c>
    </row>
    <row r="478">
      <c r="A478" s="2">
        <v>41228.0</v>
      </c>
      <c r="B478" s="5">
        <v>51.0</v>
      </c>
      <c r="C478" s="5">
        <f t="shared" si="2"/>
        <v>421</v>
      </c>
      <c r="D478" s="5">
        <f t="shared" si="3"/>
        <v>275</v>
      </c>
      <c r="E478" s="5">
        <f t="shared" si="1"/>
        <v>459</v>
      </c>
      <c r="L478" s="5">
        <f t="shared" si="4"/>
        <v>-370</v>
      </c>
      <c r="M478" s="19">
        <f t="shared" si="5"/>
        <v>7.254901961</v>
      </c>
      <c r="N478" s="5">
        <f t="shared" si="6"/>
        <v>136900</v>
      </c>
      <c r="P478" s="5">
        <f t="shared" si="7"/>
        <v>-224</v>
      </c>
      <c r="Q478" s="19">
        <f t="shared" si="8"/>
        <v>4.392156863</v>
      </c>
      <c r="R478" s="5">
        <f t="shared" si="9"/>
        <v>50176</v>
      </c>
      <c r="T478" s="5">
        <f t="shared" si="10"/>
        <v>-408</v>
      </c>
      <c r="U478" s="19">
        <f t="shared" si="11"/>
        <v>8</v>
      </c>
      <c r="V478" s="5">
        <f t="shared" si="12"/>
        <v>166464</v>
      </c>
    </row>
    <row r="479">
      <c r="A479" s="2">
        <v>41229.0</v>
      </c>
      <c r="B479" s="5">
        <v>0.0</v>
      </c>
      <c r="C479" s="5">
        <f t="shared" si="2"/>
        <v>345</v>
      </c>
      <c r="D479" s="5">
        <f t="shared" si="3"/>
        <v>275</v>
      </c>
      <c r="E479" s="5">
        <f t="shared" si="1"/>
        <v>296</v>
      </c>
      <c r="L479" s="5">
        <f t="shared" si="4"/>
        <v>-345</v>
      </c>
      <c r="M479" s="19">
        <f t="shared" si="5"/>
        <v>1</v>
      </c>
      <c r="N479" s="5">
        <f t="shared" si="6"/>
        <v>119025</v>
      </c>
      <c r="P479" s="5">
        <f t="shared" si="7"/>
        <v>-275</v>
      </c>
      <c r="Q479" s="19">
        <f t="shared" si="8"/>
        <v>1</v>
      </c>
      <c r="R479" s="5">
        <f t="shared" si="9"/>
        <v>75625</v>
      </c>
      <c r="T479" s="5">
        <f t="shared" si="10"/>
        <v>-296</v>
      </c>
      <c r="U479" s="19">
        <f t="shared" si="11"/>
        <v>1</v>
      </c>
      <c r="V479" s="5">
        <f t="shared" si="12"/>
        <v>87616</v>
      </c>
    </row>
    <row r="480">
      <c r="A480" s="2">
        <v>41232.0</v>
      </c>
      <c r="B480" s="5">
        <v>458.0</v>
      </c>
      <c r="C480" s="5">
        <f t="shared" si="2"/>
        <v>345</v>
      </c>
      <c r="D480" s="5">
        <f t="shared" si="3"/>
        <v>274</v>
      </c>
      <c r="E480" s="5">
        <f t="shared" si="1"/>
        <v>178</v>
      </c>
      <c r="L480" s="5">
        <f t="shared" si="4"/>
        <v>113</v>
      </c>
      <c r="M480" s="19">
        <f t="shared" si="5"/>
        <v>0.2467248908</v>
      </c>
      <c r="N480" s="5">
        <f t="shared" si="6"/>
        <v>12769</v>
      </c>
      <c r="P480" s="5">
        <f t="shared" si="7"/>
        <v>184</v>
      </c>
      <c r="Q480" s="19">
        <f t="shared" si="8"/>
        <v>0.4017467249</v>
      </c>
      <c r="R480" s="5">
        <f t="shared" si="9"/>
        <v>33856</v>
      </c>
      <c r="T480" s="5">
        <f t="shared" si="10"/>
        <v>280</v>
      </c>
      <c r="U480" s="19">
        <f t="shared" si="11"/>
        <v>0.6113537118</v>
      </c>
      <c r="V480" s="5">
        <f t="shared" si="12"/>
        <v>78400</v>
      </c>
    </row>
    <row r="481">
      <c r="A481" s="2">
        <v>41233.0</v>
      </c>
      <c r="B481" s="5">
        <v>1110.0</v>
      </c>
      <c r="C481" s="5">
        <f t="shared" si="2"/>
        <v>305</v>
      </c>
      <c r="D481" s="5">
        <f t="shared" si="3"/>
        <v>275</v>
      </c>
      <c r="E481" s="5">
        <f t="shared" si="1"/>
        <v>290</v>
      </c>
      <c r="L481" s="5">
        <f t="shared" si="4"/>
        <v>805</v>
      </c>
      <c r="M481" s="19">
        <f t="shared" si="5"/>
        <v>0.7252252252</v>
      </c>
      <c r="N481" s="5">
        <f t="shared" si="6"/>
        <v>648025</v>
      </c>
      <c r="P481" s="5">
        <f t="shared" si="7"/>
        <v>835</v>
      </c>
      <c r="Q481" s="19">
        <f t="shared" si="8"/>
        <v>0.7522522523</v>
      </c>
      <c r="R481" s="5">
        <f t="shared" si="9"/>
        <v>697225</v>
      </c>
      <c r="T481" s="5">
        <f t="shared" si="10"/>
        <v>820</v>
      </c>
      <c r="U481" s="19">
        <f t="shared" si="11"/>
        <v>0.7387387387</v>
      </c>
      <c r="V481" s="5">
        <f t="shared" si="12"/>
        <v>672400</v>
      </c>
    </row>
    <row r="482">
      <c r="A482" s="2">
        <v>41234.0</v>
      </c>
      <c r="B482" s="5">
        <v>0.0</v>
      </c>
      <c r="C482" s="5">
        <f t="shared" si="2"/>
        <v>426</v>
      </c>
      <c r="D482" s="5">
        <f t="shared" si="3"/>
        <v>276</v>
      </c>
      <c r="E482" s="5">
        <f t="shared" si="1"/>
        <v>618</v>
      </c>
      <c r="L482" s="5">
        <f t="shared" si="4"/>
        <v>-426</v>
      </c>
      <c r="M482" s="19">
        <f t="shared" si="5"/>
        <v>1</v>
      </c>
      <c r="N482" s="5">
        <f t="shared" si="6"/>
        <v>181476</v>
      </c>
      <c r="P482" s="5">
        <f t="shared" si="7"/>
        <v>-276</v>
      </c>
      <c r="Q482" s="19">
        <f t="shared" si="8"/>
        <v>1</v>
      </c>
      <c r="R482" s="5">
        <f t="shared" si="9"/>
        <v>76176</v>
      </c>
      <c r="T482" s="5">
        <f t="shared" si="10"/>
        <v>-618</v>
      </c>
      <c r="U482" s="19">
        <f t="shared" si="11"/>
        <v>1</v>
      </c>
      <c r="V482" s="5">
        <f t="shared" si="12"/>
        <v>381924</v>
      </c>
    </row>
    <row r="483">
      <c r="A483" s="2">
        <v>41239.0</v>
      </c>
      <c r="B483" s="5">
        <v>260.0</v>
      </c>
      <c r="C483" s="5">
        <f t="shared" si="2"/>
        <v>324</v>
      </c>
      <c r="D483" s="5">
        <f t="shared" si="3"/>
        <v>276</v>
      </c>
      <c r="E483" s="5">
        <f t="shared" si="1"/>
        <v>371</v>
      </c>
      <c r="L483" s="5">
        <f t="shared" si="4"/>
        <v>-64</v>
      </c>
      <c r="M483" s="19">
        <f t="shared" si="5"/>
        <v>0.2461538462</v>
      </c>
      <c r="N483" s="5">
        <f t="shared" si="6"/>
        <v>4096</v>
      </c>
      <c r="P483" s="5">
        <f t="shared" si="7"/>
        <v>-16</v>
      </c>
      <c r="Q483" s="19">
        <f t="shared" si="8"/>
        <v>0.06153846154</v>
      </c>
      <c r="R483" s="5">
        <f t="shared" si="9"/>
        <v>256</v>
      </c>
      <c r="T483" s="5">
        <f t="shared" si="10"/>
        <v>-111</v>
      </c>
      <c r="U483" s="19">
        <f t="shared" si="11"/>
        <v>0.4269230769</v>
      </c>
      <c r="V483" s="5">
        <f t="shared" si="12"/>
        <v>12321</v>
      </c>
    </row>
    <row r="484">
      <c r="A484" s="2">
        <v>41240.0</v>
      </c>
      <c r="B484" s="5">
        <v>468.0</v>
      </c>
      <c r="C484" s="5">
        <f t="shared" si="2"/>
        <v>366</v>
      </c>
      <c r="D484" s="5">
        <f t="shared" si="3"/>
        <v>276</v>
      </c>
      <c r="E484" s="5">
        <f t="shared" si="1"/>
        <v>327</v>
      </c>
      <c r="L484" s="5">
        <f t="shared" si="4"/>
        <v>102</v>
      </c>
      <c r="M484" s="19">
        <f t="shared" si="5"/>
        <v>0.2179487179</v>
      </c>
      <c r="N484" s="5">
        <f t="shared" si="6"/>
        <v>10404</v>
      </c>
      <c r="P484" s="5">
        <f t="shared" si="7"/>
        <v>192</v>
      </c>
      <c r="Q484" s="19">
        <f t="shared" si="8"/>
        <v>0.4102564103</v>
      </c>
      <c r="R484" s="5">
        <f t="shared" si="9"/>
        <v>36864</v>
      </c>
      <c r="T484" s="5">
        <f t="shared" si="10"/>
        <v>141</v>
      </c>
      <c r="U484" s="19">
        <f t="shared" si="11"/>
        <v>0.3012820513</v>
      </c>
      <c r="V484" s="5">
        <f t="shared" si="12"/>
        <v>19881</v>
      </c>
    </row>
    <row r="485">
      <c r="A485" s="2">
        <v>41241.0</v>
      </c>
      <c r="B485" s="5">
        <v>306.0</v>
      </c>
      <c r="C485" s="5">
        <f t="shared" si="2"/>
        <v>459</v>
      </c>
      <c r="D485" s="5">
        <f t="shared" si="3"/>
        <v>276</v>
      </c>
      <c r="E485" s="5">
        <f t="shared" si="1"/>
        <v>383</v>
      </c>
      <c r="L485" s="5">
        <f t="shared" si="4"/>
        <v>-153</v>
      </c>
      <c r="M485" s="19">
        <f t="shared" si="5"/>
        <v>0.5</v>
      </c>
      <c r="N485" s="5">
        <f t="shared" si="6"/>
        <v>23409</v>
      </c>
      <c r="P485" s="5">
        <f t="shared" si="7"/>
        <v>30</v>
      </c>
      <c r="Q485" s="19">
        <f t="shared" si="8"/>
        <v>0.09803921569</v>
      </c>
      <c r="R485" s="5">
        <f t="shared" si="9"/>
        <v>900</v>
      </c>
      <c r="T485" s="5">
        <f t="shared" si="10"/>
        <v>-77</v>
      </c>
      <c r="U485" s="19">
        <f t="shared" si="11"/>
        <v>0.2516339869</v>
      </c>
      <c r="V485" s="5">
        <f t="shared" si="12"/>
        <v>5929</v>
      </c>
    </row>
    <row r="486">
      <c r="A486" s="2">
        <v>41242.0</v>
      </c>
      <c r="B486" s="5">
        <v>6.0</v>
      </c>
      <c r="C486" s="5">
        <f t="shared" si="2"/>
        <v>429</v>
      </c>
      <c r="D486" s="5">
        <f t="shared" si="3"/>
        <v>276</v>
      </c>
      <c r="E486" s="5">
        <f t="shared" si="1"/>
        <v>352</v>
      </c>
      <c r="L486" s="5">
        <f t="shared" si="4"/>
        <v>-423</v>
      </c>
      <c r="M486" s="19">
        <f t="shared" si="5"/>
        <v>70.5</v>
      </c>
      <c r="N486" s="5">
        <f t="shared" si="6"/>
        <v>178929</v>
      </c>
      <c r="P486" s="5">
        <f t="shared" si="7"/>
        <v>-270</v>
      </c>
      <c r="Q486" s="19">
        <f t="shared" si="8"/>
        <v>45</v>
      </c>
      <c r="R486" s="5">
        <f t="shared" si="9"/>
        <v>72900</v>
      </c>
      <c r="T486" s="5">
        <f t="shared" si="10"/>
        <v>-346</v>
      </c>
      <c r="U486" s="19">
        <f t="shared" si="11"/>
        <v>57.66666667</v>
      </c>
      <c r="V486" s="5">
        <f t="shared" si="12"/>
        <v>119716</v>
      </c>
    </row>
    <row r="487">
      <c r="A487" s="2">
        <v>41243.0</v>
      </c>
      <c r="B487" s="5">
        <v>0.0</v>
      </c>
      <c r="C487" s="5">
        <f t="shared" si="2"/>
        <v>208</v>
      </c>
      <c r="D487" s="5">
        <f t="shared" si="3"/>
        <v>276</v>
      </c>
      <c r="E487" s="5">
        <f t="shared" si="1"/>
        <v>214</v>
      </c>
      <c r="L487" s="5">
        <f t="shared" si="4"/>
        <v>-208</v>
      </c>
      <c r="M487" s="19">
        <f t="shared" si="5"/>
        <v>1</v>
      </c>
      <c r="N487" s="5">
        <f t="shared" si="6"/>
        <v>43264</v>
      </c>
      <c r="P487" s="5">
        <f t="shared" si="7"/>
        <v>-276</v>
      </c>
      <c r="Q487" s="19">
        <f t="shared" si="8"/>
        <v>1</v>
      </c>
      <c r="R487" s="5">
        <f t="shared" si="9"/>
        <v>76176</v>
      </c>
      <c r="T487" s="5">
        <f t="shared" si="10"/>
        <v>-214</v>
      </c>
      <c r="U487" s="19">
        <f t="shared" si="11"/>
        <v>1</v>
      </c>
      <c r="V487" s="5">
        <f t="shared" si="12"/>
        <v>45796</v>
      </c>
    </row>
    <row r="488">
      <c r="A488" s="2">
        <v>41246.0</v>
      </c>
      <c r="B488" s="5">
        <v>312.0</v>
      </c>
      <c r="C488" s="5">
        <f t="shared" si="2"/>
        <v>208</v>
      </c>
      <c r="D488" s="5">
        <f t="shared" si="3"/>
        <v>275</v>
      </c>
      <c r="E488" s="5">
        <f t="shared" si="1"/>
        <v>128</v>
      </c>
      <c r="L488" s="5">
        <f t="shared" si="4"/>
        <v>104</v>
      </c>
      <c r="M488" s="19">
        <f t="shared" si="5"/>
        <v>0.3333333333</v>
      </c>
      <c r="N488" s="5">
        <f t="shared" si="6"/>
        <v>10816</v>
      </c>
      <c r="P488" s="5">
        <f t="shared" si="7"/>
        <v>37</v>
      </c>
      <c r="Q488" s="19">
        <f t="shared" si="8"/>
        <v>0.1185897436</v>
      </c>
      <c r="R488" s="5">
        <f t="shared" si="9"/>
        <v>1369</v>
      </c>
      <c r="T488" s="5">
        <f t="shared" si="10"/>
        <v>184</v>
      </c>
      <c r="U488" s="19">
        <f t="shared" si="11"/>
        <v>0.5897435897</v>
      </c>
      <c r="V488" s="5">
        <f t="shared" si="12"/>
        <v>33856</v>
      </c>
    </row>
    <row r="489">
      <c r="A489" s="2">
        <v>41247.0</v>
      </c>
      <c r="B489" s="5">
        <v>492.0</v>
      </c>
      <c r="C489" s="5">
        <f t="shared" si="2"/>
        <v>218</v>
      </c>
      <c r="D489" s="5">
        <f t="shared" si="3"/>
        <v>275</v>
      </c>
      <c r="E489" s="5">
        <f t="shared" si="1"/>
        <v>202</v>
      </c>
      <c r="L489" s="5">
        <f t="shared" si="4"/>
        <v>274</v>
      </c>
      <c r="M489" s="19">
        <f t="shared" si="5"/>
        <v>0.5569105691</v>
      </c>
      <c r="N489" s="5">
        <f t="shared" si="6"/>
        <v>75076</v>
      </c>
      <c r="P489" s="5">
        <f t="shared" si="7"/>
        <v>217</v>
      </c>
      <c r="Q489" s="19">
        <f t="shared" si="8"/>
        <v>0.4410569106</v>
      </c>
      <c r="R489" s="5">
        <f t="shared" si="9"/>
        <v>47089</v>
      </c>
      <c r="T489" s="5">
        <f t="shared" si="10"/>
        <v>290</v>
      </c>
      <c r="U489" s="19">
        <f t="shared" si="11"/>
        <v>0.5894308943</v>
      </c>
      <c r="V489" s="5">
        <f t="shared" si="12"/>
        <v>84100</v>
      </c>
    </row>
    <row r="490">
      <c r="A490" s="2">
        <v>41248.0</v>
      </c>
      <c r="B490" s="5">
        <v>301.0</v>
      </c>
      <c r="C490" s="5">
        <f t="shared" si="2"/>
        <v>223</v>
      </c>
      <c r="D490" s="5">
        <f t="shared" si="3"/>
        <v>276</v>
      </c>
      <c r="E490" s="5">
        <f t="shared" si="1"/>
        <v>318</v>
      </c>
      <c r="L490" s="5">
        <f t="shared" si="4"/>
        <v>78</v>
      </c>
      <c r="M490" s="19">
        <f t="shared" si="5"/>
        <v>0.2591362126</v>
      </c>
      <c r="N490" s="5">
        <f t="shared" si="6"/>
        <v>6084</v>
      </c>
      <c r="P490" s="5">
        <f t="shared" si="7"/>
        <v>25</v>
      </c>
      <c r="Q490" s="19">
        <f t="shared" si="8"/>
        <v>0.08305647841</v>
      </c>
      <c r="R490" s="5">
        <f t="shared" si="9"/>
        <v>625</v>
      </c>
      <c r="T490" s="5">
        <f t="shared" si="10"/>
        <v>-17</v>
      </c>
      <c r="U490" s="19">
        <f t="shared" si="11"/>
        <v>0.05647840532</v>
      </c>
      <c r="V490" s="5">
        <f t="shared" si="12"/>
        <v>289</v>
      </c>
    </row>
    <row r="491">
      <c r="A491" s="2">
        <v>41249.0</v>
      </c>
      <c r="B491" s="5">
        <v>0.0</v>
      </c>
      <c r="C491" s="5">
        <f t="shared" si="2"/>
        <v>222</v>
      </c>
      <c r="D491" s="5">
        <f t="shared" si="3"/>
        <v>276</v>
      </c>
      <c r="E491" s="5">
        <f t="shared" si="1"/>
        <v>311</v>
      </c>
      <c r="L491" s="5">
        <f t="shared" si="4"/>
        <v>-222</v>
      </c>
      <c r="M491" s="19">
        <f t="shared" si="5"/>
        <v>1</v>
      </c>
      <c r="N491" s="5">
        <f t="shared" si="6"/>
        <v>49284</v>
      </c>
      <c r="P491" s="5">
        <f t="shared" si="7"/>
        <v>-276</v>
      </c>
      <c r="Q491" s="19">
        <f t="shared" si="8"/>
        <v>1</v>
      </c>
      <c r="R491" s="5">
        <f t="shared" si="9"/>
        <v>76176</v>
      </c>
      <c r="T491" s="5">
        <f t="shared" si="10"/>
        <v>-311</v>
      </c>
      <c r="U491" s="19">
        <f t="shared" si="11"/>
        <v>1</v>
      </c>
      <c r="V491" s="5">
        <f t="shared" si="12"/>
        <v>96721</v>
      </c>
    </row>
    <row r="492">
      <c r="A492" s="2">
        <v>41250.0</v>
      </c>
      <c r="B492" s="5">
        <v>0.0</v>
      </c>
      <c r="C492" s="5">
        <f t="shared" si="2"/>
        <v>221</v>
      </c>
      <c r="D492" s="5">
        <f t="shared" si="3"/>
        <v>275</v>
      </c>
      <c r="E492" s="5">
        <f t="shared" si="1"/>
        <v>187</v>
      </c>
      <c r="L492" s="5">
        <f t="shared" si="4"/>
        <v>-221</v>
      </c>
      <c r="M492" s="19">
        <f t="shared" si="5"/>
        <v>1</v>
      </c>
      <c r="N492" s="5">
        <f t="shared" si="6"/>
        <v>48841</v>
      </c>
      <c r="P492" s="5">
        <f t="shared" si="7"/>
        <v>-275</v>
      </c>
      <c r="Q492" s="19">
        <f t="shared" si="8"/>
        <v>1</v>
      </c>
      <c r="R492" s="5">
        <f t="shared" si="9"/>
        <v>75625</v>
      </c>
      <c r="T492" s="5">
        <f t="shared" si="10"/>
        <v>-187</v>
      </c>
      <c r="U492" s="19">
        <f t="shared" si="11"/>
        <v>1</v>
      </c>
      <c r="V492" s="5">
        <f t="shared" si="12"/>
        <v>34969</v>
      </c>
    </row>
    <row r="493">
      <c r="A493" s="2">
        <v>41253.0</v>
      </c>
      <c r="B493" s="5">
        <v>699.0</v>
      </c>
      <c r="C493" s="5">
        <f t="shared" si="2"/>
        <v>221</v>
      </c>
      <c r="D493" s="5">
        <f t="shared" si="3"/>
        <v>275</v>
      </c>
      <c r="E493" s="5">
        <f t="shared" si="1"/>
        <v>112</v>
      </c>
      <c r="L493" s="5">
        <f t="shared" si="4"/>
        <v>478</v>
      </c>
      <c r="M493" s="19">
        <f t="shared" si="5"/>
        <v>0.6838340486</v>
      </c>
      <c r="N493" s="5">
        <f t="shared" si="6"/>
        <v>228484</v>
      </c>
      <c r="P493" s="5">
        <f t="shared" si="7"/>
        <v>424</v>
      </c>
      <c r="Q493" s="19">
        <f t="shared" si="8"/>
        <v>0.6065808298</v>
      </c>
      <c r="R493" s="5">
        <f t="shared" si="9"/>
        <v>179776</v>
      </c>
      <c r="T493" s="5">
        <f t="shared" si="10"/>
        <v>587</v>
      </c>
      <c r="U493" s="19">
        <f t="shared" si="11"/>
        <v>0.8397711016</v>
      </c>
      <c r="V493" s="5">
        <f t="shared" si="12"/>
        <v>344569</v>
      </c>
    </row>
    <row r="494">
      <c r="A494" s="2">
        <v>41254.0</v>
      </c>
      <c r="B494" s="5">
        <v>576.0</v>
      </c>
      <c r="C494" s="5">
        <f t="shared" si="2"/>
        <v>298</v>
      </c>
      <c r="D494" s="5">
        <f t="shared" si="3"/>
        <v>275</v>
      </c>
      <c r="E494" s="5">
        <f t="shared" si="1"/>
        <v>347</v>
      </c>
      <c r="L494" s="5">
        <f t="shared" si="4"/>
        <v>278</v>
      </c>
      <c r="M494" s="19">
        <f t="shared" si="5"/>
        <v>0.4826388889</v>
      </c>
      <c r="N494" s="5">
        <f t="shared" si="6"/>
        <v>77284</v>
      </c>
      <c r="P494" s="5">
        <f t="shared" si="7"/>
        <v>301</v>
      </c>
      <c r="Q494" s="19">
        <f t="shared" si="8"/>
        <v>0.5225694444</v>
      </c>
      <c r="R494" s="5">
        <f t="shared" si="9"/>
        <v>90601</v>
      </c>
      <c r="T494" s="5">
        <f t="shared" si="10"/>
        <v>229</v>
      </c>
      <c r="U494" s="19">
        <f t="shared" si="11"/>
        <v>0.3975694444</v>
      </c>
      <c r="V494" s="5">
        <f t="shared" si="12"/>
        <v>52441</v>
      </c>
    </row>
    <row r="495">
      <c r="A495" s="2">
        <v>41255.0</v>
      </c>
      <c r="B495" s="5">
        <v>528.0</v>
      </c>
      <c r="C495" s="5">
        <f t="shared" si="2"/>
        <v>315</v>
      </c>
      <c r="D495" s="5">
        <f t="shared" si="3"/>
        <v>276</v>
      </c>
      <c r="E495" s="5">
        <f t="shared" si="1"/>
        <v>439</v>
      </c>
      <c r="L495" s="5">
        <f t="shared" si="4"/>
        <v>213</v>
      </c>
      <c r="M495" s="19">
        <f t="shared" si="5"/>
        <v>0.4034090909</v>
      </c>
      <c r="N495" s="5">
        <f t="shared" si="6"/>
        <v>45369</v>
      </c>
      <c r="P495" s="5">
        <f t="shared" si="7"/>
        <v>252</v>
      </c>
      <c r="Q495" s="19">
        <f t="shared" si="8"/>
        <v>0.4772727273</v>
      </c>
      <c r="R495" s="5">
        <f t="shared" si="9"/>
        <v>63504</v>
      </c>
      <c r="T495" s="5">
        <f t="shared" si="10"/>
        <v>89</v>
      </c>
      <c r="U495" s="19">
        <f t="shared" si="11"/>
        <v>0.1685606061</v>
      </c>
      <c r="V495" s="5">
        <f t="shared" si="12"/>
        <v>7921</v>
      </c>
    </row>
    <row r="496">
      <c r="A496" s="2">
        <v>41256.0</v>
      </c>
      <c r="B496" s="5">
        <v>6.0</v>
      </c>
      <c r="C496" s="5">
        <f t="shared" si="2"/>
        <v>361</v>
      </c>
      <c r="D496" s="5">
        <f t="shared" si="3"/>
        <v>277</v>
      </c>
      <c r="E496" s="5">
        <f t="shared" si="1"/>
        <v>475</v>
      </c>
      <c r="L496" s="5">
        <f t="shared" si="4"/>
        <v>-355</v>
      </c>
      <c r="M496" s="19">
        <f t="shared" si="5"/>
        <v>59.16666667</v>
      </c>
      <c r="N496" s="5">
        <f t="shared" si="6"/>
        <v>126025</v>
      </c>
      <c r="P496" s="5">
        <f t="shared" si="7"/>
        <v>-271</v>
      </c>
      <c r="Q496" s="19">
        <f t="shared" si="8"/>
        <v>45.16666667</v>
      </c>
      <c r="R496" s="5">
        <f t="shared" si="9"/>
        <v>73441</v>
      </c>
      <c r="T496" s="5">
        <f t="shared" si="10"/>
        <v>-469</v>
      </c>
      <c r="U496" s="19">
        <f t="shared" si="11"/>
        <v>78.16666667</v>
      </c>
      <c r="V496" s="5">
        <f t="shared" si="12"/>
        <v>219961</v>
      </c>
    </row>
    <row r="497">
      <c r="A497" s="2">
        <v>41257.0</v>
      </c>
      <c r="B497" s="5">
        <v>0.0</v>
      </c>
      <c r="C497" s="5">
        <f t="shared" si="2"/>
        <v>362</v>
      </c>
      <c r="D497" s="5">
        <f t="shared" si="3"/>
        <v>276</v>
      </c>
      <c r="E497" s="5">
        <f t="shared" si="1"/>
        <v>287</v>
      </c>
      <c r="L497" s="5">
        <f t="shared" si="4"/>
        <v>-362</v>
      </c>
      <c r="M497" s="19">
        <f t="shared" si="5"/>
        <v>1</v>
      </c>
      <c r="N497" s="5">
        <f t="shared" si="6"/>
        <v>131044</v>
      </c>
      <c r="P497" s="5">
        <f t="shared" si="7"/>
        <v>-276</v>
      </c>
      <c r="Q497" s="19">
        <f t="shared" si="8"/>
        <v>1</v>
      </c>
      <c r="R497" s="5">
        <f t="shared" si="9"/>
        <v>76176</v>
      </c>
      <c r="T497" s="5">
        <f t="shared" si="10"/>
        <v>-287</v>
      </c>
      <c r="U497" s="19">
        <f t="shared" si="11"/>
        <v>1</v>
      </c>
      <c r="V497" s="5">
        <f t="shared" si="12"/>
        <v>82369</v>
      </c>
    </row>
    <row r="498">
      <c r="A498" s="2">
        <v>41260.0</v>
      </c>
      <c r="B498" s="5">
        <v>427.0</v>
      </c>
      <c r="C498" s="5">
        <f t="shared" si="2"/>
        <v>362</v>
      </c>
      <c r="D498" s="5">
        <f t="shared" si="3"/>
        <v>275</v>
      </c>
      <c r="E498" s="5">
        <f t="shared" si="1"/>
        <v>172</v>
      </c>
      <c r="L498" s="5">
        <f t="shared" si="4"/>
        <v>65</v>
      </c>
      <c r="M498" s="19">
        <f t="shared" si="5"/>
        <v>0.1522248244</v>
      </c>
      <c r="N498" s="5">
        <f t="shared" si="6"/>
        <v>4225</v>
      </c>
      <c r="P498" s="5">
        <f t="shared" si="7"/>
        <v>152</v>
      </c>
      <c r="Q498" s="19">
        <f t="shared" si="8"/>
        <v>0.355971897</v>
      </c>
      <c r="R498" s="5">
        <f t="shared" si="9"/>
        <v>23104</v>
      </c>
      <c r="T498" s="5">
        <f t="shared" si="10"/>
        <v>255</v>
      </c>
      <c r="U498" s="19">
        <f t="shared" si="11"/>
        <v>0.5971896956</v>
      </c>
      <c r="V498" s="5">
        <f t="shared" si="12"/>
        <v>65025</v>
      </c>
    </row>
    <row r="499">
      <c r="A499" s="2">
        <v>41261.0</v>
      </c>
      <c r="B499" s="5">
        <v>530.0</v>
      </c>
      <c r="C499" s="5">
        <f t="shared" si="2"/>
        <v>307</v>
      </c>
      <c r="D499" s="5">
        <f t="shared" si="3"/>
        <v>276</v>
      </c>
      <c r="E499" s="5">
        <f t="shared" si="1"/>
        <v>274</v>
      </c>
      <c r="L499" s="5">
        <f t="shared" si="4"/>
        <v>223</v>
      </c>
      <c r="M499" s="19">
        <f t="shared" si="5"/>
        <v>0.420754717</v>
      </c>
      <c r="N499" s="5">
        <f t="shared" si="6"/>
        <v>49729</v>
      </c>
      <c r="P499" s="5">
        <f t="shared" si="7"/>
        <v>254</v>
      </c>
      <c r="Q499" s="19">
        <f t="shared" si="8"/>
        <v>0.479245283</v>
      </c>
      <c r="R499" s="5">
        <f t="shared" si="9"/>
        <v>64516</v>
      </c>
      <c r="T499" s="5">
        <f t="shared" si="10"/>
        <v>256</v>
      </c>
      <c r="U499" s="19">
        <f t="shared" si="11"/>
        <v>0.4830188679</v>
      </c>
      <c r="V499" s="5">
        <f t="shared" si="12"/>
        <v>65536</v>
      </c>
    </row>
    <row r="500">
      <c r="A500" s="2">
        <v>41262.0</v>
      </c>
      <c r="B500" s="5">
        <v>924.0</v>
      </c>
      <c r="C500" s="5">
        <f t="shared" si="2"/>
        <v>298</v>
      </c>
      <c r="D500" s="5">
        <f t="shared" si="3"/>
        <v>276</v>
      </c>
      <c r="E500" s="5">
        <f t="shared" si="1"/>
        <v>376</v>
      </c>
      <c r="L500" s="5">
        <f t="shared" si="4"/>
        <v>626</v>
      </c>
      <c r="M500" s="19">
        <f t="shared" si="5"/>
        <v>0.6774891775</v>
      </c>
      <c r="N500" s="5">
        <f t="shared" si="6"/>
        <v>391876</v>
      </c>
      <c r="P500" s="5">
        <f t="shared" si="7"/>
        <v>648</v>
      </c>
      <c r="Q500" s="19">
        <f t="shared" si="8"/>
        <v>0.7012987013</v>
      </c>
      <c r="R500" s="5">
        <f t="shared" si="9"/>
        <v>419904</v>
      </c>
      <c r="T500" s="5">
        <f t="shared" si="10"/>
        <v>548</v>
      </c>
      <c r="U500" s="19">
        <f t="shared" si="11"/>
        <v>0.5930735931</v>
      </c>
      <c r="V500" s="5">
        <f t="shared" si="12"/>
        <v>300304</v>
      </c>
    </row>
    <row r="501">
      <c r="A501" s="2">
        <v>41263.0</v>
      </c>
      <c r="B501" s="5">
        <v>0.0</v>
      </c>
      <c r="C501" s="5">
        <f t="shared" si="2"/>
        <v>377</v>
      </c>
      <c r="D501" s="5">
        <f t="shared" si="3"/>
        <v>278</v>
      </c>
      <c r="E501" s="5">
        <f t="shared" si="1"/>
        <v>595</v>
      </c>
      <c r="L501" s="5">
        <f t="shared" si="4"/>
        <v>-377</v>
      </c>
      <c r="M501" s="19">
        <f t="shared" si="5"/>
        <v>1</v>
      </c>
      <c r="N501" s="5">
        <f t="shared" si="6"/>
        <v>142129</v>
      </c>
      <c r="P501" s="5">
        <f t="shared" si="7"/>
        <v>-278</v>
      </c>
      <c r="Q501" s="19">
        <f t="shared" si="8"/>
        <v>1</v>
      </c>
      <c r="R501" s="5">
        <f t="shared" si="9"/>
        <v>77284</v>
      </c>
      <c r="T501" s="5">
        <f t="shared" si="10"/>
        <v>-595</v>
      </c>
      <c r="U501" s="19">
        <f t="shared" si="11"/>
        <v>1</v>
      </c>
      <c r="V501" s="5">
        <f t="shared" si="12"/>
        <v>354025</v>
      </c>
    </row>
    <row r="502">
      <c r="A502" s="2">
        <v>41264.0</v>
      </c>
      <c r="B502" s="5">
        <v>0.0</v>
      </c>
      <c r="C502" s="5">
        <f t="shared" si="2"/>
        <v>376</v>
      </c>
      <c r="D502" s="5">
        <f t="shared" si="3"/>
        <v>277</v>
      </c>
      <c r="E502" s="5">
        <f t="shared" si="1"/>
        <v>357</v>
      </c>
      <c r="L502" s="5">
        <f t="shared" si="4"/>
        <v>-376</v>
      </c>
      <c r="M502" s="19">
        <f t="shared" si="5"/>
        <v>1</v>
      </c>
      <c r="N502" s="5">
        <f t="shared" si="6"/>
        <v>141376</v>
      </c>
      <c r="P502" s="5">
        <f t="shared" si="7"/>
        <v>-277</v>
      </c>
      <c r="Q502" s="19">
        <f t="shared" si="8"/>
        <v>1</v>
      </c>
      <c r="R502" s="5">
        <f t="shared" si="9"/>
        <v>76729</v>
      </c>
      <c r="T502" s="5">
        <f t="shared" si="10"/>
        <v>-357</v>
      </c>
      <c r="U502" s="19">
        <f t="shared" si="11"/>
        <v>1</v>
      </c>
      <c r="V502" s="5">
        <f t="shared" si="12"/>
        <v>127449</v>
      </c>
    </row>
    <row r="503">
      <c r="A503" s="2">
        <v>41267.0</v>
      </c>
      <c r="B503" s="5">
        <v>0.0</v>
      </c>
      <c r="C503" s="5">
        <f t="shared" si="2"/>
        <v>376</v>
      </c>
      <c r="D503" s="5">
        <f t="shared" si="3"/>
        <v>276</v>
      </c>
      <c r="E503" s="5">
        <f t="shared" si="1"/>
        <v>214</v>
      </c>
      <c r="L503" s="5">
        <f t="shared" si="4"/>
        <v>-376</v>
      </c>
      <c r="M503" s="19">
        <f t="shared" si="5"/>
        <v>1</v>
      </c>
      <c r="N503" s="5">
        <f t="shared" si="6"/>
        <v>141376</v>
      </c>
      <c r="P503" s="5">
        <f t="shared" si="7"/>
        <v>-276</v>
      </c>
      <c r="Q503" s="19">
        <f t="shared" si="8"/>
        <v>1</v>
      </c>
      <c r="R503" s="5">
        <f t="shared" si="9"/>
        <v>76176</v>
      </c>
      <c r="T503" s="5">
        <f t="shared" si="10"/>
        <v>-214</v>
      </c>
      <c r="U503" s="19">
        <f t="shared" si="11"/>
        <v>1</v>
      </c>
      <c r="V503" s="5">
        <f t="shared" si="12"/>
        <v>45796</v>
      </c>
    </row>
    <row r="504">
      <c r="A504" s="2">
        <v>41269.0</v>
      </c>
      <c r="B504" s="5">
        <v>24.0</v>
      </c>
      <c r="C504" s="5">
        <f t="shared" si="2"/>
        <v>291</v>
      </c>
      <c r="D504" s="5">
        <f t="shared" si="3"/>
        <v>276</v>
      </c>
      <c r="E504" s="5">
        <f t="shared" si="1"/>
        <v>128</v>
      </c>
      <c r="L504" s="5">
        <f t="shared" si="4"/>
        <v>-267</v>
      </c>
      <c r="M504" s="19">
        <f t="shared" si="5"/>
        <v>11.125</v>
      </c>
      <c r="N504" s="5">
        <f t="shared" si="6"/>
        <v>71289</v>
      </c>
      <c r="P504" s="5">
        <f t="shared" si="7"/>
        <v>-252</v>
      </c>
      <c r="Q504" s="19">
        <f t="shared" si="8"/>
        <v>10.5</v>
      </c>
      <c r="R504" s="5">
        <f t="shared" si="9"/>
        <v>63504</v>
      </c>
      <c r="T504" s="5">
        <f t="shared" si="10"/>
        <v>-104</v>
      </c>
      <c r="U504" s="19">
        <f t="shared" si="11"/>
        <v>4.333333333</v>
      </c>
      <c r="V504" s="5">
        <f t="shared" si="12"/>
        <v>10816</v>
      </c>
    </row>
    <row r="505">
      <c r="A505" s="2">
        <v>41270.0</v>
      </c>
      <c r="B505" s="5">
        <v>12.0</v>
      </c>
      <c r="C505" s="5">
        <f t="shared" si="2"/>
        <v>190</v>
      </c>
      <c r="D505" s="5">
        <f t="shared" si="3"/>
        <v>275</v>
      </c>
      <c r="E505" s="5">
        <f t="shared" si="1"/>
        <v>86</v>
      </c>
      <c r="L505" s="5">
        <f t="shared" si="4"/>
        <v>-178</v>
      </c>
      <c r="M505" s="19">
        <f t="shared" si="5"/>
        <v>14.83333333</v>
      </c>
      <c r="N505" s="5">
        <f t="shared" si="6"/>
        <v>31684</v>
      </c>
      <c r="P505" s="5">
        <f t="shared" si="7"/>
        <v>-263</v>
      </c>
      <c r="Q505" s="19">
        <f t="shared" si="8"/>
        <v>21.91666667</v>
      </c>
      <c r="R505" s="5">
        <f t="shared" si="9"/>
        <v>69169</v>
      </c>
      <c r="T505" s="5">
        <f t="shared" si="10"/>
        <v>-74</v>
      </c>
      <c r="U505" s="19">
        <f t="shared" si="11"/>
        <v>6.166666667</v>
      </c>
      <c r="V505" s="5">
        <f t="shared" si="12"/>
        <v>5476</v>
      </c>
    </row>
    <row r="506">
      <c r="A506" s="2">
        <v>41271.0</v>
      </c>
      <c r="B506" s="5">
        <v>0.0</v>
      </c>
      <c r="C506" s="5">
        <f t="shared" si="2"/>
        <v>7</v>
      </c>
      <c r="D506" s="5">
        <f t="shared" si="3"/>
        <v>275</v>
      </c>
      <c r="E506" s="5">
        <f t="shared" si="1"/>
        <v>56</v>
      </c>
      <c r="L506" s="5">
        <f t="shared" si="4"/>
        <v>-7</v>
      </c>
      <c r="M506" s="19">
        <f t="shared" si="5"/>
        <v>1</v>
      </c>
      <c r="N506" s="5">
        <f t="shared" si="6"/>
        <v>49</v>
      </c>
      <c r="P506" s="5">
        <f t="shared" si="7"/>
        <v>-275</v>
      </c>
      <c r="Q506" s="19">
        <f t="shared" si="8"/>
        <v>1</v>
      </c>
      <c r="R506" s="5">
        <f t="shared" si="9"/>
        <v>75625</v>
      </c>
      <c r="T506" s="5">
        <f t="shared" si="10"/>
        <v>-56</v>
      </c>
      <c r="U506" s="19">
        <f t="shared" si="11"/>
        <v>1</v>
      </c>
      <c r="V506" s="5">
        <f t="shared" si="12"/>
        <v>3136</v>
      </c>
    </row>
    <row r="507">
      <c r="A507" s="2">
        <v>41274.0</v>
      </c>
      <c r="B507" s="5">
        <v>0.0</v>
      </c>
      <c r="C507" s="5">
        <f t="shared" si="2"/>
        <v>7</v>
      </c>
      <c r="D507" s="5">
        <f t="shared" si="3"/>
        <v>274</v>
      </c>
      <c r="E507" s="5">
        <f t="shared" si="1"/>
        <v>34</v>
      </c>
      <c r="L507" s="5">
        <f t="shared" si="4"/>
        <v>-7</v>
      </c>
      <c r="M507" s="19">
        <f t="shared" si="5"/>
        <v>1</v>
      </c>
      <c r="N507" s="5">
        <f t="shared" si="6"/>
        <v>49</v>
      </c>
      <c r="P507" s="5">
        <f t="shared" si="7"/>
        <v>-274</v>
      </c>
      <c r="Q507" s="19">
        <f t="shared" si="8"/>
        <v>1</v>
      </c>
      <c r="R507" s="5">
        <f t="shared" si="9"/>
        <v>75076</v>
      </c>
      <c r="T507" s="5">
        <f t="shared" si="10"/>
        <v>-34</v>
      </c>
      <c r="U507" s="19">
        <f t="shared" si="11"/>
        <v>1</v>
      </c>
      <c r="V507" s="5">
        <f t="shared" si="12"/>
        <v>1156</v>
      </c>
    </row>
    <row r="508">
      <c r="A508" s="2">
        <v>41276.0</v>
      </c>
      <c r="B508" s="5">
        <v>2058.0</v>
      </c>
      <c r="C508" s="5">
        <f t="shared" si="2"/>
        <v>7</v>
      </c>
      <c r="D508" s="5">
        <f t="shared" si="3"/>
        <v>274</v>
      </c>
      <c r="E508" s="5">
        <f t="shared" si="1"/>
        <v>20</v>
      </c>
      <c r="L508" s="5">
        <f t="shared" si="4"/>
        <v>2051</v>
      </c>
      <c r="M508" s="19">
        <f t="shared" si="5"/>
        <v>0.9965986395</v>
      </c>
      <c r="N508" s="5">
        <f t="shared" si="6"/>
        <v>4206601</v>
      </c>
      <c r="P508" s="5">
        <f t="shared" si="7"/>
        <v>1784</v>
      </c>
      <c r="Q508" s="19">
        <f t="shared" si="8"/>
        <v>0.8668610301</v>
      </c>
      <c r="R508" s="5">
        <f t="shared" si="9"/>
        <v>3182656</v>
      </c>
      <c r="T508" s="5">
        <f t="shared" si="10"/>
        <v>2038</v>
      </c>
      <c r="U508" s="19">
        <f t="shared" si="11"/>
        <v>0.990281827</v>
      </c>
      <c r="V508" s="5">
        <f t="shared" si="12"/>
        <v>4153444</v>
      </c>
    </row>
    <row r="509">
      <c r="A509" s="2">
        <v>41277.0</v>
      </c>
      <c r="B509" s="5">
        <v>60.0</v>
      </c>
      <c r="C509" s="5">
        <f t="shared" si="2"/>
        <v>419</v>
      </c>
      <c r="D509" s="5">
        <f t="shared" si="3"/>
        <v>277</v>
      </c>
      <c r="E509" s="5">
        <f t="shared" si="1"/>
        <v>835</v>
      </c>
      <c r="L509" s="5">
        <f t="shared" si="4"/>
        <v>-359</v>
      </c>
      <c r="M509" s="19">
        <f t="shared" si="5"/>
        <v>5.983333333</v>
      </c>
      <c r="N509" s="5">
        <f t="shared" si="6"/>
        <v>128881</v>
      </c>
      <c r="P509" s="5">
        <f t="shared" si="7"/>
        <v>-217</v>
      </c>
      <c r="Q509" s="19">
        <f t="shared" si="8"/>
        <v>3.616666667</v>
      </c>
      <c r="R509" s="5">
        <f t="shared" si="9"/>
        <v>47089</v>
      </c>
      <c r="T509" s="5">
        <f t="shared" si="10"/>
        <v>-775</v>
      </c>
      <c r="U509" s="19">
        <f t="shared" si="11"/>
        <v>12.91666667</v>
      </c>
      <c r="V509" s="5">
        <f t="shared" si="12"/>
        <v>600625</v>
      </c>
    </row>
    <row r="510">
      <c r="A510" s="2">
        <v>41278.0</v>
      </c>
      <c r="B510" s="5">
        <v>0.0</v>
      </c>
      <c r="C510" s="5">
        <f t="shared" si="2"/>
        <v>426</v>
      </c>
      <c r="D510" s="5">
        <f t="shared" si="3"/>
        <v>277</v>
      </c>
      <c r="E510" s="5">
        <f t="shared" si="1"/>
        <v>525</v>
      </c>
      <c r="L510" s="5">
        <f t="shared" si="4"/>
        <v>-426</v>
      </c>
      <c r="M510" s="19">
        <f t="shared" si="5"/>
        <v>1</v>
      </c>
      <c r="N510" s="5">
        <f t="shared" si="6"/>
        <v>181476</v>
      </c>
      <c r="P510" s="5">
        <f t="shared" si="7"/>
        <v>-277</v>
      </c>
      <c r="Q510" s="19">
        <f t="shared" si="8"/>
        <v>1</v>
      </c>
      <c r="R510" s="5">
        <f t="shared" si="9"/>
        <v>76729</v>
      </c>
      <c r="T510" s="5">
        <f t="shared" si="10"/>
        <v>-525</v>
      </c>
      <c r="U510" s="19">
        <f t="shared" si="11"/>
        <v>1</v>
      </c>
      <c r="V510" s="5">
        <f t="shared" si="12"/>
        <v>275625</v>
      </c>
    </row>
    <row r="511">
      <c r="A511" s="2">
        <v>41281.0</v>
      </c>
      <c r="B511" s="5">
        <v>539.0</v>
      </c>
      <c r="C511" s="5">
        <f t="shared" si="2"/>
        <v>424</v>
      </c>
      <c r="D511" s="5">
        <f t="shared" si="3"/>
        <v>276</v>
      </c>
      <c r="E511" s="5">
        <f t="shared" si="1"/>
        <v>315</v>
      </c>
      <c r="L511" s="5">
        <f t="shared" si="4"/>
        <v>115</v>
      </c>
      <c r="M511" s="19">
        <f t="shared" si="5"/>
        <v>0.2133580705</v>
      </c>
      <c r="N511" s="5">
        <f t="shared" si="6"/>
        <v>13225</v>
      </c>
      <c r="P511" s="5">
        <f t="shared" si="7"/>
        <v>263</v>
      </c>
      <c r="Q511" s="19">
        <f t="shared" si="8"/>
        <v>0.4879406308</v>
      </c>
      <c r="R511" s="5">
        <f t="shared" si="9"/>
        <v>69169</v>
      </c>
      <c r="T511" s="5">
        <f t="shared" si="10"/>
        <v>224</v>
      </c>
      <c r="U511" s="19">
        <f t="shared" si="11"/>
        <v>0.4155844156</v>
      </c>
      <c r="V511" s="5">
        <f t="shared" si="12"/>
        <v>50176</v>
      </c>
    </row>
    <row r="512">
      <c r="A512" s="2">
        <v>41282.0</v>
      </c>
      <c r="B512" s="5">
        <v>624.0</v>
      </c>
      <c r="C512" s="5">
        <f t="shared" si="2"/>
        <v>531</v>
      </c>
      <c r="D512" s="5">
        <f t="shared" si="3"/>
        <v>277</v>
      </c>
      <c r="E512" s="5">
        <f t="shared" si="1"/>
        <v>405</v>
      </c>
      <c r="L512" s="5">
        <f t="shared" si="4"/>
        <v>93</v>
      </c>
      <c r="M512" s="19">
        <f t="shared" si="5"/>
        <v>0.1490384615</v>
      </c>
      <c r="N512" s="5">
        <f t="shared" si="6"/>
        <v>8649</v>
      </c>
      <c r="P512" s="5">
        <f t="shared" si="7"/>
        <v>347</v>
      </c>
      <c r="Q512" s="19">
        <f t="shared" si="8"/>
        <v>0.5560897436</v>
      </c>
      <c r="R512" s="5">
        <f t="shared" si="9"/>
        <v>120409</v>
      </c>
      <c r="T512" s="5">
        <f t="shared" si="10"/>
        <v>219</v>
      </c>
      <c r="U512" s="19">
        <f t="shared" si="11"/>
        <v>0.3509615385</v>
      </c>
      <c r="V512" s="5">
        <f t="shared" si="12"/>
        <v>47961</v>
      </c>
    </row>
    <row r="513">
      <c r="A513" s="2">
        <v>41283.0</v>
      </c>
      <c r="B513" s="5">
        <v>246.0</v>
      </c>
      <c r="C513" s="5">
        <f t="shared" si="2"/>
        <v>656</v>
      </c>
      <c r="D513" s="5">
        <f t="shared" si="3"/>
        <v>278</v>
      </c>
      <c r="E513" s="5">
        <f t="shared" si="1"/>
        <v>493</v>
      </c>
      <c r="L513" s="5">
        <f t="shared" si="4"/>
        <v>-410</v>
      </c>
      <c r="M513" s="19">
        <f t="shared" si="5"/>
        <v>1.666666667</v>
      </c>
      <c r="N513" s="5">
        <f t="shared" si="6"/>
        <v>168100</v>
      </c>
      <c r="P513" s="5">
        <f t="shared" si="7"/>
        <v>-32</v>
      </c>
      <c r="Q513" s="19">
        <f t="shared" si="8"/>
        <v>0.1300813008</v>
      </c>
      <c r="R513" s="5">
        <f t="shared" si="9"/>
        <v>1024</v>
      </c>
      <c r="T513" s="5">
        <f t="shared" si="10"/>
        <v>-247</v>
      </c>
      <c r="U513" s="19">
        <f t="shared" si="11"/>
        <v>1.004065041</v>
      </c>
      <c r="V513" s="5">
        <f t="shared" si="12"/>
        <v>61009</v>
      </c>
    </row>
    <row r="514">
      <c r="A514" s="2">
        <v>41284.0</v>
      </c>
      <c r="B514" s="5">
        <v>30.0</v>
      </c>
      <c r="C514" s="5">
        <f t="shared" si="2"/>
        <v>294</v>
      </c>
      <c r="D514" s="5">
        <f t="shared" si="3"/>
        <v>277</v>
      </c>
      <c r="E514" s="5">
        <f t="shared" si="1"/>
        <v>394</v>
      </c>
      <c r="L514" s="5">
        <f t="shared" si="4"/>
        <v>-264</v>
      </c>
      <c r="M514" s="19">
        <f t="shared" si="5"/>
        <v>8.8</v>
      </c>
      <c r="N514" s="5">
        <f t="shared" si="6"/>
        <v>69696</v>
      </c>
      <c r="P514" s="5">
        <f t="shared" si="7"/>
        <v>-247</v>
      </c>
      <c r="Q514" s="19">
        <f t="shared" si="8"/>
        <v>8.233333333</v>
      </c>
      <c r="R514" s="5">
        <f t="shared" si="9"/>
        <v>61009</v>
      </c>
      <c r="T514" s="5">
        <f t="shared" si="10"/>
        <v>-364</v>
      </c>
      <c r="U514" s="19">
        <f t="shared" si="11"/>
        <v>12.13333333</v>
      </c>
      <c r="V514" s="5">
        <f t="shared" si="12"/>
        <v>132496</v>
      </c>
    </row>
    <row r="515">
      <c r="A515" s="2">
        <v>41285.0</v>
      </c>
      <c r="B515" s="5">
        <v>0.0</v>
      </c>
      <c r="C515" s="5">
        <f t="shared" si="2"/>
        <v>288</v>
      </c>
      <c r="D515" s="5">
        <f t="shared" si="3"/>
        <v>277</v>
      </c>
      <c r="E515" s="5">
        <f t="shared" si="1"/>
        <v>248</v>
      </c>
      <c r="L515" s="5">
        <f t="shared" si="4"/>
        <v>-288</v>
      </c>
      <c r="M515" s="19">
        <f t="shared" si="5"/>
        <v>1</v>
      </c>
      <c r="N515" s="5">
        <f t="shared" si="6"/>
        <v>82944</v>
      </c>
      <c r="P515" s="5">
        <f t="shared" si="7"/>
        <v>-277</v>
      </c>
      <c r="Q515" s="19">
        <f t="shared" si="8"/>
        <v>1</v>
      </c>
      <c r="R515" s="5">
        <f t="shared" si="9"/>
        <v>76729</v>
      </c>
      <c r="T515" s="5">
        <f t="shared" si="10"/>
        <v>-248</v>
      </c>
      <c r="U515" s="19">
        <f t="shared" si="11"/>
        <v>1</v>
      </c>
      <c r="V515" s="5">
        <f t="shared" si="12"/>
        <v>61504</v>
      </c>
    </row>
    <row r="516">
      <c r="A516" s="2">
        <v>41288.0</v>
      </c>
      <c r="B516" s="5">
        <v>450.0</v>
      </c>
      <c r="C516" s="5">
        <f t="shared" si="2"/>
        <v>288</v>
      </c>
      <c r="D516" s="5">
        <f t="shared" si="3"/>
        <v>276</v>
      </c>
      <c r="E516" s="5">
        <f t="shared" si="1"/>
        <v>149</v>
      </c>
      <c r="L516" s="5">
        <f t="shared" si="4"/>
        <v>162</v>
      </c>
      <c r="M516" s="19">
        <f t="shared" si="5"/>
        <v>0.36</v>
      </c>
      <c r="N516" s="5">
        <f t="shared" si="6"/>
        <v>26244</v>
      </c>
      <c r="P516" s="5">
        <f t="shared" si="7"/>
        <v>174</v>
      </c>
      <c r="Q516" s="19">
        <f t="shared" si="8"/>
        <v>0.3866666667</v>
      </c>
      <c r="R516" s="5">
        <f t="shared" si="9"/>
        <v>30276</v>
      </c>
      <c r="T516" s="5">
        <f t="shared" si="10"/>
        <v>301</v>
      </c>
      <c r="U516" s="19">
        <f t="shared" si="11"/>
        <v>0.6688888889</v>
      </c>
      <c r="V516" s="5">
        <f t="shared" si="12"/>
        <v>90601</v>
      </c>
    </row>
    <row r="517">
      <c r="A517" s="2">
        <v>41289.0</v>
      </c>
      <c r="B517" s="5">
        <v>37.0</v>
      </c>
      <c r="C517" s="5">
        <f t="shared" si="2"/>
        <v>270</v>
      </c>
      <c r="D517" s="5">
        <f t="shared" si="3"/>
        <v>277</v>
      </c>
      <c r="E517" s="5">
        <f t="shared" si="1"/>
        <v>269</v>
      </c>
      <c r="L517" s="5">
        <f t="shared" si="4"/>
        <v>-233</v>
      </c>
      <c r="M517" s="19">
        <f t="shared" si="5"/>
        <v>6.297297297</v>
      </c>
      <c r="N517" s="5">
        <f t="shared" si="6"/>
        <v>54289</v>
      </c>
      <c r="P517" s="5">
        <f t="shared" si="7"/>
        <v>-240</v>
      </c>
      <c r="Q517" s="19">
        <f t="shared" si="8"/>
        <v>6.486486486</v>
      </c>
      <c r="R517" s="5">
        <f t="shared" si="9"/>
        <v>57600</v>
      </c>
      <c r="T517" s="5">
        <f t="shared" si="10"/>
        <v>-232</v>
      </c>
      <c r="U517" s="19">
        <f t="shared" si="11"/>
        <v>6.27027027</v>
      </c>
      <c r="V517" s="5">
        <f t="shared" si="12"/>
        <v>53824</v>
      </c>
    </row>
    <row r="518">
      <c r="A518" s="2">
        <v>41290.0</v>
      </c>
      <c r="B518" s="5">
        <v>396.0</v>
      </c>
      <c r="C518" s="5">
        <f t="shared" si="2"/>
        <v>153</v>
      </c>
      <c r="D518" s="5">
        <f t="shared" si="3"/>
        <v>276</v>
      </c>
      <c r="E518" s="5">
        <f t="shared" si="1"/>
        <v>176</v>
      </c>
      <c r="L518" s="5">
        <f t="shared" si="4"/>
        <v>243</v>
      </c>
      <c r="M518" s="19">
        <f t="shared" si="5"/>
        <v>0.6136363636</v>
      </c>
      <c r="N518" s="5">
        <f t="shared" si="6"/>
        <v>59049</v>
      </c>
      <c r="P518" s="5">
        <f t="shared" si="7"/>
        <v>120</v>
      </c>
      <c r="Q518" s="19">
        <f t="shared" si="8"/>
        <v>0.303030303</v>
      </c>
      <c r="R518" s="5">
        <f t="shared" si="9"/>
        <v>14400</v>
      </c>
      <c r="T518" s="5">
        <f t="shared" si="10"/>
        <v>220</v>
      </c>
      <c r="U518" s="19">
        <f t="shared" si="11"/>
        <v>0.5555555556</v>
      </c>
      <c r="V518" s="5">
        <f t="shared" si="12"/>
        <v>48400</v>
      </c>
    </row>
    <row r="519">
      <c r="A519" s="2">
        <v>41291.0</v>
      </c>
      <c r="B519" s="5">
        <v>6.0</v>
      </c>
      <c r="C519" s="5">
        <f t="shared" si="2"/>
        <v>183</v>
      </c>
      <c r="D519" s="5">
        <f t="shared" si="3"/>
        <v>277</v>
      </c>
      <c r="E519" s="5">
        <f t="shared" si="1"/>
        <v>264</v>
      </c>
      <c r="L519" s="5">
        <f t="shared" si="4"/>
        <v>-177</v>
      </c>
      <c r="M519" s="19">
        <f t="shared" si="5"/>
        <v>29.5</v>
      </c>
      <c r="N519" s="5">
        <f t="shared" si="6"/>
        <v>31329</v>
      </c>
      <c r="P519" s="5">
        <f t="shared" si="7"/>
        <v>-271</v>
      </c>
      <c r="Q519" s="19">
        <f t="shared" si="8"/>
        <v>45.16666667</v>
      </c>
      <c r="R519" s="5">
        <f t="shared" si="9"/>
        <v>73441</v>
      </c>
      <c r="T519" s="5">
        <f t="shared" si="10"/>
        <v>-258</v>
      </c>
      <c r="U519" s="19">
        <f t="shared" si="11"/>
        <v>43</v>
      </c>
      <c r="V519" s="5">
        <f t="shared" si="12"/>
        <v>66564</v>
      </c>
    </row>
    <row r="520">
      <c r="A520" s="2">
        <v>41292.0</v>
      </c>
      <c r="B520" s="5">
        <v>0.0</v>
      </c>
      <c r="C520" s="5">
        <f t="shared" si="2"/>
        <v>178</v>
      </c>
      <c r="D520" s="5">
        <f t="shared" si="3"/>
        <v>276</v>
      </c>
      <c r="E520" s="5">
        <f t="shared" si="1"/>
        <v>161</v>
      </c>
      <c r="L520" s="5">
        <f t="shared" si="4"/>
        <v>-178</v>
      </c>
      <c r="M520" s="19">
        <f t="shared" si="5"/>
        <v>1</v>
      </c>
      <c r="N520" s="5">
        <f t="shared" si="6"/>
        <v>31684</v>
      </c>
      <c r="P520" s="5">
        <f t="shared" si="7"/>
        <v>-276</v>
      </c>
      <c r="Q520" s="19">
        <f t="shared" si="8"/>
        <v>1</v>
      </c>
      <c r="R520" s="5">
        <f t="shared" si="9"/>
        <v>76176</v>
      </c>
      <c r="T520" s="5">
        <f t="shared" si="10"/>
        <v>-161</v>
      </c>
      <c r="U520" s="19">
        <f t="shared" si="11"/>
        <v>1</v>
      </c>
      <c r="V520" s="5">
        <f t="shared" si="12"/>
        <v>25921</v>
      </c>
    </row>
    <row r="521">
      <c r="A521" s="2">
        <v>41295.0</v>
      </c>
      <c r="B521" s="5">
        <v>468.0</v>
      </c>
      <c r="C521" s="5">
        <f t="shared" si="2"/>
        <v>178</v>
      </c>
      <c r="D521" s="5">
        <f t="shared" si="3"/>
        <v>275</v>
      </c>
      <c r="E521" s="5">
        <f t="shared" si="1"/>
        <v>97</v>
      </c>
      <c r="L521" s="5">
        <f t="shared" si="4"/>
        <v>290</v>
      </c>
      <c r="M521" s="19">
        <f t="shared" si="5"/>
        <v>0.6196581197</v>
      </c>
      <c r="N521" s="5">
        <f t="shared" si="6"/>
        <v>84100</v>
      </c>
      <c r="P521" s="5">
        <f t="shared" si="7"/>
        <v>193</v>
      </c>
      <c r="Q521" s="19">
        <f t="shared" si="8"/>
        <v>0.4123931624</v>
      </c>
      <c r="R521" s="5">
        <f t="shared" si="9"/>
        <v>37249</v>
      </c>
      <c r="T521" s="5">
        <f t="shared" si="10"/>
        <v>371</v>
      </c>
      <c r="U521" s="19">
        <f t="shared" si="11"/>
        <v>0.7927350427</v>
      </c>
      <c r="V521" s="5">
        <f t="shared" si="12"/>
        <v>137641</v>
      </c>
    </row>
    <row r="522">
      <c r="A522" s="2">
        <v>41296.0</v>
      </c>
      <c r="B522" s="5">
        <v>404.0</v>
      </c>
      <c r="C522" s="5">
        <f t="shared" si="2"/>
        <v>181</v>
      </c>
      <c r="D522" s="5">
        <f t="shared" si="3"/>
        <v>276</v>
      </c>
      <c r="E522" s="5">
        <f t="shared" si="1"/>
        <v>245</v>
      </c>
      <c r="L522" s="5">
        <f t="shared" si="4"/>
        <v>223</v>
      </c>
      <c r="M522" s="19">
        <f t="shared" si="5"/>
        <v>0.551980198</v>
      </c>
      <c r="N522" s="5">
        <f t="shared" si="6"/>
        <v>49729</v>
      </c>
      <c r="P522" s="5">
        <f t="shared" si="7"/>
        <v>128</v>
      </c>
      <c r="Q522" s="19">
        <f t="shared" si="8"/>
        <v>0.3168316832</v>
      </c>
      <c r="R522" s="5">
        <f t="shared" si="9"/>
        <v>16384</v>
      </c>
      <c r="T522" s="5">
        <f t="shared" si="10"/>
        <v>159</v>
      </c>
      <c r="U522" s="19">
        <f t="shared" si="11"/>
        <v>0.3935643564</v>
      </c>
      <c r="V522" s="5">
        <f t="shared" si="12"/>
        <v>25281</v>
      </c>
    </row>
    <row r="523">
      <c r="A523" s="2">
        <v>41297.0</v>
      </c>
      <c r="B523" s="5">
        <v>576.0</v>
      </c>
      <c r="C523" s="5">
        <f t="shared" si="2"/>
        <v>255</v>
      </c>
      <c r="D523" s="5">
        <f t="shared" si="3"/>
        <v>276</v>
      </c>
      <c r="E523" s="5">
        <f t="shared" si="1"/>
        <v>309</v>
      </c>
      <c r="L523" s="5">
        <f t="shared" si="4"/>
        <v>321</v>
      </c>
      <c r="M523" s="19">
        <f t="shared" si="5"/>
        <v>0.5572916667</v>
      </c>
      <c r="N523" s="5">
        <f t="shared" si="6"/>
        <v>103041</v>
      </c>
      <c r="P523" s="5">
        <f t="shared" si="7"/>
        <v>300</v>
      </c>
      <c r="Q523" s="19">
        <f t="shared" si="8"/>
        <v>0.5208333333</v>
      </c>
      <c r="R523" s="5">
        <f t="shared" si="9"/>
        <v>90000</v>
      </c>
      <c r="T523" s="5">
        <f t="shared" si="10"/>
        <v>267</v>
      </c>
      <c r="U523" s="19">
        <f t="shared" si="11"/>
        <v>0.4635416667</v>
      </c>
      <c r="V523" s="5">
        <f t="shared" si="12"/>
        <v>71289</v>
      </c>
    </row>
    <row r="524">
      <c r="A524" s="2">
        <v>41298.0</v>
      </c>
      <c r="B524" s="5">
        <v>42.0</v>
      </c>
      <c r="C524" s="5">
        <f t="shared" si="2"/>
        <v>291</v>
      </c>
      <c r="D524" s="5">
        <f t="shared" si="3"/>
        <v>277</v>
      </c>
      <c r="E524" s="5">
        <f t="shared" si="1"/>
        <v>416</v>
      </c>
      <c r="L524" s="5">
        <f t="shared" si="4"/>
        <v>-249</v>
      </c>
      <c r="M524" s="19">
        <f t="shared" si="5"/>
        <v>5.928571429</v>
      </c>
      <c r="N524" s="5">
        <f t="shared" si="6"/>
        <v>62001</v>
      </c>
      <c r="P524" s="5">
        <f t="shared" si="7"/>
        <v>-235</v>
      </c>
      <c r="Q524" s="19">
        <f t="shared" si="8"/>
        <v>5.595238095</v>
      </c>
      <c r="R524" s="5">
        <f t="shared" si="9"/>
        <v>55225</v>
      </c>
      <c r="T524" s="5">
        <f t="shared" si="10"/>
        <v>-374</v>
      </c>
      <c r="U524" s="19">
        <f t="shared" si="11"/>
        <v>8.904761905</v>
      </c>
      <c r="V524" s="5">
        <f t="shared" si="12"/>
        <v>139876</v>
      </c>
    </row>
    <row r="525">
      <c r="A525" s="2">
        <v>41299.0</v>
      </c>
      <c r="B525" s="5">
        <v>0.0</v>
      </c>
      <c r="C525" s="5">
        <f t="shared" si="2"/>
        <v>298</v>
      </c>
      <c r="D525" s="5">
        <f t="shared" si="3"/>
        <v>276</v>
      </c>
      <c r="E525" s="5">
        <f t="shared" si="1"/>
        <v>266</v>
      </c>
      <c r="L525" s="5">
        <f t="shared" si="4"/>
        <v>-298</v>
      </c>
      <c r="M525" s="19">
        <f t="shared" si="5"/>
        <v>1</v>
      </c>
      <c r="N525" s="5">
        <f t="shared" si="6"/>
        <v>88804</v>
      </c>
      <c r="P525" s="5">
        <f t="shared" si="7"/>
        <v>-276</v>
      </c>
      <c r="Q525" s="19">
        <f t="shared" si="8"/>
        <v>1</v>
      </c>
      <c r="R525" s="5">
        <f t="shared" si="9"/>
        <v>76176</v>
      </c>
      <c r="T525" s="5">
        <f t="shared" si="10"/>
        <v>-266</v>
      </c>
      <c r="U525" s="19">
        <f t="shared" si="11"/>
        <v>1</v>
      </c>
      <c r="V525" s="5">
        <f t="shared" si="12"/>
        <v>70756</v>
      </c>
    </row>
    <row r="526">
      <c r="A526" s="2">
        <v>41302.0</v>
      </c>
      <c r="B526" s="5">
        <v>566.0</v>
      </c>
      <c r="C526" s="5">
        <f t="shared" si="2"/>
        <v>298</v>
      </c>
      <c r="D526" s="5">
        <f t="shared" si="3"/>
        <v>276</v>
      </c>
      <c r="E526" s="5">
        <f t="shared" si="1"/>
        <v>160</v>
      </c>
      <c r="L526" s="5">
        <f t="shared" si="4"/>
        <v>268</v>
      </c>
      <c r="M526" s="19">
        <f t="shared" si="5"/>
        <v>0.4734982332</v>
      </c>
      <c r="N526" s="5">
        <f t="shared" si="6"/>
        <v>71824</v>
      </c>
      <c r="P526" s="5">
        <f t="shared" si="7"/>
        <v>290</v>
      </c>
      <c r="Q526" s="19">
        <f t="shared" si="8"/>
        <v>0.5123674912</v>
      </c>
      <c r="R526" s="5">
        <f t="shared" si="9"/>
        <v>84100</v>
      </c>
      <c r="T526" s="5">
        <f t="shared" si="10"/>
        <v>406</v>
      </c>
      <c r="U526" s="19">
        <f t="shared" si="11"/>
        <v>0.7173144876</v>
      </c>
      <c r="V526" s="5">
        <f t="shared" si="12"/>
        <v>164836</v>
      </c>
    </row>
    <row r="527">
      <c r="A527" s="2">
        <v>41303.0</v>
      </c>
      <c r="B527" s="5">
        <v>756.0</v>
      </c>
      <c r="C527" s="5">
        <f t="shared" si="2"/>
        <v>318</v>
      </c>
      <c r="D527" s="5">
        <f t="shared" si="3"/>
        <v>276</v>
      </c>
      <c r="E527" s="5">
        <f t="shared" si="1"/>
        <v>322</v>
      </c>
      <c r="L527" s="5">
        <f t="shared" si="4"/>
        <v>438</v>
      </c>
      <c r="M527" s="19">
        <f t="shared" si="5"/>
        <v>0.5793650794</v>
      </c>
      <c r="N527" s="5">
        <f t="shared" si="6"/>
        <v>191844</v>
      </c>
      <c r="P527" s="5">
        <f t="shared" si="7"/>
        <v>480</v>
      </c>
      <c r="Q527" s="19">
        <f t="shared" si="8"/>
        <v>0.6349206349</v>
      </c>
      <c r="R527" s="5">
        <f t="shared" si="9"/>
        <v>230400</v>
      </c>
      <c r="T527" s="5">
        <f t="shared" si="10"/>
        <v>434</v>
      </c>
      <c r="U527" s="19">
        <f t="shared" si="11"/>
        <v>0.5740740741</v>
      </c>
      <c r="V527" s="5">
        <f t="shared" si="12"/>
        <v>188356</v>
      </c>
    </row>
    <row r="528">
      <c r="A528" s="2">
        <v>41304.0</v>
      </c>
      <c r="B528" s="5">
        <v>204.0</v>
      </c>
      <c r="C528" s="5">
        <f t="shared" si="2"/>
        <v>388</v>
      </c>
      <c r="D528" s="5">
        <f t="shared" si="3"/>
        <v>277</v>
      </c>
      <c r="E528" s="5">
        <f t="shared" si="1"/>
        <v>496</v>
      </c>
      <c r="L528" s="5">
        <f t="shared" si="4"/>
        <v>-184</v>
      </c>
      <c r="M528" s="19">
        <f t="shared" si="5"/>
        <v>0.9019607843</v>
      </c>
      <c r="N528" s="5">
        <f t="shared" si="6"/>
        <v>33856</v>
      </c>
      <c r="P528" s="5">
        <f t="shared" si="7"/>
        <v>-73</v>
      </c>
      <c r="Q528" s="19">
        <f t="shared" si="8"/>
        <v>0.3578431373</v>
      </c>
      <c r="R528" s="5">
        <f t="shared" si="9"/>
        <v>5329</v>
      </c>
      <c r="T528" s="5">
        <f t="shared" si="10"/>
        <v>-292</v>
      </c>
      <c r="U528" s="19">
        <f t="shared" si="11"/>
        <v>1.431372549</v>
      </c>
      <c r="V528" s="5">
        <f t="shared" si="12"/>
        <v>85264</v>
      </c>
    </row>
    <row r="529">
      <c r="A529" s="2">
        <v>41305.0</v>
      </c>
      <c r="B529" s="5">
        <v>0.0</v>
      </c>
      <c r="C529" s="5">
        <f t="shared" si="2"/>
        <v>314</v>
      </c>
      <c r="D529" s="5">
        <f t="shared" si="3"/>
        <v>277</v>
      </c>
      <c r="E529" s="5">
        <f t="shared" si="1"/>
        <v>379</v>
      </c>
      <c r="L529" s="5">
        <f t="shared" si="4"/>
        <v>-314</v>
      </c>
      <c r="M529" s="19">
        <f t="shared" si="5"/>
        <v>1</v>
      </c>
      <c r="N529" s="5">
        <f t="shared" si="6"/>
        <v>98596</v>
      </c>
      <c r="P529" s="5">
        <f t="shared" si="7"/>
        <v>-277</v>
      </c>
      <c r="Q529" s="19">
        <f t="shared" si="8"/>
        <v>1</v>
      </c>
      <c r="R529" s="5">
        <f t="shared" si="9"/>
        <v>76729</v>
      </c>
      <c r="T529" s="5">
        <f t="shared" si="10"/>
        <v>-379</v>
      </c>
      <c r="U529" s="19">
        <f t="shared" si="11"/>
        <v>1</v>
      </c>
      <c r="V529" s="5">
        <f t="shared" si="12"/>
        <v>143641</v>
      </c>
    </row>
    <row r="530">
      <c r="A530" s="2">
        <v>41306.0</v>
      </c>
      <c r="B530" s="5">
        <v>0.0</v>
      </c>
      <c r="C530" s="5">
        <f t="shared" si="2"/>
        <v>305</v>
      </c>
      <c r="D530" s="5">
        <f t="shared" si="3"/>
        <v>277</v>
      </c>
      <c r="E530" s="5">
        <f t="shared" si="1"/>
        <v>227</v>
      </c>
      <c r="L530" s="5">
        <f t="shared" si="4"/>
        <v>-305</v>
      </c>
      <c r="M530" s="19">
        <f t="shared" si="5"/>
        <v>1</v>
      </c>
      <c r="N530" s="5">
        <f t="shared" si="6"/>
        <v>93025</v>
      </c>
      <c r="P530" s="5">
        <f t="shared" si="7"/>
        <v>-277</v>
      </c>
      <c r="Q530" s="19">
        <f t="shared" si="8"/>
        <v>1</v>
      </c>
      <c r="R530" s="5">
        <f t="shared" si="9"/>
        <v>76729</v>
      </c>
      <c r="T530" s="5">
        <f t="shared" si="10"/>
        <v>-227</v>
      </c>
      <c r="U530" s="19">
        <f t="shared" si="11"/>
        <v>1</v>
      </c>
      <c r="V530" s="5">
        <f t="shared" si="12"/>
        <v>51529</v>
      </c>
    </row>
    <row r="531">
      <c r="A531" s="2">
        <v>41309.0</v>
      </c>
      <c r="B531" s="5">
        <v>516.0</v>
      </c>
      <c r="C531" s="5">
        <f t="shared" si="2"/>
        <v>305</v>
      </c>
      <c r="D531" s="5">
        <f t="shared" si="3"/>
        <v>276</v>
      </c>
      <c r="E531" s="5">
        <f t="shared" si="1"/>
        <v>136</v>
      </c>
      <c r="L531" s="5">
        <f t="shared" si="4"/>
        <v>211</v>
      </c>
      <c r="M531" s="19">
        <f t="shared" si="5"/>
        <v>0.4089147287</v>
      </c>
      <c r="N531" s="5">
        <f t="shared" si="6"/>
        <v>44521</v>
      </c>
      <c r="P531" s="5">
        <f t="shared" si="7"/>
        <v>240</v>
      </c>
      <c r="Q531" s="19">
        <f t="shared" si="8"/>
        <v>0.4651162791</v>
      </c>
      <c r="R531" s="5">
        <f t="shared" si="9"/>
        <v>57600</v>
      </c>
      <c r="T531" s="5">
        <f t="shared" si="10"/>
        <v>380</v>
      </c>
      <c r="U531" s="19">
        <f t="shared" si="11"/>
        <v>0.7364341085</v>
      </c>
      <c r="V531" s="5">
        <f t="shared" si="12"/>
        <v>144400</v>
      </c>
    </row>
    <row r="532">
      <c r="A532" s="2">
        <v>41310.0</v>
      </c>
      <c r="B532" s="5">
        <v>72.0</v>
      </c>
      <c r="C532" s="5">
        <f t="shared" si="2"/>
        <v>295</v>
      </c>
      <c r="D532" s="5">
        <f t="shared" si="3"/>
        <v>276</v>
      </c>
      <c r="E532" s="5">
        <f t="shared" si="1"/>
        <v>288</v>
      </c>
      <c r="L532" s="5">
        <f t="shared" si="4"/>
        <v>-223</v>
      </c>
      <c r="M532" s="19">
        <f t="shared" si="5"/>
        <v>3.097222222</v>
      </c>
      <c r="N532" s="5">
        <f t="shared" si="6"/>
        <v>49729</v>
      </c>
      <c r="P532" s="5">
        <f t="shared" si="7"/>
        <v>-204</v>
      </c>
      <c r="Q532" s="19">
        <f t="shared" si="8"/>
        <v>2.833333333</v>
      </c>
      <c r="R532" s="5">
        <f t="shared" si="9"/>
        <v>41616</v>
      </c>
      <c r="T532" s="5">
        <f t="shared" si="10"/>
        <v>-216</v>
      </c>
      <c r="U532" s="19">
        <f t="shared" si="11"/>
        <v>3</v>
      </c>
      <c r="V532" s="5">
        <f t="shared" si="12"/>
        <v>46656</v>
      </c>
    </row>
    <row r="533">
      <c r="A533" s="2">
        <v>41311.0</v>
      </c>
      <c r="B533" s="5">
        <v>0.0</v>
      </c>
      <c r="C533" s="5">
        <f t="shared" si="2"/>
        <v>158</v>
      </c>
      <c r="D533" s="5">
        <f t="shared" si="3"/>
        <v>276</v>
      </c>
      <c r="E533" s="5">
        <f t="shared" si="1"/>
        <v>202</v>
      </c>
      <c r="L533" s="5">
        <f t="shared" si="4"/>
        <v>-158</v>
      </c>
      <c r="M533" s="19">
        <f t="shared" si="5"/>
        <v>1</v>
      </c>
      <c r="N533" s="5">
        <f t="shared" si="6"/>
        <v>24964</v>
      </c>
      <c r="P533" s="5">
        <f t="shared" si="7"/>
        <v>-276</v>
      </c>
      <c r="Q533" s="19">
        <f t="shared" si="8"/>
        <v>1</v>
      </c>
      <c r="R533" s="5">
        <f t="shared" si="9"/>
        <v>76176</v>
      </c>
      <c r="T533" s="5">
        <f t="shared" si="10"/>
        <v>-202</v>
      </c>
      <c r="U533" s="19">
        <f t="shared" si="11"/>
        <v>1</v>
      </c>
      <c r="V533" s="5">
        <f t="shared" si="12"/>
        <v>40804</v>
      </c>
    </row>
    <row r="534">
      <c r="A534" s="2">
        <v>41312.0</v>
      </c>
      <c r="B534" s="5">
        <v>283.0</v>
      </c>
      <c r="C534" s="5">
        <f t="shared" si="2"/>
        <v>118</v>
      </c>
      <c r="D534" s="5">
        <f t="shared" si="3"/>
        <v>276</v>
      </c>
      <c r="E534" s="5">
        <f t="shared" si="1"/>
        <v>121</v>
      </c>
      <c r="L534" s="5">
        <f t="shared" si="4"/>
        <v>165</v>
      </c>
      <c r="M534" s="19">
        <f t="shared" si="5"/>
        <v>0.5830388693</v>
      </c>
      <c r="N534" s="5">
        <f t="shared" si="6"/>
        <v>27225</v>
      </c>
      <c r="P534" s="5">
        <f t="shared" si="7"/>
        <v>7</v>
      </c>
      <c r="Q534" s="19">
        <f t="shared" si="8"/>
        <v>0.02473498233</v>
      </c>
      <c r="R534" s="5">
        <f t="shared" si="9"/>
        <v>49</v>
      </c>
      <c r="T534" s="5">
        <f t="shared" si="10"/>
        <v>162</v>
      </c>
      <c r="U534" s="19">
        <f t="shared" si="11"/>
        <v>0.5724381625</v>
      </c>
      <c r="V534" s="5">
        <f t="shared" si="12"/>
        <v>26244</v>
      </c>
    </row>
    <row r="535">
      <c r="A535" s="2">
        <v>41313.0</v>
      </c>
      <c r="B535" s="5">
        <v>0.0</v>
      </c>
      <c r="C535" s="5">
        <f t="shared" si="2"/>
        <v>174</v>
      </c>
      <c r="D535" s="5">
        <f t="shared" si="3"/>
        <v>276</v>
      </c>
      <c r="E535" s="5">
        <f t="shared" si="1"/>
        <v>186</v>
      </c>
      <c r="L535" s="5">
        <f t="shared" si="4"/>
        <v>-174</v>
      </c>
      <c r="M535" s="19">
        <f t="shared" si="5"/>
        <v>1</v>
      </c>
      <c r="N535" s="5">
        <f t="shared" si="6"/>
        <v>30276</v>
      </c>
      <c r="P535" s="5">
        <f t="shared" si="7"/>
        <v>-276</v>
      </c>
      <c r="Q535" s="19">
        <f t="shared" si="8"/>
        <v>1</v>
      </c>
      <c r="R535" s="5">
        <f t="shared" si="9"/>
        <v>76176</v>
      </c>
      <c r="T535" s="5">
        <f t="shared" si="10"/>
        <v>-186</v>
      </c>
      <c r="U535" s="19">
        <f t="shared" si="11"/>
        <v>1</v>
      </c>
      <c r="V535" s="5">
        <f t="shared" si="12"/>
        <v>34596</v>
      </c>
    </row>
    <row r="536">
      <c r="A536" s="2">
        <v>41316.0</v>
      </c>
      <c r="B536" s="5">
        <v>352.0</v>
      </c>
      <c r="C536" s="5">
        <f t="shared" si="2"/>
        <v>174</v>
      </c>
      <c r="D536" s="5">
        <f t="shared" si="3"/>
        <v>275</v>
      </c>
      <c r="E536" s="5">
        <f t="shared" si="1"/>
        <v>112</v>
      </c>
      <c r="L536" s="5">
        <f t="shared" si="4"/>
        <v>178</v>
      </c>
      <c r="M536" s="19">
        <f t="shared" si="5"/>
        <v>0.5056818182</v>
      </c>
      <c r="N536" s="5">
        <f t="shared" si="6"/>
        <v>31684</v>
      </c>
      <c r="P536" s="5">
        <f t="shared" si="7"/>
        <v>77</v>
      </c>
      <c r="Q536" s="19">
        <f t="shared" si="8"/>
        <v>0.21875</v>
      </c>
      <c r="R536" s="5">
        <f t="shared" si="9"/>
        <v>5929</v>
      </c>
      <c r="T536" s="5">
        <f t="shared" si="10"/>
        <v>240</v>
      </c>
      <c r="U536" s="19">
        <f t="shared" si="11"/>
        <v>0.6818181818</v>
      </c>
      <c r="V536" s="5">
        <f t="shared" si="12"/>
        <v>57600</v>
      </c>
    </row>
    <row r="537">
      <c r="A537" s="2">
        <v>41317.0</v>
      </c>
      <c r="B537" s="5">
        <v>360.0</v>
      </c>
      <c r="C537" s="5">
        <f t="shared" si="2"/>
        <v>141</v>
      </c>
      <c r="D537" s="5">
        <f t="shared" si="3"/>
        <v>275</v>
      </c>
      <c r="E537" s="5">
        <f t="shared" si="1"/>
        <v>208</v>
      </c>
      <c r="L537" s="5">
        <f t="shared" si="4"/>
        <v>219</v>
      </c>
      <c r="M537" s="19">
        <f t="shared" si="5"/>
        <v>0.6083333333</v>
      </c>
      <c r="N537" s="5">
        <f t="shared" si="6"/>
        <v>47961</v>
      </c>
      <c r="P537" s="5">
        <f t="shared" si="7"/>
        <v>85</v>
      </c>
      <c r="Q537" s="19">
        <f t="shared" si="8"/>
        <v>0.2361111111</v>
      </c>
      <c r="R537" s="5">
        <f t="shared" si="9"/>
        <v>7225</v>
      </c>
      <c r="T537" s="5">
        <f t="shared" si="10"/>
        <v>152</v>
      </c>
      <c r="U537" s="19">
        <f t="shared" si="11"/>
        <v>0.4222222222</v>
      </c>
      <c r="V537" s="5">
        <f t="shared" si="12"/>
        <v>23104</v>
      </c>
    </row>
    <row r="538">
      <c r="A538" s="2">
        <v>41318.0</v>
      </c>
      <c r="B538" s="5">
        <v>324.0</v>
      </c>
      <c r="C538" s="5">
        <f t="shared" si="2"/>
        <v>199</v>
      </c>
      <c r="D538" s="5">
        <f t="shared" si="3"/>
        <v>275</v>
      </c>
      <c r="E538" s="5">
        <f t="shared" si="1"/>
        <v>269</v>
      </c>
      <c r="L538" s="5">
        <f t="shared" si="4"/>
        <v>125</v>
      </c>
      <c r="M538" s="19">
        <f t="shared" si="5"/>
        <v>0.3858024691</v>
      </c>
      <c r="N538" s="5">
        <f t="shared" si="6"/>
        <v>15625</v>
      </c>
      <c r="P538" s="5">
        <f t="shared" si="7"/>
        <v>49</v>
      </c>
      <c r="Q538" s="19">
        <f t="shared" si="8"/>
        <v>0.1512345679</v>
      </c>
      <c r="R538" s="5">
        <f t="shared" si="9"/>
        <v>2401</v>
      </c>
      <c r="T538" s="5">
        <f t="shared" si="10"/>
        <v>55</v>
      </c>
      <c r="U538" s="19">
        <f t="shared" si="11"/>
        <v>0.1697530864</v>
      </c>
      <c r="V538" s="5">
        <f t="shared" si="12"/>
        <v>3025</v>
      </c>
    </row>
    <row r="539">
      <c r="A539" s="2">
        <v>41319.0</v>
      </c>
      <c r="B539" s="5">
        <v>75.0</v>
      </c>
      <c r="C539" s="5">
        <f t="shared" si="2"/>
        <v>264</v>
      </c>
      <c r="D539" s="5">
        <f t="shared" si="3"/>
        <v>275</v>
      </c>
      <c r="E539" s="5">
        <f t="shared" si="1"/>
        <v>291</v>
      </c>
      <c r="L539" s="5">
        <f t="shared" si="4"/>
        <v>-189</v>
      </c>
      <c r="M539" s="19">
        <f t="shared" si="5"/>
        <v>2.52</v>
      </c>
      <c r="N539" s="5">
        <f t="shared" si="6"/>
        <v>35721</v>
      </c>
      <c r="P539" s="5">
        <f t="shared" si="7"/>
        <v>-200</v>
      </c>
      <c r="Q539" s="19">
        <f t="shared" si="8"/>
        <v>2.666666667</v>
      </c>
      <c r="R539" s="5">
        <f t="shared" si="9"/>
        <v>40000</v>
      </c>
      <c r="T539" s="5">
        <f t="shared" si="10"/>
        <v>-216</v>
      </c>
      <c r="U539" s="19">
        <f t="shared" si="11"/>
        <v>2.88</v>
      </c>
      <c r="V539" s="5">
        <f t="shared" si="12"/>
        <v>46656</v>
      </c>
    </row>
    <row r="540">
      <c r="A540" s="2">
        <v>41320.0</v>
      </c>
      <c r="B540" s="5">
        <v>0.0</v>
      </c>
      <c r="C540" s="5">
        <f t="shared" si="2"/>
        <v>222</v>
      </c>
      <c r="D540" s="5">
        <f t="shared" si="3"/>
        <v>275</v>
      </c>
      <c r="E540" s="5">
        <f t="shared" si="1"/>
        <v>205</v>
      </c>
      <c r="L540" s="5">
        <f t="shared" si="4"/>
        <v>-222</v>
      </c>
      <c r="M540" s="19">
        <f t="shared" si="5"/>
        <v>1</v>
      </c>
      <c r="N540" s="5">
        <f t="shared" si="6"/>
        <v>49284</v>
      </c>
      <c r="P540" s="5">
        <f t="shared" si="7"/>
        <v>-275</v>
      </c>
      <c r="Q540" s="19">
        <f t="shared" si="8"/>
        <v>1</v>
      </c>
      <c r="R540" s="5">
        <f t="shared" si="9"/>
        <v>75625</v>
      </c>
      <c r="T540" s="5">
        <f t="shared" si="10"/>
        <v>-205</v>
      </c>
      <c r="U540" s="19">
        <f t="shared" si="11"/>
        <v>1</v>
      </c>
      <c r="V540" s="5">
        <f t="shared" si="12"/>
        <v>42025</v>
      </c>
    </row>
    <row r="541">
      <c r="A541" s="2">
        <v>41323.0</v>
      </c>
      <c r="B541" s="5">
        <v>414.0</v>
      </c>
      <c r="C541" s="5">
        <f t="shared" si="2"/>
        <v>222</v>
      </c>
      <c r="D541" s="5">
        <f t="shared" si="3"/>
        <v>275</v>
      </c>
      <c r="E541" s="5">
        <f t="shared" si="1"/>
        <v>123</v>
      </c>
      <c r="L541" s="5">
        <f t="shared" si="4"/>
        <v>192</v>
      </c>
      <c r="M541" s="19">
        <f t="shared" si="5"/>
        <v>0.4637681159</v>
      </c>
      <c r="N541" s="5">
        <f t="shared" si="6"/>
        <v>36864</v>
      </c>
      <c r="P541" s="5">
        <f t="shared" si="7"/>
        <v>139</v>
      </c>
      <c r="Q541" s="19">
        <f t="shared" si="8"/>
        <v>0.3357487923</v>
      </c>
      <c r="R541" s="5">
        <f t="shared" si="9"/>
        <v>19321</v>
      </c>
      <c r="T541" s="5">
        <f t="shared" si="10"/>
        <v>291</v>
      </c>
      <c r="U541" s="19">
        <f t="shared" si="11"/>
        <v>0.7028985507</v>
      </c>
      <c r="V541" s="5">
        <f t="shared" si="12"/>
        <v>84681</v>
      </c>
    </row>
    <row r="542">
      <c r="A542" s="2">
        <v>41324.0</v>
      </c>
      <c r="B542" s="5">
        <v>342.0</v>
      </c>
      <c r="C542" s="5">
        <f t="shared" si="2"/>
        <v>235</v>
      </c>
      <c r="D542" s="5">
        <f t="shared" si="3"/>
        <v>275</v>
      </c>
      <c r="E542" s="5">
        <f t="shared" si="1"/>
        <v>239</v>
      </c>
      <c r="L542" s="5">
        <f t="shared" si="4"/>
        <v>107</v>
      </c>
      <c r="M542" s="19">
        <f t="shared" si="5"/>
        <v>0.3128654971</v>
      </c>
      <c r="N542" s="5">
        <f t="shared" si="6"/>
        <v>11449</v>
      </c>
      <c r="P542" s="5">
        <f t="shared" si="7"/>
        <v>67</v>
      </c>
      <c r="Q542" s="19">
        <f t="shared" si="8"/>
        <v>0.1959064327</v>
      </c>
      <c r="R542" s="5">
        <f t="shared" si="9"/>
        <v>4489</v>
      </c>
      <c r="T542" s="5">
        <f t="shared" si="10"/>
        <v>103</v>
      </c>
      <c r="U542" s="19">
        <f t="shared" si="11"/>
        <v>0.3011695906</v>
      </c>
      <c r="V542" s="5">
        <f t="shared" si="12"/>
        <v>10609</v>
      </c>
    </row>
    <row r="543">
      <c r="A543" s="2">
        <v>41325.0</v>
      </c>
      <c r="B543" s="5">
        <v>12.0</v>
      </c>
      <c r="C543" s="5">
        <f t="shared" si="2"/>
        <v>231</v>
      </c>
      <c r="D543" s="5">
        <f t="shared" si="3"/>
        <v>275</v>
      </c>
      <c r="E543" s="5">
        <f t="shared" si="1"/>
        <v>280</v>
      </c>
      <c r="L543" s="5">
        <f t="shared" si="4"/>
        <v>-219</v>
      </c>
      <c r="M543" s="19">
        <f t="shared" si="5"/>
        <v>18.25</v>
      </c>
      <c r="N543" s="5">
        <f t="shared" si="6"/>
        <v>47961</v>
      </c>
      <c r="P543" s="5">
        <f t="shared" si="7"/>
        <v>-263</v>
      </c>
      <c r="Q543" s="19">
        <f t="shared" si="8"/>
        <v>21.91666667</v>
      </c>
      <c r="R543" s="5">
        <f t="shared" si="9"/>
        <v>69169</v>
      </c>
      <c r="T543" s="5">
        <f t="shared" si="10"/>
        <v>-268</v>
      </c>
      <c r="U543" s="19">
        <f t="shared" si="11"/>
        <v>22.33333333</v>
      </c>
      <c r="V543" s="5">
        <f t="shared" si="12"/>
        <v>71824</v>
      </c>
    </row>
    <row r="544">
      <c r="A544" s="2">
        <v>41326.0</v>
      </c>
      <c r="B544" s="5">
        <v>16.0</v>
      </c>
      <c r="C544" s="5">
        <f t="shared" si="2"/>
        <v>169</v>
      </c>
      <c r="D544" s="5">
        <f t="shared" si="3"/>
        <v>274</v>
      </c>
      <c r="E544" s="5">
        <f t="shared" si="1"/>
        <v>173</v>
      </c>
      <c r="L544" s="5">
        <f t="shared" si="4"/>
        <v>-153</v>
      </c>
      <c r="M544" s="19">
        <f t="shared" si="5"/>
        <v>9.5625</v>
      </c>
      <c r="N544" s="5">
        <f t="shared" si="6"/>
        <v>23409</v>
      </c>
      <c r="P544" s="5">
        <f t="shared" si="7"/>
        <v>-258</v>
      </c>
      <c r="Q544" s="19">
        <f t="shared" si="8"/>
        <v>16.125</v>
      </c>
      <c r="R544" s="5">
        <f t="shared" si="9"/>
        <v>66564</v>
      </c>
      <c r="T544" s="5">
        <f t="shared" si="10"/>
        <v>-157</v>
      </c>
      <c r="U544" s="19">
        <f t="shared" si="11"/>
        <v>9.8125</v>
      </c>
      <c r="V544" s="5">
        <f t="shared" si="12"/>
        <v>24649</v>
      </c>
    </row>
    <row r="545">
      <c r="A545" s="2">
        <v>41327.0</v>
      </c>
      <c r="B545" s="5">
        <v>0.0</v>
      </c>
      <c r="C545" s="5">
        <f t="shared" si="2"/>
        <v>157</v>
      </c>
      <c r="D545" s="5">
        <f t="shared" si="3"/>
        <v>274</v>
      </c>
      <c r="E545" s="5">
        <f t="shared" si="1"/>
        <v>110</v>
      </c>
      <c r="L545" s="5">
        <f t="shared" si="4"/>
        <v>-157</v>
      </c>
      <c r="M545" s="19">
        <f t="shared" si="5"/>
        <v>1</v>
      </c>
      <c r="N545" s="5">
        <f t="shared" si="6"/>
        <v>24649</v>
      </c>
      <c r="P545" s="5">
        <f t="shared" si="7"/>
        <v>-274</v>
      </c>
      <c r="Q545" s="19">
        <f t="shared" si="8"/>
        <v>1</v>
      </c>
      <c r="R545" s="5">
        <f t="shared" si="9"/>
        <v>75076</v>
      </c>
      <c r="T545" s="5">
        <f t="shared" si="10"/>
        <v>-110</v>
      </c>
      <c r="U545" s="19">
        <f t="shared" si="11"/>
        <v>1</v>
      </c>
      <c r="V545" s="5">
        <f t="shared" si="12"/>
        <v>12100</v>
      </c>
    </row>
    <row r="546">
      <c r="A546" s="2">
        <v>41330.0</v>
      </c>
      <c r="B546" s="5">
        <v>450.0</v>
      </c>
      <c r="C546" s="5">
        <f t="shared" si="2"/>
        <v>157</v>
      </c>
      <c r="D546" s="5">
        <f t="shared" si="3"/>
        <v>273</v>
      </c>
      <c r="E546" s="5">
        <f t="shared" si="1"/>
        <v>66</v>
      </c>
      <c r="L546" s="5">
        <f t="shared" si="4"/>
        <v>293</v>
      </c>
      <c r="M546" s="19">
        <f t="shared" si="5"/>
        <v>0.6511111111</v>
      </c>
      <c r="N546" s="5">
        <f t="shared" si="6"/>
        <v>85849</v>
      </c>
      <c r="P546" s="5">
        <f t="shared" si="7"/>
        <v>177</v>
      </c>
      <c r="Q546" s="19">
        <f t="shared" si="8"/>
        <v>0.3933333333</v>
      </c>
      <c r="R546" s="5">
        <f t="shared" si="9"/>
        <v>31329</v>
      </c>
      <c r="T546" s="5">
        <f t="shared" si="10"/>
        <v>384</v>
      </c>
      <c r="U546" s="19">
        <f t="shared" si="11"/>
        <v>0.8533333333</v>
      </c>
      <c r="V546" s="5">
        <f t="shared" si="12"/>
        <v>147456</v>
      </c>
    </row>
    <row r="547">
      <c r="A547" s="2">
        <v>41331.0</v>
      </c>
      <c r="B547" s="5">
        <v>42.0</v>
      </c>
      <c r="C547" s="5">
        <f t="shared" si="2"/>
        <v>164</v>
      </c>
      <c r="D547" s="5">
        <f t="shared" si="3"/>
        <v>274</v>
      </c>
      <c r="E547" s="5">
        <f t="shared" si="1"/>
        <v>220</v>
      </c>
      <c r="L547" s="5">
        <f t="shared" si="4"/>
        <v>-122</v>
      </c>
      <c r="M547" s="19">
        <f t="shared" si="5"/>
        <v>2.904761905</v>
      </c>
      <c r="N547" s="5">
        <f t="shared" si="6"/>
        <v>14884</v>
      </c>
      <c r="P547" s="5">
        <f t="shared" si="7"/>
        <v>-232</v>
      </c>
      <c r="Q547" s="19">
        <f t="shared" si="8"/>
        <v>5.523809524</v>
      </c>
      <c r="R547" s="5">
        <f t="shared" si="9"/>
        <v>53824</v>
      </c>
      <c r="T547" s="5">
        <f t="shared" si="10"/>
        <v>-178</v>
      </c>
      <c r="U547" s="19">
        <f t="shared" si="11"/>
        <v>4.238095238</v>
      </c>
      <c r="V547" s="5">
        <f t="shared" si="12"/>
        <v>31684</v>
      </c>
    </row>
    <row r="548">
      <c r="A548" s="2">
        <v>41332.0</v>
      </c>
      <c r="B548" s="5">
        <v>150.0</v>
      </c>
      <c r="C548" s="5">
        <f t="shared" si="2"/>
        <v>104</v>
      </c>
      <c r="D548" s="5">
        <f t="shared" si="3"/>
        <v>273</v>
      </c>
      <c r="E548" s="5">
        <f t="shared" si="1"/>
        <v>149</v>
      </c>
      <c r="L548" s="5">
        <f t="shared" si="4"/>
        <v>46</v>
      </c>
      <c r="M548" s="19">
        <f t="shared" si="5"/>
        <v>0.3066666667</v>
      </c>
      <c r="N548" s="5">
        <f t="shared" si="6"/>
        <v>2116</v>
      </c>
      <c r="P548" s="5">
        <f t="shared" si="7"/>
        <v>-123</v>
      </c>
      <c r="Q548" s="19">
        <f t="shared" si="8"/>
        <v>0.82</v>
      </c>
      <c r="R548" s="5">
        <f t="shared" si="9"/>
        <v>15129</v>
      </c>
      <c r="T548" s="5">
        <f t="shared" si="10"/>
        <v>1</v>
      </c>
      <c r="U548" s="19">
        <f t="shared" si="11"/>
        <v>0.006666666667</v>
      </c>
      <c r="V548" s="5">
        <f t="shared" si="12"/>
        <v>1</v>
      </c>
    </row>
    <row r="549">
      <c r="A549" s="2">
        <v>41333.0</v>
      </c>
      <c r="B549" s="5">
        <v>9.0</v>
      </c>
      <c r="C549" s="5">
        <f t="shared" si="2"/>
        <v>132</v>
      </c>
      <c r="D549" s="5">
        <f t="shared" si="3"/>
        <v>273</v>
      </c>
      <c r="E549" s="5">
        <f t="shared" si="1"/>
        <v>149</v>
      </c>
      <c r="L549" s="5">
        <f t="shared" si="4"/>
        <v>-123</v>
      </c>
      <c r="M549" s="19">
        <f t="shared" si="5"/>
        <v>13.66666667</v>
      </c>
      <c r="N549" s="5">
        <f t="shared" si="6"/>
        <v>15129</v>
      </c>
      <c r="P549" s="5">
        <f t="shared" si="7"/>
        <v>-264</v>
      </c>
      <c r="Q549" s="19">
        <f t="shared" si="8"/>
        <v>29.33333333</v>
      </c>
      <c r="R549" s="5">
        <f t="shared" si="9"/>
        <v>69696</v>
      </c>
      <c r="T549" s="5">
        <f t="shared" si="10"/>
        <v>-140</v>
      </c>
      <c r="U549" s="19">
        <f t="shared" si="11"/>
        <v>15.55555556</v>
      </c>
      <c r="V549" s="5">
        <f t="shared" si="12"/>
        <v>19600</v>
      </c>
    </row>
    <row r="550">
      <c r="A550" s="2">
        <v>41334.0</v>
      </c>
      <c r="B550" s="5">
        <v>0.0</v>
      </c>
      <c r="C550" s="5">
        <f t="shared" si="2"/>
        <v>130</v>
      </c>
      <c r="D550" s="5">
        <f t="shared" si="3"/>
        <v>273</v>
      </c>
      <c r="E550" s="5">
        <f t="shared" si="1"/>
        <v>93</v>
      </c>
      <c r="L550" s="5">
        <f t="shared" si="4"/>
        <v>-130</v>
      </c>
      <c r="M550" s="19">
        <f t="shared" si="5"/>
        <v>1</v>
      </c>
      <c r="N550" s="5">
        <f t="shared" si="6"/>
        <v>16900</v>
      </c>
      <c r="P550" s="5">
        <f t="shared" si="7"/>
        <v>-273</v>
      </c>
      <c r="Q550" s="19">
        <f t="shared" si="8"/>
        <v>1</v>
      </c>
      <c r="R550" s="5">
        <f t="shared" si="9"/>
        <v>74529</v>
      </c>
      <c r="T550" s="5">
        <f t="shared" si="10"/>
        <v>-93</v>
      </c>
      <c r="U550" s="19">
        <f t="shared" si="11"/>
        <v>1</v>
      </c>
      <c r="V550" s="5">
        <f t="shared" si="12"/>
        <v>8649</v>
      </c>
    </row>
    <row r="551">
      <c r="A551" s="2">
        <v>41337.0</v>
      </c>
      <c r="B551" s="5">
        <v>582.0</v>
      </c>
      <c r="C551" s="5">
        <f t="shared" si="2"/>
        <v>130</v>
      </c>
      <c r="D551" s="5">
        <f t="shared" si="3"/>
        <v>272</v>
      </c>
      <c r="E551" s="5">
        <f t="shared" si="1"/>
        <v>56</v>
      </c>
      <c r="L551" s="5">
        <f t="shared" si="4"/>
        <v>452</v>
      </c>
      <c r="M551" s="19">
        <f t="shared" si="5"/>
        <v>0.7766323024</v>
      </c>
      <c r="N551" s="5">
        <f t="shared" si="6"/>
        <v>204304</v>
      </c>
      <c r="P551" s="5">
        <f t="shared" si="7"/>
        <v>310</v>
      </c>
      <c r="Q551" s="19">
        <f t="shared" si="8"/>
        <v>0.5326460481</v>
      </c>
      <c r="R551" s="5">
        <f t="shared" si="9"/>
        <v>96100</v>
      </c>
      <c r="T551" s="5">
        <f t="shared" si="10"/>
        <v>526</v>
      </c>
      <c r="U551" s="19">
        <f t="shared" si="11"/>
        <v>0.9037800687</v>
      </c>
      <c r="V551" s="5">
        <f t="shared" si="12"/>
        <v>276676</v>
      </c>
    </row>
    <row r="552">
      <c r="A552" s="2">
        <v>41338.0</v>
      </c>
      <c r="B552" s="5">
        <v>289.0</v>
      </c>
      <c r="C552" s="5">
        <f t="shared" si="2"/>
        <v>157</v>
      </c>
      <c r="D552" s="5">
        <f t="shared" si="3"/>
        <v>273</v>
      </c>
      <c r="E552" s="5">
        <f t="shared" si="1"/>
        <v>266</v>
      </c>
      <c r="L552" s="5">
        <f t="shared" si="4"/>
        <v>132</v>
      </c>
      <c r="M552" s="19">
        <f t="shared" si="5"/>
        <v>0.4567474048</v>
      </c>
      <c r="N552" s="5">
        <f t="shared" si="6"/>
        <v>17424</v>
      </c>
      <c r="P552" s="5">
        <f t="shared" si="7"/>
        <v>16</v>
      </c>
      <c r="Q552" s="19">
        <f t="shared" si="8"/>
        <v>0.0553633218</v>
      </c>
      <c r="R552" s="5">
        <f t="shared" si="9"/>
        <v>256</v>
      </c>
      <c r="T552" s="5">
        <f t="shared" si="10"/>
        <v>23</v>
      </c>
      <c r="U552" s="19">
        <f t="shared" si="11"/>
        <v>0.07958477509</v>
      </c>
      <c r="V552" s="5">
        <f t="shared" si="12"/>
        <v>529</v>
      </c>
    </row>
    <row r="553">
      <c r="A553" s="2">
        <v>41339.0</v>
      </c>
      <c r="B553" s="5">
        <v>73.0</v>
      </c>
      <c r="C553" s="5">
        <f t="shared" si="2"/>
        <v>206</v>
      </c>
      <c r="D553" s="5">
        <f t="shared" si="3"/>
        <v>273</v>
      </c>
      <c r="E553" s="5">
        <f t="shared" si="1"/>
        <v>275</v>
      </c>
      <c r="L553" s="5">
        <f t="shared" si="4"/>
        <v>-133</v>
      </c>
      <c r="M553" s="19">
        <f t="shared" si="5"/>
        <v>1.821917808</v>
      </c>
      <c r="N553" s="5">
        <f t="shared" si="6"/>
        <v>17689</v>
      </c>
      <c r="P553" s="5">
        <f t="shared" si="7"/>
        <v>-200</v>
      </c>
      <c r="Q553" s="19">
        <f t="shared" si="8"/>
        <v>2.739726027</v>
      </c>
      <c r="R553" s="5">
        <f t="shared" si="9"/>
        <v>40000</v>
      </c>
      <c r="T553" s="5">
        <f t="shared" si="10"/>
        <v>-202</v>
      </c>
      <c r="U553" s="19">
        <f t="shared" si="11"/>
        <v>2.767123288</v>
      </c>
      <c r="V553" s="5">
        <f t="shared" si="12"/>
        <v>40804</v>
      </c>
    </row>
    <row r="554">
      <c r="A554" s="2">
        <v>41340.0</v>
      </c>
      <c r="B554" s="5">
        <v>10.0</v>
      </c>
      <c r="C554" s="5">
        <f t="shared" si="2"/>
        <v>191</v>
      </c>
      <c r="D554" s="5">
        <f t="shared" si="3"/>
        <v>272</v>
      </c>
      <c r="E554" s="5">
        <f t="shared" si="1"/>
        <v>194</v>
      </c>
      <c r="L554" s="5">
        <f t="shared" si="4"/>
        <v>-181</v>
      </c>
      <c r="M554" s="19">
        <f t="shared" si="5"/>
        <v>18.1</v>
      </c>
      <c r="N554" s="5">
        <f t="shared" si="6"/>
        <v>32761</v>
      </c>
      <c r="P554" s="5">
        <f t="shared" si="7"/>
        <v>-262</v>
      </c>
      <c r="Q554" s="19">
        <f t="shared" si="8"/>
        <v>26.2</v>
      </c>
      <c r="R554" s="5">
        <f t="shared" si="9"/>
        <v>68644</v>
      </c>
      <c r="T554" s="5">
        <f t="shared" si="10"/>
        <v>-184</v>
      </c>
      <c r="U554" s="19">
        <f t="shared" si="11"/>
        <v>18.4</v>
      </c>
      <c r="V554" s="5">
        <f t="shared" si="12"/>
        <v>33856</v>
      </c>
    </row>
    <row r="555">
      <c r="A555" s="2">
        <v>41341.0</v>
      </c>
      <c r="B555" s="5">
        <v>0.0</v>
      </c>
      <c r="C555" s="5">
        <f t="shared" si="2"/>
        <v>191</v>
      </c>
      <c r="D555" s="5">
        <f t="shared" si="3"/>
        <v>272</v>
      </c>
      <c r="E555" s="5">
        <f t="shared" si="1"/>
        <v>120</v>
      </c>
      <c r="L555" s="5">
        <f t="shared" si="4"/>
        <v>-191</v>
      </c>
      <c r="M555" s="19">
        <f t="shared" si="5"/>
        <v>1</v>
      </c>
      <c r="N555" s="5">
        <f t="shared" si="6"/>
        <v>36481</v>
      </c>
      <c r="P555" s="5">
        <f t="shared" si="7"/>
        <v>-272</v>
      </c>
      <c r="Q555" s="19">
        <f t="shared" si="8"/>
        <v>1</v>
      </c>
      <c r="R555" s="5">
        <f t="shared" si="9"/>
        <v>73984</v>
      </c>
      <c r="T555" s="5">
        <f t="shared" si="10"/>
        <v>-120</v>
      </c>
      <c r="U555" s="19">
        <f t="shared" si="11"/>
        <v>1</v>
      </c>
      <c r="V555" s="5">
        <f t="shared" si="12"/>
        <v>14400</v>
      </c>
    </row>
    <row r="556">
      <c r="A556" s="2">
        <v>41344.0</v>
      </c>
      <c r="B556" s="5">
        <v>308.0</v>
      </c>
      <c r="C556" s="5">
        <f t="shared" si="2"/>
        <v>191</v>
      </c>
      <c r="D556" s="5">
        <f t="shared" si="3"/>
        <v>271</v>
      </c>
      <c r="E556" s="5">
        <f t="shared" si="1"/>
        <v>72</v>
      </c>
      <c r="L556" s="5">
        <f t="shared" si="4"/>
        <v>117</v>
      </c>
      <c r="M556" s="19">
        <f t="shared" si="5"/>
        <v>0.3798701299</v>
      </c>
      <c r="N556" s="5">
        <f t="shared" si="6"/>
        <v>13689</v>
      </c>
      <c r="P556" s="5">
        <f t="shared" si="7"/>
        <v>37</v>
      </c>
      <c r="Q556" s="19">
        <f t="shared" si="8"/>
        <v>0.1201298701</v>
      </c>
      <c r="R556" s="5">
        <f t="shared" si="9"/>
        <v>1369</v>
      </c>
      <c r="T556" s="5">
        <f t="shared" si="10"/>
        <v>236</v>
      </c>
      <c r="U556" s="19">
        <f t="shared" si="11"/>
        <v>0.7662337662</v>
      </c>
      <c r="V556" s="5">
        <f t="shared" si="12"/>
        <v>55696</v>
      </c>
    </row>
    <row r="557">
      <c r="A557" s="2">
        <v>41345.0</v>
      </c>
      <c r="B557" s="5">
        <v>432.0</v>
      </c>
      <c r="C557" s="5">
        <f t="shared" si="2"/>
        <v>136</v>
      </c>
      <c r="D557" s="5">
        <f t="shared" si="3"/>
        <v>271</v>
      </c>
      <c r="E557" s="5">
        <f t="shared" si="1"/>
        <v>166</v>
      </c>
      <c r="L557" s="5">
        <f t="shared" si="4"/>
        <v>296</v>
      </c>
      <c r="M557" s="19">
        <f t="shared" si="5"/>
        <v>0.6851851852</v>
      </c>
      <c r="N557" s="5">
        <f t="shared" si="6"/>
        <v>87616</v>
      </c>
      <c r="P557" s="5">
        <f t="shared" si="7"/>
        <v>161</v>
      </c>
      <c r="Q557" s="19">
        <f t="shared" si="8"/>
        <v>0.3726851852</v>
      </c>
      <c r="R557" s="5">
        <f t="shared" si="9"/>
        <v>25921</v>
      </c>
      <c r="T557" s="5">
        <f t="shared" si="10"/>
        <v>266</v>
      </c>
      <c r="U557" s="19">
        <f t="shared" si="11"/>
        <v>0.6157407407</v>
      </c>
      <c r="V557" s="5">
        <f t="shared" si="12"/>
        <v>70756</v>
      </c>
    </row>
    <row r="558">
      <c r="A558" s="2">
        <v>41346.0</v>
      </c>
      <c r="B558" s="5">
        <v>117.0</v>
      </c>
      <c r="C558" s="5">
        <f t="shared" si="2"/>
        <v>165</v>
      </c>
      <c r="D558" s="5">
        <f t="shared" si="3"/>
        <v>272</v>
      </c>
      <c r="E558" s="5">
        <f t="shared" si="1"/>
        <v>272</v>
      </c>
      <c r="L558" s="5">
        <f t="shared" si="4"/>
        <v>-48</v>
      </c>
      <c r="M558" s="19">
        <f t="shared" si="5"/>
        <v>0.4102564103</v>
      </c>
      <c r="N558" s="5">
        <f t="shared" si="6"/>
        <v>2304</v>
      </c>
      <c r="P558" s="5">
        <f t="shared" si="7"/>
        <v>-155</v>
      </c>
      <c r="Q558" s="19">
        <f t="shared" si="8"/>
        <v>1.324786325</v>
      </c>
      <c r="R558" s="5">
        <f t="shared" si="9"/>
        <v>24025</v>
      </c>
      <c r="T558" s="5">
        <f t="shared" si="10"/>
        <v>-155</v>
      </c>
      <c r="U558" s="19">
        <f t="shared" si="11"/>
        <v>1.324786325</v>
      </c>
      <c r="V558" s="5">
        <f t="shared" si="12"/>
        <v>24025</v>
      </c>
    </row>
    <row r="559">
      <c r="A559" s="2">
        <v>41347.0</v>
      </c>
      <c r="B559" s="5">
        <v>6.0</v>
      </c>
      <c r="C559" s="5">
        <f t="shared" si="2"/>
        <v>173</v>
      </c>
      <c r="D559" s="5">
        <f t="shared" si="3"/>
        <v>271</v>
      </c>
      <c r="E559" s="5">
        <f t="shared" si="1"/>
        <v>210</v>
      </c>
      <c r="L559" s="5">
        <f t="shared" si="4"/>
        <v>-167</v>
      </c>
      <c r="M559" s="19">
        <f t="shared" si="5"/>
        <v>27.83333333</v>
      </c>
      <c r="N559" s="5">
        <f t="shared" si="6"/>
        <v>27889</v>
      </c>
      <c r="P559" s="5">
        <f t="shared" si="7"/>
        <v>-265</v>
      </c>
      <c r="Q559" s="19">
        <f t="shared" si="8"/>
        <v>44.16666667</v>
      </c>
      <c r="R559" s="5">
        <f t="shared" si="9"/>
        <v>70225</v>
      </c>
      <c r="T559" s="5">
        <f t="shared" si="10"/>
        <v>-204</v>
      </c>
      <c r="U559" s="19">
        <f t="shared" si="11"/>
        <v>34</v>
      </c>
      <c r="V559" s="5">
        <f t="shared" si="12"/>
        <v>41616</v>
      </c>
    </row>
    <row r="560">
      <c r="A560" s="2">
        <v>41348.0</v>
      </c>
      <c r="B560" s="5">
        <v>0.0</v>
      </c>
      <c r="C560" s="5">
        <f t="shared" si="2"/>
        <v>173</v>
      </c>
      <c r="D560" s="5">
        <f t="shared" si="3"/>
        <v>271</v>
      </c>
      <c r="E560" s="5">
        <f t="shared" si="1"/>
        <v>128</v>
      </c>
      <c r="L560" s="5">
        <f t="shared" si="4"/>
        <v>-173</v>
      </c>
      <c r="M560" s="19">
        <f t="shared" si="5"/>
        <v>1</v>
      </c>
      <c r="N560" s="5">
        <f t="shared" si="6"/>
        <v>29929</v>
      </c>
      <c r="P560" s="5">
        <f t="shared" si="7"/>
        <v>-271</v>
      </c>
      <c r="Q560" s="19">
        <f t="shared" si="8"/>
        <v>1</v>
      </c>
      <c r="R560" s="5">
        <f t="shared" si="9"/>
        <v>73441</v>
      </c>
      <c r="T560" s="5">
        <f t="shared" si="10"/>
        <v>-128</v>
      </c>
      <c r="U560" s="19">
        <f t="shared" si="11"/>
        <v>1</v>
      </c>
      <c r="V560" s="5">
        <f t="shared" si="12"/>
        <v>16384</v>
      </c>
    </row>
    <row r="561">
      <c r="A561" s="2">
        <v>41351.0</v>
      </c>
      <c r="B561" s="5">
        <v>4.0</v>
      </c>
      <c r="C561" s="5">
        <f t="shared" si="2"/>
        <v>173</v>
      </c>
      <c r="D561" s="5">
        <f t="shared" si="3"/>
        <v>271</v>
      </c>
      <c r="E561" s="5">
        <f t="shared" si="1"/>
        <v>77</v>
      </c>
      <c r="L561" s="5">
        <f t="shared" si="4"/>
        <v>-169</v>
      </c>
      <c r="M561" s="19">
        <f t="shared" si="5"/>
        <v>42.25</v>
      </c>
      <c r="N561" s="5">
        <f t="shared" si="6"/>
        <v>28561</v>
      </c>
      <c r="P561" s="5">
        <f t="shared" si="7"/>
        <v>-267</v>
      </c>
      <c r="Q561" s="19">
        <f t="shared" si="8"/>
        <v>66.75</v>
      </c>
      <c r="R561" s="5">
        <f t="shared" si="9"/>
        <v>71289</v>
      </c>
      <c r="T561" s="5">
        <f t="shared" si="10"/>
        <v>-73</v>
      </c>
      <c r="U561" s="19">
        <f t="shared" si="11"/>
        <v>18.25</v>
      </c>
      <c r="V561" s="5">
        <f t="shared" si="12"/>
        <v>5329</v>
      </c>
    </row>
    <row r="562">
      <c r="A562" s="2">
        <v>41352.0</v>
      </c>
      <c r="B562" s="5">
        <v>1158.0</v>
      </c>
      <c r="C562" s="5">
        <f t="shared" si="2"/>
        <v>112</v>
      </c>
      <c r="D562" s="5">
        <f t="shared" si="3"/>
        <v>270</v>
      </c>
      <c r="E562" s="5">
        <f t="shared" si="1"/>
        <v>48</v>
      </c>
      <c r="L562" s="5">
        <f t="shared" si="4"/>
        <v>1046</v>
      </c>
      <c r="M562" s="19">
        <f t="shared" si="5"/>
        <v>0.9032815199</v>
      </c>
      <c r="N562" s="5">
        <f t="shared" si="6"/>
        <v>1094116</v>
      </c>
      <c r="P562" s="5">
        <f t="shared" si="7"/>
        <v>888</v>
      </c>
      <c r="Q562" s="19">
        <f t="shared" si="8"/>
        <v>0.7668393782</v>
      </c>
      <c r="R562" s="5">
        <f t="shared" si="9"/>
        <v>788544</v>
      </c>
      <c r="T562" s="5">
        <f t="shared" si="10"/>
        <v>1110</v>
      </c>
      <c r="U562" s="19">
        <f t="shared" si="11"/>
        <v>0.9585492228</v>
      </c>
      <c r="V562" s="5">
        <f t="shared" si="12"/>
        <v>1232100</v>
      </c>
    </row>
    <row r="563">
      <c r="A563" s="2">
        <v>41353.0</v>
      </c>
      <c r="B563" s="5">
        <v>168.0</v>
      </c>
      <c r="C563" s="5">
        <f t="shared" si="2"/>
        <v>257</v>
      </c>
      <c r="D563" s="5">
        <f t="shared" si="3"/>
        <v>272</v>
      </c>
      <c r="E563" s="5">
        <f t="shared" si="1"/>
        <v>492</v>
      </c>
      <c r="L563" s="5">
        <f t="shared" si="4"/>
        <v>-89</v>
      </c>
      <c r="M563" s="19">
        <f t="shared" si="5"/>
        <v>0.5297619048</v>
      </c>
      <c r="N563" s="5">
        <f t="shared" si="6"/>
        <v>7921</v>
      </c>
      <c r="P563" s="5">
        <f t="shared" si="7"/>
        <v>-104</v>
      </c>
      <c r="Q563" s="19">
        <f t="shared" si="8"/>
        <v>0.619047619</v>
      </c>
      <c r="R563" s="5">
        <f t="shared" si="9"/>
        <v>10816</v>
      </c>
      <c r="T563" s="5">
        <f t="shared" si="10"/>
        <v>-324</v>
      </c>
      <c r="U563" s="19">
        <f t="shared" si="11"/>
        <v>1.928571429</v>
      </c>
      <c r="V563" s="5">
        <f t="shared" si="12"/>
        <v>104976</v>
      </c>
    </row>
    <row r="564">
      <c r="A564" s="2">
        <v>41354.0</v>
      </c>
      <c r="B564" s="5">
        <v>1.0</v>
      </c>
      <c r="C564" s="5">
        <f t="shared" si="2"/>
        <v>267</v>
      </c>
      <c r="D564" s="5">
        <f t="shared" si="3"/>
        <v>271</v>
      </c>
      <c r="E564" s="5">
        <f t="shared" si="1"/>
        <v>362</v>
      </c>
      <c r="L564" s="5">
        <f t="shared" si="4"/>
        <v>-266</v>
      </c>
      <c r="M564" s="19">
        <f t="shared" si="5"/>
        <v>266</v>
      </c>
      <c r="N564" s="5">
        <f t="shared" si="6"/>
        <v>70756</v>
      </c>
      <c r="P564" s="5">
        <f t="shared" si="7"/>
        <v>-270</v>
      </c>
      <c r="Q564" s="19">
        <f t="shared" si="8"/>
        <v>270</v>
      </c>
      <c r="R564" s="5">
        <f t="shared" si="9"/>
        <v>72900</v>
      </c>
      <c r="T564" s="5">
        <f t="shared" si="10"/>
        <v>-361</v>
      </c>
      <c r="U564" s="19">
        <f t="shared" si="11"/>
        <v>361</v>
      </c>
      <c r="V564" s="5">
        <f t="shared" si="12"/>
        <v>130321</v>
      </c>
    </row>
    <row r="565">
      <c r="A565" s="2">
        <v>41355.0</v>
      </c>
      <c r="B565" s="5">
        <v>0.0</v>
      </c>
      <c r="C565" s="5">
        <f t="shared" si="2"/>
        <v>266</v>
      </c>
      <c r="D565" s="5">
        <f t="shared" si="3"/>
        <v>271</v>
      </c>
      <c r="E565" s="5">
        <f t="shared" si="1"/>
        <v>218</v>
      </c>
      <c r="L565" s="5">
        <f t="shared" si="4"/>
        <v>-266</v>
      </c>
      <c r="M565" s="19">
        <f t="shared" si="5"/>
        <v>1</v>
      </c>
      <c r="N565" s="5">
        <f t="shared" si="6"/>
        <v>70756</v>
      </c>
      <c r="P565" s="5">
        <f t="shared" si="7"/>
        <v>-271</v>
      </c>
      <c r="Q565" s="19">
        <f t="shared" si="8"/>
        <v>1</v>
      </c>
      <c r="R565" s="5">
        <f t="shared" si="9"/>
        <v>73441</v>
      </c>
      <c r="T565" s="5">
        <f t="shared" si="10"/>
        <v>-218</v>
      </c>
      <c r="U565" s="19">
        <f t="shared" si="11"/>
        <v>1</v>
      </c>
      <c r="V565" s="5">
        <f t="shared" si="12"/>
        <v>47524</v>
      </c>
    </row>
    <row r="566">
      <c r="A566" s="2">
        <v>41358.0</v>
      </c>
      <c r="B566" s="5">
        <v>354.0</v>
      </c>
      <c r="C566" s="5">
        <f t="shared" si="2"/>
        <v>266</v>
      </c>
      <c r="D566" s="5">
        <f t="shared" si="3"/>
        <v>270</v>
      </c>
      <c r="E566" s="5">
        <f t="shared" si="1"/>
        <v>131</v>
      </c>
      <c r="L566" s="5">
        <f t="shared" si="4"/>
        <v>88</v>
      </c>
      <c r="M566" s="19">
        <f t="shared" si="5"/>
        <v>0.2485875706</v>
      </c>
      <c r="N566" s="5">
        <f t="shared" si="6"/>
        <v>7744</v>
      </c>
      <c r="P566" s="5">
        <f t="shared" si="7"/>
        <v>84</v>
      </c>
      <c r="Q566" s="19">
        <f t="shared" si="8"/>
        <v>0.2372881356</v>
      </c>
      <c r="R566" s="5">
        <f t="shared" si="9"/>
        <v>7056</v>
      </c>
      <c r="T566" s="5">
        <f t="shared" si="10"/>
        <v>223</v>
      </c>
      <c r="U566" s="19">
        <f t="shared" si="11"/>
        <v>0.6299435028</v>
      </c>
      <c r="V566" s="5">
        <f t="shared" si="12"/>
        <v>49729</v>
      </c>
    </row>
    <row r="567">
      <c r="A567" s="2">
        <v>41359.0</v>
      </c>
      <c r="B567" s="5">
        <v>265.0</v>
      </c>
      <c r="C567" s="5">
        <f t="shared" si="2"/>
        <v>336</v>
      </c>
      <c r="D567" s="5">
        <f t="shared" si="3"/>
        <v>271</v>
      </c>
      <c r="E567" s="5">
        <f t="shared" si="1"/>
        <v>220</v>
      </c>
      <c r="L567" s="5">
        <f t="shared" si="4"/>
        <v>-71</v>
      </c>
      <c r="M567" s="19">
        <f t="shared" si="5"/>
        <v>0.2679245283</v>
      </c>
      <c r="N567" s="5">
        <f t="shared" si="6"/>
        <v>5041</v>
      </c>
      <c r="P567" s="5">
        <f t="shared" si="7"/>
        <v>-6</v>
      </c>
      <c r="Q567" s="19">
        <f t="shared" si="8"/>
        <v>0.02264150943</v>
      </c>
      <c r="R567" s="5">
        <f t="shared" si="9"/>
        <v>36</v>
      </c>
      <c r="T567" s="5">
        <f t="shared" si="10"/>
        <v>45</v>
      </c>
      <c r="U567" s="19">
        <f t="shared" si="11"/>
        <v>0.1698113208</v>
      </c>
      <c r="V567" s="5">
        <f t="shared" si="12"/>
        <v>2025</v>
      </c>
    </row>
    <row r="568">
      <c r="A568" s="2">
        <v>41360.0</v>
      </c>
      <c r="B568" s="5">
        <v>162.0</v>
      </c>
      <c r="C568" s="5">
        <f t="shared" si="2"/>
        <v>158</v>
      </c>
      <c r="D568" s="5">
        <f t="shared" si="3"/>
        <v>271</v>
      </c>
      <c r="E568" s="5">
        <f t="shared" si="1"/>
        <v>238</v>
      </c>
      <c r="L568" s="5">
        <f t="shared" si="4"/>
        <v>4</v>
      </c>
      <c r="M568" s="19">
        <f t="shared" si="5"/>
        <v>0.02469135802</v>
      </c>
      <c r="N568" s="5">
        <f t="shared" si="6"/>
        <v>16</v>
      </c>
      <c r="P568" s="5">
        <f t="shared" si="7"/>
        <v>-109</v>
      </c>
      <c r="Q568" s="19">
        <f t="shared" si="8"/>
        <v>0.6728395062</v>
      </c>
      <c r="R568" s="5">
        <f t="shared" si="9"/>
        <v>11881</v>
      </c>
      <c r="T568" s="5">
        <f t="shared" si="10"/>
        <v>-76</v>
      </c>
      <c r="U568" s="19">
        <f t="shared" si="11"/>
        <v>0.4691358025</v>
      </c>
      <c r="V568" s="5">
        <f t="shared" si="12"/>
        <v>5776</v>
      </c>
    </row>
    <row r="569">
      <c r="A569" s="2">
        <v>41361.0</v>
      </c>
      <c r="B569" s="5">
        <v>1.0</v>
      </c>
      <c r="C569" s="5">
        <f t="shared" si="2"/>
        <v>156</v>
      </c>
      <c r="D569" s="5">
        <f t="shared" si="3"/>
        <v>270</v>
      </c>
      <c r="E569" s="5">
        <f t="shared" si="1"/>
        <v>208</v>
      </c>
      <c r="L569" s="5">
        <f t="shared" si="4"/>
        <v>-155</v>
      </c>
      <c r="M569" s="19">
        <f t="shared" si="5"/>
        <v>155</v>
      </c>
      <c r="N569" s="5">
        <f t="shared" si="6"/>
        <v>24025</v>
      </c>
      <c r="P569" s="5">
        <f t="shared" si="7"/>
        <v>-269</v>
      </c>
      <c r="Q569" s="19">
        <f t="shared" si="8"/>
        <v>269</v>
      </c>
      <c r="R569" s="5">
        <f t="shared" si="9"/>
        <v>72361</v>
      </c>
      <c r="T569" s="5">
        <f t="shared" si="10"/>
        <v>-207</v>
      </c>
      <c r="U569" s="19">
        <f t="shared" si="11"/>
        <v>207</v>
      </c>
      <c r="V569" s="5">
        <f t="shared" si="12"/>
        <v>42849</v>
      </c>
    </row>
    <row r="570">
      <c r="A570" s="2">
        <v>41362.0</v>
      </c>
      <c r="B570" s="5">
        <v>0.0</v>
      </c>
      <c r="C570" s="5">
        <f t="shared" si="2"/>
        <v>156</v>
      </c>
      <c r="D570" s="5">
        <f t="shared" si="3"/>
        <v>270</v>
      </c>
      <c r="E570" s="5">
        <f t="shared" si="1"/>
        <v>125</v>
      </c>
      <c r="L570" s="5">
        <f t="shared" si="4"/>
        <v>-156</v>
      </c>
      <c r="M570" s="19">
        <f t="shared" si="5"/>
        <v>1</v>
      </c>
      <c r="N570" s="5">
        <f t="shared" si="6"/>
        <v>24336</v>
      </c>
      <c r="P570" s="5">
        <f t="shared" si="7"/>
        <v>-270</v>
      </c>
      <c r="Q570" s="19">
        <f t="shared" si="8"/>
        <v>1</v>
      </c>
      <c r="R570" s="5">
        <f t="shared" si="9"/>
        <v>72900</v>
      </c>
      <c r="T570" s="5">
        <f t="shared" si="10"/>
        <v>-125</v>
      </c>
      <c r="U570" s="19">
        <f t="shared" si="11"/>
        <v>1</v>
      </c>
      <c r="V570" s="5">
        <f t="shared" si="12"/>
        <v>15625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6.63"/>
    <col customWidth="1" min="5" max="5" width="18.5"/>
    <col customWidth="1" min="8" max="8" width="16.25"/>
    <col customWidth="1" min="9" max="9" width="19.13"/>
    <col customWidth="1" min="10" max="10" width="22.38"/>
    <col customWidth="1" min="11" max="11" width="14.75"/>
    <col customWidth="1" min="15" max="15" width="18.63"/>
    <col customWidth="1" min="19" max="19" width="20.38"/>
  </cols>
  <sheetData>
    <row r="1">
      <c r="B1" s="5" t="s">
        <v>2</v>
      </c>
      <c r="C1" s="20" t="s">
        <v>7</v>
      </c>
      <c r="D1" s="21" t="s">
        <v>8</v>
      </c>
      <c r="E1" s="20" t="s">
        <v>9</v>
      </c>
      <c r="F1" s="20"/>
      <c r="G1" s="20"/>
      <c r="H1" s="20"/>
      <c r="I1" s="20"/>
      <c r="J1" s="20"/>
      <c r="K1" s="20" t="s">
        <v>7</v>
      </c>
      <c r="L1" s="20" t="s">
        <v>10</v>
      </c>
      <c r="M1" s="20" t="s">
        <v>11</v>
      </c>
      <c r="N1" s="20" t="s">
        <v>12</v>
      </c>
      <c r="O1" s="21" t="s">
        <v>8</v>
      </c>
      <c r="P1" s="20" t="s">
        <v>10</v>
      </c>
      <c r="Q1" s="20" t="s">
        <v>11</v>
      </c>
      <c r="R1" s="20" t="s">
        <v>12</v>
      </c>
      <c r="S1" s="20" t="s">
        <v>9</v>
      </c>
      <c r="T1" s="20" t="s">
        <v>10</v>
      </c>
      <c r="U1" s="20" t="s">
        <v>11</v>
      </c>
      <c r="V1" s="20" t="s">
        <v>12</v>
      </c>
    </row>
    <row r="2">
      <c r="A2" s="1" t="s">
        <v>4</v>
      </c>
      <c r="B2" s="5" t="s">
        <v>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>
      <c r="A3" s="2">
        <v>40546.0</v>
      </c>
      <c r="B3" s="5">
        <v>18.0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>
      <c r="A4" s="2">
        <v>40547.0</v>
      </c>
      <c r="B4" s="5">
        <v>0.0</v>
      </c>
      <c r="C4" s="20"/>
      <c r="D4" s="20"/>
      <c r="E4" s="22">
        <f>B3</f>
        <v>18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>
      <c r="A5" s="2">
        <v>40548.0</v>
      </c>
      <c r="B5" s="5">
        <v>0.0</v>
      </c>
      <c r="C5" s="20"/>
      <c r="D5" s="20"/>
      <c r="E5" s="22">
        <f t="shared" ref="E5:E570" si="1">ROUND(J$7*B4+(1-J$7)*E4,0)</f>
        <v>7</v>
      </c>
      <c r="F5" s="20"/>
      <c r="G5" s="23"/>
      <c r="H5" s="23"/>
      <c r="I5" s="23"/>
      <c r="J5" s="23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>
      <c r="A6" s="2">
        <v>40549.0</v>
      </c>
      <c r="B6" s="5">
        <v>0.0</v>
      </c>
      <c r="C6" s="20"/>
      <c r="D6" s="20"/>
      <c r="E6" s="22">
        <f t="shared" si="1"/>
        <v>3</v>
      </c>
      <c r="F6" s="24"/>
      <c r="G6" s="20"/>
      <c r="H6" s="25" t="s">
        <v>7</v>
      </c>
      <c r="I6" s="26" t="s">
        <v>8</v>
      </c>
      <c r="J6" s="27" t="s">
        <v>9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>
      <c r="A7" s="2">
        <v>40550.0</v>
      </c>
      <c r="B7" s="5">
        <v>0.0</v>
      </c>
      <c r="C7" s="20"/>
      <c r="D7" s="20"/>
      <c r="E7" s="22">
        <f t="shared" si="1"/>
        <v>1</v>
      </c>
      <c r="F7" s="28"/>
      <c r="G7" s="25" t="s">
        <v>14</v>
      </c>
      <c r="H7" s="29"/>
      <c r="I7" s="29"/>
      <c r="J7" s="30">
        <v>0.6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2">
        <v>40553.0</v>
      </c>
      <c r="B8" s="5">
        <v>0.0</v>
      </c>
      <c r="C8" s="22">
        <f t="shared" ref="C8:C570" si="2">ROUND(AVERAGE(B3:B7),0)</f>
        <v>4</v>
      </c>
      <c r="D8" s="22">
        <f t="shared" ref="D8:D570" si="3">ROUND(AVERAGE(B$3:B7),0)</f>
        <v>4</v>
      </c>
      <c r="E8" s="22">
        <f t="shared" si="1"/>
        <v>0</v>
      </c>
      <c r="F8" s="24"/>
      <c r="G8" s="25" t="s">
        <v>15</v>
      </c>
      <c r="H8" s="31">
        <f>AVERAGE(L24:L570)</f>
        <v>0.1206581353</v>
      </c>
      <c r="I8" s="31">
        <f>AVERAGE(P24:P570)</f>
        <v>3.120658135</v>
      </c>
      <c r="J8" s="32">
        <f>AVERAGE(T24:T570)</f>
        <v>0.01096892139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>
      <c r="A9" s="2">
        <v>40554.0</v>
      </c>
      <c r="B9" s="5">
        <v>0.0</v>
      </c>
      <c r="C9" s="22">
        <f t="shared" si="2"/>
        <v>0</v>
      </c>
      <c r="D9" s="22">
        <f t="shared" si="3"/>
        <v>3</v>
      </c>
      <c r="E9" s="22">
        <f t="shared" si="1"/>
        <v>0</v>
      </c>
      <c r="F9" s="24"/>
      <c r="G9" s="25" t="s">
        <v>16</v>
      </c>
      <c r="H9" s="33">
        <f>AVERAGE(M24:M570)</f>
        <v>0.9727772432</v>
      </c>
      <c r="I9" s="33">
        <f>AVERAGE(Q24:Q570)</f>
        <v>0.9670344118</v>
      </c>
      <c r="J9" s="34">
        <f>AVERAGE(U24:U570)</f>
        <v>0.9351601446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>
      <c r="A10" s="2">
        <v>40555.0</v>
      </c>
      <c r="B10" s="5">
        <v>18.0</v>
      </c>
      <c r="C10" s="22">
        <f t="shared" si="2"/>
        <v>0</v>
      </c>
      <c r="D10" s="22">
        <f t="shared" si="3"/>
        <v>3</v>
      </c>
      <c r="E10" s="22">
        <f t="shared" si="1"/>
        <v>0</v>
      </c>
      <c r="F10" s="24"/>
      <c r="G10" s="35" t="s">
        <v>17</v>
      </c>
      <c r="H10" s="36">
        <f>AVERAGE(N24:N570)</f>
        <v>349.3747715</v>
      </c>
      <c r="I10" s="36">
        <f>AVERAGE(R24:R570)</f>
        <v>340.4332724</v>
      </c>
      <c r="J10" s="37">
        <f>AVERAGE(V24:V570)</f>
        <v>555.6709324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>
      <c r="A11" s="2">
        <v>40556.0</v>
      </c>
      <c r="B11" s="5">
        <v>0.0</v>
      </c>
      <c r="C11" s="22">
        <f t="shared" si="2"/>
        <v>4</v>
      </c>
      <c r="D11" s="22">
        <f t="shared" si="3"/>
        <v>5</v>
      </c>
      <c r="E11" s="22">
        <f t="shared" si="1"/>
        <v>11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>
      <c r="A12" s="2">
        <v>40557.0</v>
      </c>
      <c r="B12" s="5">
        <v>0.0</v>
      </c>
      <c r="C12" s="22">
        <f t="shared" si="2"/>
        <v>4</v>
      </c>
      <c r="D12" s="22">
        <f t="shared" si="3"/>
        <v>4</v>
      </c>
      <c r="E12" s="22">
        <f t="shared" si="1"/>
        <v>4</v>
      </c>
      <c r="F12" s="20"/>
      <c r="G12" s="21" t="s">
        <v>18</v>
      </c>
      <c r="H12" s="20">
        <f>MIN(B3:B570)</f>
        <v>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>
      <c r="A13" s="2">
        <v>40560.0</v>
      </c>
      <c r="B13" s="5">
        <v>0.0</v>
      </c>
      <c r="C13" s="22">
        <f t="shared" si="2"/>
        <v>4</v>
      </c>
      <c r="D13" s="22">
        <f t="shared" si="3"/>
        <v>4</v>
      </c>
      <c r="E13" s="22">
        <f t="shared" si="1"/>
        <v>2</v>
      </c>
      <c r="F13" s="20"/>
      <c r="G13" s="21" t="s">
        <v>19</v>
      </c>
      <c r="H13" s="20">
        <f>MAX(B3:B570)</f>
        <v>121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>
      <c r="A14" s="2">
        <v>40561.0</v>
      </c>
      <c r="B14" s="5">
        <v>0.0</v>
      </c>
      <c r="C14" s="22">
        <f t="shared" si="2"/>
        <v>4</v>
      </c>
      <c r="D14" s="22">
        <f t="shared" si="3"/>
        <v>3</v>
      </c>
      <c r="E14" s="22">
        <f t="shared" si="1"/>
        <v>1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>
      <c r="A15" s="2">
        <v>40562.0</v>
      </c>
      <c r="B15" s="5">
        <v>19.0</v>
      </c>
      <c r="C15" s="22">
        <f t="shared" si="2"/>
        <v>4</v>
      </c>
      <c r="D15" s="22">
        <f t="shared" si="3"/>
        <v>3</v>
      </c>
      <c r="E15" s="22">
        <f t="shared" si="1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>
      <c r="A16" s="2">
        <v>40563.0</v>
      </c>
      <c r="B16" s="5">
        <v>0.0</v>
      </c>
      <c r="C16" s="22">
        <f t="shared" si="2"/>
        <v>4</v>
      </c>
      <c r="D16" s="22">
        <f t="shared" si="3"/>
        <v>4</v>
      </c>
      <c r="E16" s="22">
        <f t="shared" si="1"/>
        <v>11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>
      <c r="A17" s="2">
        <v>40564.0</v>
      </c>
      <c r="B17" s="5">
        <v>0.0</v>
      </c>
      <c r="C17" s="22">
        <f t="shared" si="2"/>
        <v>4</v>
      </c>
      <c r="D17" s="22">
        <f t="shared" si="3"/>
        <v>4</v>
      </c>
      <c r="E17" s="22">
        <f t="shared" si="1"/>
        <v>4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>
      <c r="A18" s="2">
        <v>40567.0</v>
      </c>
      <c r="B18" s="5">
        <v>0.0</v>
      </c>
      <c r="C18" s="22">
        <f t="shared" si="2"/>
        <v>4</v>
      </c>
      <c r="D18" s="22">
        <f t="shared" si="3"/>
        <v>4</v>
      </c>
      <c r="E18" s="22">
        <f t="shared" si="1"/>
        <v>2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>
      <c r="A19" s="2">
        <v>40568.0</v>
      </c>
      <c r="B19" s="5">
        <v>0.0</v>
      </c>
      <c r="C19" s="22">
        <f t="shared" si="2"/>
        <v>4</v>
      </c>
      <c r="D19" s="22">
        <f t="shared" si="3"/>
        <v>3</v>
      </c>
      <c r="E19" s="22">
        <f t="shared" si="1"/>
        <v>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>
      <c r="A20" s="2">
        <v>40569.0</v>
      </c>
      <c r="B20" s="5">
        <v>17.0</v>
      </c>
      <c r="C20" s="22">
        <f t="shared" si="2"/>
        <v>4</v>
      </c>
      <c r="D20" s="22">
        <f t="shared" si="3"/>
        <v>3</v>
      </c>
      <c r="E20" s="22">
        <f t="shared" si="1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>
      <c r="A21" s="2">
        <v>40570.0</v>
      </c>
      <c r="B21" s="5">
        <v>0.0</v>
      </c>
      <c r="C21" s="22">
        <f t="shared" si="2"/>
        <v>3</v>
      </c>
      <c r="D21" s="22">
        <f t="shared" si="3"/>
        <v>4</v>
      </c>
      <c r="E21" s="22">
        <f t="shared" si="1"/>
        <v>10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>
      <c r="A22" s="2">
        <v>40571.0</v>
      </c>
      <c r="B22" s="5">
        <v>0.0</v>
      </c>
      <c r="C22" s="22">
        <f t="shared" si="2"/>
        <v>3</v>
      </c>
      <c r="D22" s="22">
        <f t="shared" si="3"/>
        <v>4</v>
      </c>
      <c r="E22" s="22">
        <f t="shared" si="1"/>
        <v>4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>
      <c r="A23" s="2">
        <v>40574.0</v>
      </c>
      <c r="B23" s="5">
        <v>0.0</v>
      </c>
      <c r="C23" s="22">
        <f t="shared" si="2"/>
        <v>3</v>
      </c>
      <c r="D23" s="22">
        <f t="shared" si="3"/>
        <v>4</v>
      </c>
      <c r="E23" s="22">
        <f t="shared" si="1"/>
        <v>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>
      <c r="A24" s="2">
        <v>40575.0</v>
      </c>
      <c r="B24" s="5">
        <v>0.0</v>
      </c>
      <c r="C24" s="22">
        <f t="shared" si="2"/>
        <v>3</v>
      </c>
      <c r="D24" s="22">
        <f t="shared" si="3"/>
        <v>3</v>
      </c>
      <c r="E24" s="22">
        <f t="shared" si="1"/>
        <v>1</v>
      </c>
      <c r="F24" s="20"/>
      <c r="G24" s="20"/>
      <c r="H24" s="20"/>
      <c r="I24" s="20"/>
      <c r="J24" s="20"/>
      <c r="K24" s="20"/>
      <c r="L24" s="22">
        <f t="shared" ref="L24:L570" si="4">B24-C24</f>
        <v>-3</v>
      </c>
      <c r="M24" s="38">
        <f t="shared" ref="M24:M570" si="5">IF(B24=0, IF(C24=0, 0, 1), ABS(B24-C24)/B24)</f>
        <v>1</v>
      </c>
      <c r="N24" s="22">
        <f t="shared" ref="N24:N570" si="6">(B24-C24)^2</f>
        <v>9</v>
      </c>
      <c r="O24" s="20"/>
      <c r="P24" s="22">
        <f t="shared" ref="P24:P570" si="7">B24-D24</f>
        <v>-3</v>
      </c>
      <c r="Q24" s="38">
        <f t="shared" ref="Q24:Q570" si="8">IF(B24=0, IF(D24=0, 0, 1), ABS(B24-D24)/B24)</f>
        <v>1</v>
      </c>
      <c r="R24" s="22">
        <f t="shared" ref="R24:R570" si="9">(B24-D24)^2</f>
        <v>9</v>
      </c>
      <c r="S24" s="20"/>
      <c r="T24" s="22">
        <f t="shared" ref="T24:T570" si="10">B24-E24</f>
        <v>-1</v>
      </c>
      <c r="U24" s="38">
        <f t="shared" ref="U24:U570" si="11">IF(B24=0, IF(E24=0, 0, 1), ABS(B24-E24)/B24)</f>
        <v>1</v>
      </c>
      <c r="V24" s="22">
        <f t="shared" ref="V24:V570" si="12">(B24-E24)^2</f>
        <v>1</v>
      </c>
    </row>
    <row r="25">
      <c r="A25" s="2">
        <v>40576.0</v>
      </c>
      <c r="B25" s="5">
        <v>0.0</v>
      </c>
      <c r="C25" s="22">
        <f t="shared" si="2"/>
        <v>3</v>
      </c>
      <c r="D25" s="22">
        <f t="shared" si="3"/>
        <v>3</v>
      </c>
      <c r="E25" s="22">
        <f t="shared" si="1"/>
        <v>0</v>
      </c>
      <c r="F25" s="20"/>
      <c r="G25" s="20"/>
      <c r="H25" s="20"/>
      <c r="I25" s="20"/>
      <c r="J25" s="20"/>
      <c r="K25" s="20"/>
      <c r="L25" s="22">
        <f t="shared" si="4"/>
        <v>-3</v>
      </c>
      <c r="M25" s="38">
        <f t="shared" si="5"/>
        <v>1</v>
      </c>
      <c r="N25" s="22">
        <f t="shared" si="6"/>
        <v>9</v>
      </c>
      <c r="O25" s="20"/>
      <c r="P25" s="22">
        <f t="shared" si="7"/>
        <v>-3</v>
      </c>
      <c r="Q25" s="38">
        <f t="shared" si="8"/>
        <v>1</v>
      </c>
      <c r="R25" s="22">
        <f t="shared" si="9"/>
        <v>9</v>
      </c>
      <c r="S25" s="20"/>
      <c r="T25" s="22">
        <f t="shared" si="10"/>
        <v>0</v>
      </c>
      <c r="U25" s="38">
        <f t="shared" si="11"/>
        <v>0</v>
      </c>
      <c r="V25" s="22">
        <f t="shared" si="12"/>
        <v>0</v>
      </c>
    </row>
    <row r="26">
      <c r="A26" s="2">
        <v>40577.0</v>
      </c>
      <c r="B26" s="5">
        <v>18.0</v>
      </c>
      <c r="C26" s="22">
        <f t="shared" si="2"/>
        <v>0</v>
      </c>
      <c r="D26" s="22">
        <f t="shared" si="3"/>
        <v>3</v>
      </c>
      <c r="E26" s="22">
        <f t="shared" si="1"/>
        <v>0</v>
      </c>
      <c r="F26" s="20"/>
      <c r="G26" s="20"/>
      <c r="H26" s="20"/>
      <c r="I26" s="20"/>
      <c r="J26" s="20"/>
      <c r="K26" s="20"/>
      <c r="L26" s="22">
        <f t="shared" si="4"/>
        <v>18</v>
      </c>
      <c r="M26" s="38">
        <f t="shared" si="5"/>
        <v>1</v>
      </c>
      <c r="N26" s="22">
        <f t="shared" si="6"/>
        <v>324</v>
      </c>
      <c r="O26" s="20"/>
      <c r="P26" s="22">
        <f t="shared" si="7"/>
        <v>15</v>
      </c>
      <c r="Q26" s="38">
        <f t="shared" si="8"/>
        <v>0.8333333333</v>
      </c>
      <c r="R26" s="22">
        <f t="shared" si="9"/>
        <v>225</v>
      </c>
      <c r="S26" s="20"/>
      <c r="T26" s="22">
        <f t="shared" si="10"/>
        <v>18</v>
      </c>
      <c r="U26" s="38">
        <f t="shared" si="11"/>
        <v>1</v>
      </c>
      <c r="V26" s="22">
        <f t="shared" si="12"/>
        <v>324</v>
      </c>
    </row>
    <row r="27">
      <c r="A27" s="2">
        <v>40578.0</v>
      </c>
      <c r="B27" s="5">
        <v>0.0</v>
      </c>
      <c r="C27" s="22">
        <f t="shared" si="2"/>
        <v>4</v>
      </c>
      <c r="D27" s="22">
        <f t="shared" si="3"/>
        <v>4</v>
      </c>
      <c r="E27" s="22">
        <f t="shared" si="1"/>
        <v>11</v>
      </c>
      <c r="F27" s="20"/>
      <c r="G27" s="20"/>
      <c r="H27" s="20"/>
      <c r="I27" s="20"/>
      <c r="J27" s="20"/>
      <c r="K27" s="20"/>
      <c r="L27" s="22">
        <f t="shared" si="4"/>
        <v>-4</v>
      </c>
      <c r="M27" s="38">
        <f t="shared" si="5"/>
        <v>1</v>
      </c>
      <c r="N27" s="22">
        <f t="shared" si="6"/>
        <v>16</v>
      </c>
      <c r="O27" s="20"/>
      <c r="P27" s="22">
        <f t="shared" si="7"/>
        <v>-4</v>
      </c>
      <c r="Q27" s="38">
        <f t="shared" si="8"/>
        <v>1</v>
      </c>
      <c r="R27" s="22">
        <f t="shared" si="9"/>
        <v>16</v>
      </c>
      <c r="S27" s="20"/>
      <c r="T27" s="22">
        <f t="shared" si="10"/>
        <v>-11</v>
      </c>
      <c r="U27" s="38">
        <f t="shared" si="11"/>
        <v>1</v>
      </c>
      <c r="V27" s="22">
        <f t="shared" si="12"/>
        <v>121</v>
      </c>
    </row>
    <row r="28">
      <c r="A28" s="2">
        <v>40581.0</v>
      </c>
      <c r="B28" s="5">
        <v>0.0</v>
      </c>
      <c r="C28" s="22">
        <f t="shared" si="2"/>
        <v>4</v>
      </c>
      <c r="D28" s="22">
        <f t="shared" si="3"/>
        <v>4</v>
      </c>
      <c r="E28" s="22">
        <f t="shared" si="1"/>
        <v>4</v>
      </c>
      <c r="F28" s="20"/>
      <c r="G28" s="20"/>
      <c r="H28" s="20"/>
      <c r="I28" s="20"/>
      <c r="J28" s="20"/>
      <c r="K28" s="20"/>
      <c r="L28" s="22">
        <f t="shared" si="4"/>
        <v>-4</v>
      </c>
      <c r="M28" s="38">
        <f t="shared" si="5"/>
        <v>1</v>
      </c>
      <c r="N28" s="22">
        <f t="shared" si="6"/>
        <v>16</v>
      </c>
      <c r="O28" s="20"/>
      <c r="P28" s="22">
        <f t="shared" si="7"/>
        <v>-4</v>
      </c>
      <c r="Q28" s="38">
        <f t="shared" si="8"/>
        <v>1</v>
      </c>
      <c r="R28" s="22">
        <f t="shared" si="9"/>
        <v>16</v>
      </c>
      <c r="S28" s="20"/>
      <c r="T28" s="22">
        <f t="shared" si="10"/>
        <v>-4</v>
      </c>
      <c r="U28" s="38">
        <f t="shared" si="11"/>
        <v>1</v>
      </c>
      <c r="V28" s="22">
        <f t="shared" si="12"/>
        <v>16</v>
      </c>
    </row>
    <row r="29">
      <c r="A29" s="2">
        <v>40582.0</v>
      </c>
      <c r="B29" s="5">
        <v>0.0</v>
      </c>
      <c r="C29" s="22">
        <f t="shared" si="2"/>
        <v>4</v>
      </c>
      <c r="D29" s="22">
        <f t="shared" si="3"/>
        <v>3</v>
      </c>
      <c r="E29" s="22">
        <f t="shared" si="1"/>
        <v>2</v>
      </c>
      <c r="F29" s="20"/>
      <c r="G29" s="20"/>
      <c r="H29" s="20"/>
      <c r="I29" s="20"/>
      <c r="J29" s="20"/>
      <c r="K29" s="20"/>
      <c r="L29" s="22">
        <f t="shared" si="4"/>
        <v>-4</v>
      </c>
      <c r="M29" s="38">
        <f t="shared" si="5"/>
        <v>1</v>
      </c>
      <c r="N29" s="22">
        <f t="shared" si="6"/>
        <v>16</v>
      </c>
      <c r="O29" s="20"/>
      <c r="P29" s="22">
        <f t="shared" si="7"/>
        <v>-3</v>
      </c>
      <c r="Q29" s="38">
        <f t="shared" si="8"/>
        <v>1</v>
      </c>
      <c r="R29" s="22">
        <f t="shared" si="9"/>
        <v>9</v>
      </c>
      <c r="S29" s="20"/>
      <c r="T29" s="22">
        <f t="shared" si="10"/>
        <v>-2</v>
      </c>
      <c r="U29" s="38">
        <f t="shared" si="11"/>
        <v>1</v>
      </c>
      <c r="V29" s="22">
        <f t="shared" si="12"/>
        <v>4</v>
      </c>
    </row>
    <row r="30">
      <c r="A30" s="2">
        <v>40583.0</v>
      </c>
      <c r="B30" s="5">
        <v>13.0</v>
      </c>
      <c r="C30" s="22">
        <f t="shared" si="2"/>
        <v>4</v>
      </c>
      <c r="D30" s="22">
        <f t="shared" si="3"/>
        <v>3</v>
      </c>
      <c r="E30" s="22">
        <f t="shared" si="1"/>
        <v>1</v>
      </c>
      <c r="F30" s="20"/>
      <c r="G30" s="20"/>
      <c r="H30" s="20"/>
      <c r="I30" s="20"/>
      <c r="J30" s="20"/>
      <c r="K30" s="20"/>
      <c r="L30" s="22">
        <f t="shared" si="4"/>
        <v>9</v>
      </c>
      <c r="M30" s="38">
        <f t="shared" si="5"/>
        <v>0.6923076923</v>
      </c>
      <c r="N30" s="22">
        <f t="shared" si="6"/>
        <v>81</v>
      </c>
      <c r="O30" s="20"/>
      <c r="P30" s="22">
        <f t="shared" si="7"/>
        <v>10</v>
      </c>
      <c r="Q30" s="38">
        <f t="shared" si="8"/>
        <v>0.7692307692</v>
      </c>
      <c r="R30" s="22">
        <f t="shared" si="9"/>
        <v>100</v>
      </c>
      <c r="S30" s="20"/>
      <c r="T30" s="22">
        <f t="shared" si="10"/>
        <v>12</v>
      </c>
      <c r="U30" s="38">
        <f t="shared" si="11"/>
        <v>0.9230769231</v>
      </c>
      <c r="V30" s="22">
        <f t="shared" si="12"/>
        <v>144</v>
      </c>
    </row>
    <row r="31">
      <c r="A31" s="2">
        <v>40584.0</v>
      </c>
      <c r="B31" s="5">
        <v>0.0</v>
      </c>
      <c r="C31" s="22">
        <f t="shared" si="2"/>
        <v>6</v>
      </c>
      <c r="D31" s="22">
        <f t="shared" si="3"/>
        <v>4</v>
      </c>
      <c r="E31" s="22">
        <f t="shared" si="1"/>
        <v>8</v>
      </c>
      <c r="F31" s="20"/>
      <c r="G31" s="20"/>
      <c r="H31" s="20"/>
      <c r="I31" s="20"/>
      <c r="J31" s="20"/>
      <c r="K31" s="20"/>
      <c r="L31" s="22">
        <f t="shared" si="4"/>
        <v>-6</v>
      </c>
      <c r="M31" s="38">
        <f t="shared" si="5"/>
        <v>1</v>
      </c>
      <c r="N31" s="22">
        <f t="shared" si="6"/>
        <v>36</v>
      </c>
      <c r="O31" s="20"/>
      <c r="P31" s="22">
        <f t="shared" si="7"/>
        <v>-4</v>
      </c>
      <c r="Q31" s="38">
        <f t="shared" si="8"/>
        <v>1</v>
      </c>
      <c r="R31" s="22">
        <f t="shared" si="9"/>
        <v>16</v>
      </c>
      <c r="S31" s="20"/>
      <c r="T31" s="22">
        <f t="shared" si="10"/>
        <v>-8</v>
      </c>
      <c r="U31" s="38">
        <f t="shared" si="11"/>
        <v>1</v>
      </c>
      <c r="V31" s="22">
        <f t="shared" si="12"/>
        <v>64</v>
      </c>
    </row>
    <row r="32">
      <c r="A32" s="2">
        <v>40585.0</v>
      </c>
      <c r="B32" s="5">
        <v>0.0</v>
      </c>
      <c r="C32" s="22">
        <f t="shared" si="2"/>
        <v>3</v>
      </c>
      <c r="D32" s="22">
        <f t="shared" si="3"/>
        <v>4</v>
      </c>
      <c r="E32" s="22">
        <f t="shared" si="1"/>
        <v>3</v>
      </c>
      <c r="F32" s="20"/>
      <c r="G32" s="20"/>
      <c r="H32" s="20"/>
      <c r="I32" s="20"/>
      <c r="J32" s="20"/>
      <c r="K32" s="20"/>
      <c r="L32" s="22">
        <f t="shared" si="4"/>
        <v>-3</v>
      </c>
      <c r="M32" s="38">
        <f t="shared" si="5"/>
        <v>1</v>
      </c>
      <c r="N32" s="22">
        <f t="shared" si="6"/>
        <v>9</v>
      </c>
      <c r="O32" s="20"/>
      <c r="P32" s="22">
        <f t="shared" si="7"/>
        <v>-4</v>
      </c>
      <c r="Q32" s="38">
        <f t="shared" si="8"/>
        <v>1</v>
      </c>
      <c r="R32" s="22">
        <f t="shared" si="9"/>
        <v>16</v>
      </c>
      <c r="S32" s="20"/>
      <c r="T32" s="22">
        <f t="shared" si="10"/>
        <v>-3</v>
      </c>
      <c r="U32" s="38">
        <f t="shared" si="11"/>
        <v>1</v>
      </c>
      <c r="V32" s="22">
        <f t="shared" si="12"/>
        <v>9</v>
      </c>
    </row>
    <row r="33">
      <c r="A33" s="2">
        <v>40588.0</v>
      </c>
      <c r="B33" s="5">
        <v>0.0</v>
      </c>
      <c r="C33" s="22">
        <f t="shared" si="2"/>
        <v>3</v>
      </c>
      <c r="D33" s="22">
        <f t="shared" si="3"/>
        <v>3</v>
      </c>
      <c r="E33" s="22">
        <f t="shared" si="1"/>
        <v>1</v>
      </c>
      <c r="F33" s="20"/>
      <c r="G33" s="20"/>
      <c r="H33" s="20"/>
      <c r="I33" s="20"/>
      <c r="J33" s="20"/>
      <c r="K33" s="20"/>
      <c r="L33" s="22">
        <f t="shared" si="4"/>
        <v>-3</v>
      </c>
      <c r="M33" s="38">
        <f t="shared" si="5"/>
        <v>1</v>
      </c>
      <c r="N33" s="22">
        <f t="shared" si="6"/>
        <v>9</v>
      </c>
      <c r="O33" s="20"/>
      <c r="P33" s="22">
        <f t="shared" si="7"/>
        <v>-3</v>
      </c>
      <c r="Q33" s="38">
        <f t="shared" si="8"/>
        <v>1</v>
      </c>
      <c r="R33" s="22">
        <f t="shared" si="9"/>
        <v>9</v>
      </c>
      <c r="S33" s="20"/>
      <c r="T33" s="22">
        <f t="shared" si="10"/>
        <v>-1</v>
      </c>
      <c r="U33" s="38">
        <f t="shared" si="11"/>
        <v>1</v>
      </c>
      <c r="V33" s="22">
        <f t="shared" si="12"/>
        <v>1</v>
      </c>
    </row>
    <row r="34">
      <c r="A34" s="2">
        <v>40589.0</v>
      </c>
      <c r="B34" s="5">
        <v>0.0</v>
      </c>
      <c r="C34" s="22">
        <f t="shared" si="2"/>
        <v>3</v>
      </c>
      <c r="D34" s="22">
        <f t="shared" si="3"/>
        <v>3</v>
      </c>
      <c r="E34" s="22">
        <f t="shared" si="1"/>
        <v>0</v>
      </c>
      <c r="F34" s="20"/>
      <c r="G34" s="20"/>
      <c r="H34" s="20"/>
      <c r="I34" s="20"/>
      <c r="J34" s="20"/>
      <c r="K34" s="20"/>
      <c r="L34" s="22">
        <f t="shared" si="4"/>
        <v>-3</v>
      </c>
      <c r="M34" s="38">
        <f t="shared" si="5"/>
        <v>1</v>
      </c>
      <c r="N34" s="22">
        <f t="shared" si="6"/>
        <v>9</v>
      </c>
      <c r="O34" s="20"/>
      <c r="P34" s="22">
        <f t="shared" si="7"/>
        <v>-3</v>
      </c>
      <c r="Q34" s="38">
        <f t="shared" si="8"/>
        <v>1</v>
      </c>
      <c r="R34" s="22">
        <f t="shared" si="9"/>
        <v>9</v>
      </c>
      <c r="S34" s="20"/>
      <c r="T34" s="22">
        <f t="shared" si="10"/>
        <v>0</v>
      </c>
      <c r="U34" s="38">
        <f t="shared" si="11"/>
        <v>0</v>
      </c>
      <c r="V34" s="22">
        <f t="shared" si="12"/>
        <v>0</v>
      </c>
    </row>
    <row r="35">
      <c r="A35" s="2">
        <v>40590.0</v>
      </c>
      <c r="B35" s="5">
        <v>18.0</v>
      </c>
      <c r="C35" s="22">
        <f t="shared" si="2"/>
        <v>3</v>
      </c>
      <c r="D35" s="22">
        <f t="shared" si="3"/>
        <v>3</v>
      </c>
      <c r="E35" s="22">
        <f t="shared" si="1"/>
        <v>0</v>
      </c>
      <c r="F35" s="20"/>
      <c r="G35" s="20"/>
      <c r="H35" s="20"/>
      <c r="I35" s="20"/>
      <c r="J35" s="20"/>
      <c r="K35" s="20"/>
      <c r="L35" s="22">
        <f t="shared" si="4"/>
        <v>15</v>
      </c>
      <c r="M35" s="38">
        <f t="shared" si="5"/>
        <v>0.8333333333</v>
      </c>
      <c r="N35" s="22">
        <f t="shared" si="6"/>
        <v>225</v>
      </c>
      <c r="O35" s="20"/>
      <c r="P35" s="22">
        <f t="shared" si="7"/>
        <v>15</v>
      </c>
      <c r="Q35" s="38">
        <f t="shared" si="8"/>
        <v>0.8333333333</v>
      </c>
      <c r="R35" s="22">
        <f t="shared" si="9"/>
        <v>225</v>
      </c>
      <c r="S35" s="20"/>
      <c r="T35" s="22">
        <f t="shared" si="10"/>
        <v>18</v>
      </c>
      <c r="U35" s="38">
        <f t="shared" si="11"/>
        <v>1</v>
      </c>
      <c r="V35" s="22">
        <f t="shared" si="12"/>
        <v>324</v>
      </c>
    </row>
    <row r="36">
      <c r="A36" s="2">
        <v>40591.0</v>
      </c>
      <c r="B36" s="5">
        <v>0.0</v>
      </c>
      <c r="C36" s="22">
        <f t="shared" si="2"/>
        <v>4</v>
      </c>
      <c r="D36" s="22">
        <f t="shared" si="3"/>
        <v>4</v>
      </c>
      <c r="E36" s="22">
        <f t="shared" si="1"/>
        <v>11</v>
      </c>
      <c r="F36" s="20"/>
      <c r="G36" s="20"/>
      <c r="H36" s="20"/>
      <c r="I36" s="20"/>
      <c r="J36" s="20"/>
      <c r="K36" s="20"/>
      <c r="L36" s="22">
        <f t="shared" si="4"/>
        <v>-4</v>
      </c>
      <c r="M36" s="38">
        <f t="shared" si="5"/>
        <v>1</v>
      </c>
      <c r="N36" s="22">
        <f t="shared" si="6"/>
        <v>16</v>
      </c>
      <c r="O36" s="20"/>
      <c r="P36" s="22">
        <f t="shared" si="7"/>
        <v>-4</v>
      </c>
      <c r="Q36" s="38">
        <f t="shared" si="8"/>
        <v>1</v>
      </c>
      <c r="R36" s="22">
        <f t="shared" si="9"/>
        <v>16</v>
      </c>
      <c r="S36" s="20"/>
      <c r="T36" s="22">
        <f t="shared" si="10"/>
        <v>-11</v>
      </c>
      <c r="U36" s="38">
        <f t="shared" si="11"/>
        <v>1</v>
      </c>
      <c r="V36" s="22">
        <f t="shared" si="12"/>
        <v>121</v>
      </c>
    </row>
    <row r="37">
      <c r="A37" s="2">
        <v>40592.0</v>
      </c>
      <c r="B37" s="5">
        <v>0.0</v>
      </c>
      <c r="C37" s="22">
        <f t="shared" si="2"/>
        <v>4</v>
      </c>
      <c r="D37" s="22">
        <f t="shared" si="3"/>
        <v>4</v>
      </c>
      <c r="E37" s="22">
        <f t="shared" si="1"/>
        <v>4</v>
      </c>
      <c r="F37" s="20"/>
      <c r="G37" s="20"/>
      <c r="H37" s="20"/>
      <c r="I37" s="20"/>
      <c r="J37" s="20"/>
      <c r="K37" s="20"/>
      <c r="L37" s="22">
        <f t="shared" si="4"/>
        <v>-4</v>
      </c>
      <c r="M37" s="38">
        <f t="shared" si="5"/>
        <v>1</v>
      </c>
      <c r="N37" s="22">
        <f t="shared" si="6"/>
        <v>16</v>
      </c>
      <c r="O37" s="20"/>
      <c r="P37" s="22">
        <f t="shared" si="7"/>
        <v>-4</v>
      </c>
      <c r="Q37" s="38">
        <f t="shared" si="8"/>
        <v>1</v>
      </c>
      <c r="R37" s="22">
        <f t="shared" si="9"/>
        <v>16</v>
      </c>
      <c r="S37" s="20"/>
      <c r="T37" s="22">
        <f t="shared" si="10"/>
        <v>-4</v>
      </c>
      <c r="U37" s="38">
        <f t="shared" si="11"/>
        <v>1</v>
      </c>
      <c r="V37" s="22">
        <f t="shared" si="12"/>
        <v>16</v>
      </c>
    </row>
    <row r="38">
      <c r="A38" s="2">
        <v>40596.0</v>
      </c>
      <c r="B38" s="5">
        <v>0.0</v>
      </c>
      <c r="C38" s="22">
        <f t="shared" si="2"/>
        <v>4</v>
      </c>
      <c r="D38" s="22">
        <f t="shared" si="3"/>
        <v>3</v>
      </c>
      <c r="E38" s="22">
        <f t="shared" si="1"/>
        <v>2</v>
      </c>
      <c r="F38" s="20"/>
      <c r="G38" s="20"/>
      <c r="H38" s="20"/>
      <c r="I38" s="20"/>
      <c r="J38" s="20"/>
      <c r="K38" s="20"/>
      <c r="L38" s="22">
        <f t="shared" si="4"/>
        <v>-4</v>
      </c>
      <c r="M38" s="38">
        <f t="shared" si="5"/>
        <v>1</v>
      </c>
      <c r="N38" s="22">
        <f t="shared" si="6"/>
        <v>16</v>
      </c>
      <c r="O38" s="20"/>
      <c r="P38" s="22">
        <f t="shared" si="7"/>
        <v>-3</v>
      </c>
      <c r="Q38" s="38">
        <f t="shared" si="8"/>
        <v>1</v>
      </c>
      <c r="R38" s="22">
        <f t="shared" si="9"/>
        <v>9</v>
      </c>
      <c r="S38" s="20"/>
      <c r="T38" s="22">
        <f t="shared" si="10"/>
        <v>-2</v>
      </c>
      <c r="U38" s="38">
        <f t="shared" si="11"/>
        <v>1</v>
      </c>
      <c r="V38" s="22">
        <f t="shared" si="12"/>
        <v>4</v>
      </c>
    </row>
    <row r="39">
      <c r="A39" s="2">
        <v>40597.0</v>
      </c>
      <c r="B39" s="5">
        <v>17.0</v>
      </c>
      <c r="C39" s="22">
        <f t="shared" si="2"/>
        <v>4</v>
      </c>
      <c r="D39" s="22">
        <f t="shared" si="3"/>
        <v>3</v>
      </c>
      <c r="E39" s="22">
        <f t="shared" si="1"/>
        <v>1</v>
      </c>
      <c r="F39" s="20"/>
      <c r="G39" s="20"/>
      <c r="H39" s="20"/>
      <c r="I39" s="20"/>
      <c r="J39" s="20"/>
      <c r="K39" s="20"/>
      <c r="L39" s="22">
        <f t="shared" si="4"/>
        <v>13</v>
      </c>
      <c r="M39" s="38">
        <f t="shared" si="5"/>
        <v>0.7647058824</v>
      </c>
      <c r="N39" s="22">
        <f t="shared" si="6"/>
        <v>169</v>
      </c>
      <c r="O39" s="20"/>
      <c r="P39" s="22">
        <f t="shared" si="7"/>
        <v>14</v>
      </c>
      <c r="Q39" s="38">
        <f t="shared" si="8"/>
        <v>0.8235294118</v>
      </c>
      <c r="R39" s="22">
        <f t="shared" si="9"/>
        <v>196</v>
      </c>
      <c r="S39" s="20"/>
      <c r="T39" s="22">
        <f t="shared" si="10"/>
        <v>16</v>
      </c>
      <c r="U39" s="38">
        <f t="shared" si="11"/>
        <v>0.9411764706</v>
      </c>
      <c r="V39" s="22">
        <f t="shared" si="12"/>
        <v>256</v>
      </c>
    </row>
    <row r="40">
      <c r="A40" s="2">
        <v>40598.0</v>
      </c>
      <c r="B40" s="5">
        <v>0.0</v>
      </c>
      <c r="C40" s="22">
        <f t="shared" si="2"/>
        <v>7</v>
      </c>
      <c r="D40" s="22">
        <f t="shared" si="3"/>
        <v>4</v>
      </c>
      <c r="E40" s="22">
        <f t="shared" si="1"/>
        <v>11</v>
      </c>
      <c r="F40" s="20"/>
      <c r="G40" s="20"/>
      <c r="H40" s="20"/>
      <c r="I40" s="20"/>
      <c r="J40" s="20"/>
      <c r="K40" s="20"/>
      <c r="L40" s="22">
        <f t="shared" si="4"/>
        <v>-7</v>
      </c>
      <c r="M40" s="38">
        <f t="shared" si="5"/>
        <v>1</v>
      </c>
      <c r="N40" s="22">
        <f t="shared" si="6"/>
        <v>49</v>
      </c>
      <c r="O40" s="20"/>
      <c r="P40" s="22">
        <f t="shared" si="7"/>
        <v>-4</v>
      </c>
      <c r="Q40" s="38">
        <f t="shared" si="8"/>
        <v>1</v>
      </c>
      <c r="R40" s="22">
        <f t="shared" si="9"/>
        <v>16</v>
      </c>
      <c r="S40" s="20"/>
      <c r="T40" s="22">
        <f t="shared" si="10"/>
        <v>-11</v>
      </c>
      <c r="U40" s="38">
        <f t="shared" si="11"/>
        <v>1</v>
      </c>
      <c r="V40" s="22">
        <f t="shared" si="12"/>
        <v>121</v>
      </c>
    </row>
    <row r="41">
      <c r="A41" s="2">
        <v>40599.0</v>
      </c>
      <c r="B41" s="5">
        <v>0.0</v>
      </c>
      <c r="C41" s="22">
        <f t="shared" si="2"/>
        <v>3</v>
      </c>
      <c r="D41" s="22">
        <f t="shared" si="3"/>
        <v>4</v>
      </c>
      <c r="E41" s="22">
        <f t="shared" si="1"/>
        <v>4</v>
      </c>
      <c r="F41" s="20"/>
      <c r="G41" s="20"/>
      <c r="H41" s="20"/>
      <c r="I41" s="20"/>
      <c r="J41" s="20"/>
      <c r="K41" s="20"/>
      <c r="L41" s="22">
        <f t="shared" si="4"/>
        <v>-3</v>
      </c>
      <c r="M41" s="38">
        <f t="shared" si="5"/>
        <v>1</v>
      </c>
      <c r="N41" s="22">
        <f t="shared" si="6"/>
        <v>9</v>
      </c>
      <c r="O41" s="20"/>
      <c r="P41" s="22">
        <f t="shared" si="7"/>
        <v>-4</v>
      </c>
      <c r="Q41" s="38">
        <f t="shared" si="8"/>
        <v>1</v>
      </c>
      <c r="R41" s="22">
        <f t="shared" si="9"/>
        <v>16</v>
      </c>
      <c r="S41" s="20"/>
      <c r="T41" s="22">
        <f t="shared" si="10"/>
        <v>-4</v>
      </c>
      <c r="U41" s="38">
        <f t="shared" si="11"/>
        <v>1</v>
      </c>
      <c r="V41" s="22">
        <f t="shared" si="12"/>
        <v>16</v>
      </c>
    </row>
    <row r="42">
      <c r="A42" s="2">
        <v>40602.0</v>
      </c>
      <c r="B42" s="5">
        <v>0.0</v>
      </c>
      <c r="C42" s="22">
        <f t="shared" si="2"/>
        <v>3</v>
      </c>
      <c r="D42" s="22">
        <f t="shared" si="3"/>
        <v>4</v>
      </c>
      <c r="E42" s="22">
        <f t="shared" si="1"/>
        <v>2</v>
      </c>
      <c r="F42" s="20"/>
      <c r="G42" s="20"/>
      <c r="H42" s="20"/>
      <c r="I42" s="20"/>
      <c r="J42" s="20"/>
      <c r="K42" s="20"/>
      <c r="L42" s="22">
        <f t="shared" si="4"/>
        <v>-3</v>
      </c>
      <c r="M42" s="38">
        <f t="shared" si="5"/>
        <v>1</v>
      </c>
      <c r="N42" s="22">
        <f t="shared" si="6"/>
        <v>9</v>
      </c>
      <c r="O42" s="20"/>
      <c r="P42" s="22">
        <f t="shared" si="7"/>
        <v>-4</v>
      </c>
      <c r="Q42" s="38">
        <f t="shared" si="8"/>
        <v>1</v>
      </c>
      <c r="R42" s="22">
        <f t="shared" si="9"/>
        <v>16</v>
      </c>
      <c r="S42" s="20"/>
      <c r="T42" s="22">
        <f t="shared" si="10"/>
        <v>-2</v>
      </c>
      <c r="U42" s="38">
        <f t="shared" si="11"/>
        <v>1</v>
      </c>
      <c r="V42" s="22">
        <f t="shared" si="12"/>
        <v>4</v>
      </c>
    </row>
    <row r="43">
      <c r="A43" s="2">
        <v>40603.0</v>
      </c>
      <c r="B43" s="5">
        <v>0.0</v>
      </c>
      <c r="C43" s="22">
        <f t="shared" si="2"/>
        <v>3</v>
      </c>
      <c r="D43" s="22">
        <f t="shared" si="3"/>
        <v>3</v>
      </c>
      <c r="E43" s="22">
        <f t="shared" si="1"/>
        <v>1</v>
      </c>
      <c r="F43" s="20"/>
      <c r="G43" s="20"/>
      <c r="H43" s="20"/>
      <c r="I43" s="20"/>
      <c r="J43" s="20"/>
      <c r="K43" s="20"/>
      <c r="L43" s="22">
        <f t="shared" si="4"/>
        <v>-3</v>
      </c>
      <c r="M43" s="38">
        <f t="shared" si="5"/>
        <v>1</v>
      </c>
      <c r="N43" s="22">
        <f t="shared" si="6"/>
        <v>9</v>
      </c>
      <c r="O43" s="20"/>
      <c r="P43" s="22">
        <f t="shared" si="7"/>
        <v>-3</v>
      </c>
      <c r="Q43" s="38">
        <f t="shared" si="8"/>
        <v>1</v>
      </c>
      <c r="R43" s="22">
        <f t="shared" si="9"/>
        <v>9</v>
      </c>
      <c r="S43" s="20"/>
      <c r="T43" s="22">
        <f t="shared" si="10"/>
        <v>-1</v>
      </c>
      <c r="U43" s="38">
        <f t="shared" si="11"/>
        <v>1</v>
      </c>
      <c r="V43" s="22">
        <f t="shared" si="12"/>
        <v>1</v>
      </c>
    </row>
    <row r="44">
      <c r="A44" s="2">
        <v>40604.0</v>
      </c>
      <c r="B44" s="5">
        <v>16.0</v>
      </c>
      <c r="C44" s="22">
        <f t="shared" si="2"/>
        <v>3</v>
      </c>
      <c r="D44" s="22">
        <f t="shared" si="3"/>
        <v>3</v>
      </c>
      <c r="E44" s="22">
        <f t="shared" si="1"/>
        <v>0</v>
      </c>
      <c r="F44" s="20"/>
      <c r="G44" s="20"/>
      <c r="H44" s="20"/>
      <c r="I44" s="20"/>
      <c r="J44" s="20"/>
      <c r="K44" s="20"/>
      <c r="L44" s="22">
        <f t="shared" si="4"/>
        <v>13</v>
      </c>
      <c r="M44" s="38">
        <f t="shared" si="5"/>
        <v>0.8125</v>
      </c>
      <c r="N44" s="22">
        <f t="shared" si="6"/>
        <v>169</v>
      </c>
      <c r="O44" s="20"/>
      <c r="P44" s="22">
        <f t="shared" si="7"/>
        <v>13</v>
      </c>
      <c r="Q44" s="38">
        <f t="shared" si="8"/>
        <v>0.8125</v>
      </c>
      <c r="R44" s="22">
        <f t="shared" si="9"/>
        <v>169</v>
      </c>
      <c r="S44" s="20"/>
      <c r="T44" s="22">
        <f t="shared" si="10"/>
        <v>16</v>
      </c>
      <c r="U44" s="38">
        <f t="shared" si="11"/>
        <v>1</v>
      </c>
      <c r="V44" s="22">
        <f t="shared" si="12"/>
        <v>256</v>
      </c>
    </row>
    <row r="45">
      <c r="A45" s="2">
        <v>40605.0</v>
      </c>
      <c r="B45" s="5">
        <v>0.0</v>
      </c>
      <c r="C45" s="22">
        <f t="shared" si="2"/>
        <v>3</v>
      </c>
      <c r="D45" s="22">
        <f t="shared" si="3"/>
        <v>4</v>
      </c>
      <c r="E45" s="22">
        <f t="shared" si="1"/>
        <v>10</v>
      </c>
      <c r="F45" s="20"/>
      <c r="G45" s="20"/>
      <c r="H45" s="20"/>
      <c r="I45" s="20"/>
      <c r="J45" s="20"/>
      <c r="K45" s="20"/>
      <c r="L45" s="22">
        <f t="shared" si="4"/>
        <v>-3</v>
      </c>
      <c r="M45" s="38">
        <f t="shared" si="5"/>
        <v>1</v>
      </c>
      <c r="N45" s="22">
        <f t="shared" si="6"/>
        <v>9</v>
      </c>
      <c r="O45" s="20"/>
      <c r="P45" s="22">
        <f t="shared" si="7"/>
        <v>-4</v>
      </c>
      <c r="Q45" s="38">
        <f t="shared" si="8"/>
        <v>1</v>
      </c>
      <c r="R45" s="22">
        <f t="shared" si="9"/>
        <v>16</v>
      </c>
      <c r="S45" s="20"/>
      <c r="T45" s="22">
        <f t="shared" si="10"/>
        <v>-10</v>
      </c>
      <c r="U45" s="38">
        <f t="shared" si="11"/>
        <v>1</v>
      </c>
      <c r="V45" s="22">
        <f t="shared" si="12"/>
        <v>100</v>
      </c>
    </row>
    <row r="46">
      <c r="A46" s="2">
        <v>40606.0</v>
      </c>
      <c r="B46" s="5">
        <v>0.0</v>
      </c>
      <c r="C46" s="22">
        <f t="shared" si="2"/>
        <v>3</v>
      </c>
      <c r="D46" s="22">
        <f t="shared" si="3"/>
        <v>4</v>
      </c>
      <c r="E46" s="22">
        <f t="shared" si="1"/>
        <v>4</v>
      </c>
      <c r="F46" s="20"/>
      <c r="G46" s="20"/>
      <c r="H46" s="20"/>
      <c r="I46" s="20"/>
      <c r="J46" s="20"/>
      <c r="K46" s="20"/>
      <c r="L46" s="22">
        <f t="shared" si="4"/>
        <v>-3</v>
      </c>
      <c r="M46" s="38">
        <f t="shared" si="5"/>
        <v>1</v>
      </c>
      <c r="N46" s="22">
        <f t="shared" si="6"/>
        <v>9</v>
      </c>
      <c r="O46" s="20"/>
      <c r="P46" s="22">
        <f t="shared" si="7"/>
        <v>-4</v>
      </c>
      <c r="Q46" s="38">
        <f t="shared" si="8"/>
        <v>1</v>
      </c>
      <c r="R46" s="22">
        <f t="shared" si="9"/>
        <v>16</v>
      </c>
      <c r="S46" s="20"/>
      <c r="T46" s="22">
        <f t="shared" si="10"/>
        <v>-4</v>
      </c>
      <c r="U46" s="38">
        <f t="shared" si="11"/>
        <v>1</v>
      </c>
      <c r="V46" s="22">
        <f t="shared" si="12"/>
        <v>16</v>
      </c>
    </row>
    <row r="47">
      <c r="A47" s="2">
        <v>40609.0</v>
      </c>
      <c r="B47" s="5">
        <v>0.0</v>
      </c>
      <c r="C47" s="22">
        <f t="shared" si="2"/>
        <v>3</v>
      </c>
      <c r="D47" s="22">
        <f t="shared" si="3"/>
        <v>4</v>
      </c>
      <c r="E47" s="22">
        <f t="shared" si="1"/>
        <v>2</v>
      </c>
      <c r="F47" s="20"/>
      <c r="G47" s="20"/>
      <c r="H47" s="20"/>
      <c r="I47" s="20"/>
      <c r="J47" s="20"/>
      <c r="K47" s="20"/>
      <c r="L47" s="22">
        <f t="shared" si="4"/>
        <v>-3</v>
      </c>
      <c r="M47" s="38">
        <f t="shared" si="5"/>
        <v>1</v>
      </c>
      <c r="N47" s="22">
        <f t="shared" si="6"/>
        <v>9</v>
      </c>
      <c r="O47" s="20"/>
      <c r="P47" s="22">
        <f t="shared" si="7"/>
        <v>-4</v>
      </c>
      <c r="Q47" s="38">
        <f t="shared" si="8"/>
        <v>1</v>
      </c>
      <c r="R47" s="22">
        <f t="shared" si="9"/>
        <v>16</v>
      </c>
      <c r="S47" s="20"/>
      <c r="T47" s="22">
        <f t="shared" si="10"/>
        <v>-2</v>
      </c>
      <c r="U47" s="38">
        <f t="shared" si="11"/>
        <v>1</v>
      </c>
      <c r="V47" s="22">
        <f t="shared" si="12"/>
        <v>4</v>
      </c>
    </row>
    <row r="48">
      <c r="A48" s="2">
        <v>40610.0</v>
      </c>
      <c r="B48" s="5">
        <v>0.0</v>
      </c>
      <c r="C48" s="22">
        <f t="shared" si="2"/>
        <v>3</v>
      </c>
      <c r="D48" s="22">
        <f t="shared" si="3"/>
        <v>3</v>
      </c>
      <c r="E48" s="22">
        <f t="shared" si="1"/>
        <v>1</v>
      </c>
      <c r="F48" s="20"/>
      <c r="G48" s="20"/>
      <c r="H48" s="20"/>
      <c r="I48" s="20"/>
      <c r="J48" s="20"/>
      <c r="K48" s="20"/>
      <c r="L48" s="22">
        <f t="shared" si="4"/>
        <v>-3</v>
      </c>
      <c r="M48" s="38">
        <f t="shared" si="5"/>
        <v>1</v>
      </c>
      <c r="N48" s="22">
        <f t="shared" si="6"/>
        <v>9</v>
      </c>
      <c r="O48" s="20"/>
      <c r="P48" s="22">
        <f t="shared" si="7"/>
        <v>-3</v>
      </c>
      <c r="Q48" s="38">
        <f t="shared" si="8"/>
        <v>1</v>
      </c>
      <c r="R48" s="22">
        <f t="shared" si="9"/>
        <v>9</v>
      </c>
      <c r="S48" s="20"/>
      <c r="T48" s="22">
        <f t="shared" si="10"/>
        <v>-1</v>
      </c>
      <c r="U48" s="38">
        <f t="shared" si="11"/>
        <v>1</v>
      </c>
      <c r="V48" s="22">
        <f t="shared" si="12"/>
        <v>1</v>
      </c>
    </row>
    <row r="49">
      <c r="A49" s="2">
        <v>40611.0</v>
      </c>
      <c r="B49" s="5">
        <v>16.0</v>
      </c>
      <c r="C49" s="22">
        <f t="shared" si="2"/>
        <v>3</v>
      </c>
      <c r="D49" s="22">
        <f t="shared" si="3"/>
        <v>3</v>
      </c>
      <c r="E49" s="22">
        <f t="shared" si="1"/>
        <v>0</v>
      </c>
      <c r="F49" s="20"/>
      <c r="G49" s="20"/>
      <c r="H49" s="20"/>
      <c r="I49" s="20"/>
      <c r="J49" s="20"/>
      <c r="K49" s="20"/>
      <c r="L49" s="22">
        <f t="shared" si="4"/>
        <v>13</v>
      </c>
      <c r="M49" s="38">
        <f t="shared" si="5"/>
        <v>0.8125</v>
      </c>
      <c r="N49" s="22">
        <f t="shared" si="6"/>
        <v>169</v>
      </c>
      <c r="O49" s="20"/>
      <c r="P49" s="22">
        <f t="shared" si="7"/>
        <v>13</v>
      </c>
      <c r="Q49" s="38">
        <f t="shared" si="8"/>
        <v>0.8125</v>
      </c>
      <c r="R49" s="22">
        <f t="shared" si="9"/>
        <v>169</v>
      </c>
      <c r="S49" s="20"/>
      <c r="T49" s="22">
        <f t="shared" si="10"/>
        <v>16</v>
      </c>
      <c r="U49" s="38">
        <f t="shared" si="11"/>
        <v>1</v>
      </c>
      <c r="V49" s="22">
        <f t="shared" si="12"/>
        <v>256</v>
      </c>
    </row>
    <row r="50">
      <c r="A50" s="2">
        <v>40612.0</v>
      </c>
      <c r="B50" s="5">
        <v>0.0</v>
      </c>
      <c r="C50" s="22">
        <f t="shared" si="2"/>
        <v>3</v>
      </c>
      <c r="D50" s="22">
        <f t="shared" si="3"/>
        <v>4</v>
      </c>
      <c r="E50" s="22">
        <f t="shared" si="1"/>
        <v>10</v>
      </c>
      <c r="F50" s="20"/>
      <c r="G50" s="20"/>
      <c r="H50" s="20"/>
      <c r="I50" s="20"/>
      <c r="J50" s="20"/>
      <c r="K50" s="20"/>
      <c r="L50" s="22">
        <f t="shared" si="4"/>
        <v>-3</v>
      </c>
      <c r="M50" s="38">
        <f t="shared" si="5"/>
        <v>1</v>
      </c>
      <c r="N50" s="22">
        <f t="shared" si="6"/>
        <v>9</v>
      </c>
      <c r="O50" s="20"/>
      <c r="P50" s="22">
        <f t="shared" si="7"/>
        <v>-4</v>
      </c>
      <c r="Q50" s="38">
        <f t="shared" si="8"/>
        <v>1</v>
      </c>
      <c r="R50" s="22">
        <f t="shared" si="9"/>
        <v>16</v>
      </c>
      <c r="S50" s="20"/>
      <c r="T50" s="22">
        <f t="shared" si="10"/>
        <v>-10</v>
      </c>
      <c r="U50" s="38">
        <f t="shared" si="11"/>
        <v>1</v>
      </c>
      <c r="V50" s="22">
        <f t="shared" si="12"/>
        <v>100</v>
      </c>
    </row>
    <row r="51">
      <c r="A51" s="2">
        <v>40613.0</v>
      </c>
      <c r="B51" s="5">
        <v>0.0</v>
      </c>
      <c r="C51" s="22">
        <f t="shared" si="2"/>
        <v>3</v>
      </c>
      <c r="D51" s="22">
        <f t="shared" si="3"/>
        <v>4</v>
      </c>
      <c r="E51" s="22">
        <f t="shared" si="1"/>
        <v>4</v>
      </c>
      <c r="F51" s="20"/>
      <c r="G51" s="20"/>
      <c r="H51" s="20"/>
      <c r="I51" s="20"/>
      <c r="J51" s="20"/>
      <c r="K51" s="20"/>
      <c r="L51" s="22">
        <f t="shared" si="4"/>
        <v>-3</v>
      </c>
      <c r="M51" s="38">
        <f t="shared" si="5"/>
        <v>1</v>
      </c>
      <c r="N51" s="22">
        <f t="shared" si="6"/>
        <v>9</v>
      </c>
      <c r="O51" s="20"/>
      <c r="P51" s="22">
        <f t="shared" si="7"/>
        <v>-4</v>
      </c>
      <c r="Q51" s="38">
        <f t="shared" si="8"/>
        <v>1</v>
      </c>
      <c r="R51" s="22">
        <f t="shared" si="9"/>
        <v>16</v>
      </c>
      <c r="S51" s="20"/>
      <c r="T51" s="22">
        <f t="shared" si="10"/>
        <v>-4</v>
      </c>
      <c r="U51" s="38">
        <f t="shared" si="11"/>
        <v>1</v>
      </c>
      <c r="V51" s="22">
        <f t="shared" si="12"/>
        <v>16</v>
      </c>
    </row>
    <row r="52">
      <c r="A52" s="2">
        <v>40616.0</v>
      </c>
      <c r="B52" s="5">
        <v>0.0</v>
      </c>
      <c r="C52" s="22">
        <f t="shared" si="2"/>
        <v>3</v>
      </c>
      <c r="D52" s="22">
        <f t="shared" si="3"/>
        <v>3</v>
      </c>
      <c r="E52" s="22">
        <f t="shared" si="1"/>
        <v>2</v>
      </c>
      <c r="F52" s="20"/>
      <c r="G52" s="20"/>
      <c r="H52" s="20"/>
      <c r="I52" s="20"/>
      <c r="J52" s="20"/>
      <c r="K52" s="20"/>
      <c r="L52" s="22">
        <f t="shared" si="4"/>
        <v>-3</v>
      </c>
      <c r="M52" s="38">
        <f t="shared" si="5"/>
        <v>1</v>
      </c>
      <c r="N52" s="22">
        <f t="shared" si="6"/>
        <v>9</v>
      </c>
      <c r="O52" s="20"/>
      <c r="P52" s="22">
        <f t="shared" si="7"/>
        <v>-3</v>
      </c>
      <c r="Q52" s="38">
        <f t="shared" si="8"/>
        <v>1</v>
      </c>
      <c r="R52" s="22">
        <f t="shared" si="9"/>
        <v>9</v>
      </c>
      <c r="S52" s="20"/>
      <c r="T52" s="22">
        <f t="shared" si="10"/>
        <v>-2</v>
      </c>
      <c r="U52" s="38">
        <f t="shared" si="11"/>
        <v>1</v>
      </c>
      <c r="V52" s="22">
        <f t="shared" si="12"/>
        <v>4</v>
      </c>
    </row>
    <row r="53">
      <c r="A53" s="2">
        <v>40617.0</v>
      </c>
      <c r="B53" s="5">
        <v>0.0</v>
      </c>
      <c r="C53" s="22">
        <f t="shared" si="2"/>
        <v>3</v>
      </c>
      <c r="D53" s="22">
        <f t="shared" si="3"/>
        <v>3</v>
      </c>
      <c r="E53" s="22">
        <f t="shared" si="1"/>
        <v>1</v>
      </c>
      <c r="F53" s="20"/>
      <c r="G53" s="20"/>
      <c r="H53" s="20"/>
      <c r="I53" s="20"/>
      <c r="J53" s="20"/>
      <c r="K53" s="20"/>
      <c r="L53" s="22">
        <f t="shared" si="4"/>
        <v>-3</v>
      </c>
      <c r="M53" s="38">
        <f t="shared" si="5"/>
        <v>1</v>
      </c>
      <c r="N53" s="22">
        <f t="shared" si="6"/>
        <v>9</v>
      </c>
      <c r="O53" s="20"/>
      <c r="P53" s="22">
        <f t="shared" si="7"/>
        <v>-3</v>
      </c>
      <c r="Q53" s="38">
        <f t="shared" si="8"/>
        <v>1</v>
      </c>
      <c r="R53" s="22">
        <f t="shared" si="9"/>
        <v>9</v>
      </c>
      <c r="S53" s="20"/>
      <c r="T53" s="22">
        <f t="shared" si="10"/>
        <v>-1</v>
      </c>
      <c r="U53" s="38">
        <f t="shared" si="11"/>
        <v>1</v>
      </c>
      <c r="V53" s="22">
        <f t="shared" si="12"/>
        <v>1</v>
      </c>
    </row>
    <row r="54">
      <c r="A54" s="2">
        <v>40618.0</v>
      </c>
      <c r="B54" s="5">
        <v>16.0</v>
      </c>
      <c r="C54" s="22">
        <f t="shared" si="2"/>
        <v>3</v>
      </c>
      <c r="D54" s="22">
        <f t="shared" si="3"/>
        <v>3</v>
      </c>
      <c r="E54" s="22">
        <f t="shared" si="1"/>
        <v>0</v>
      </c>
      <c r="F54" s="20"/>
      <c r="G54" s="20"/>
      <c r="H54" s="20"/>
      <c r="I54" s="20"/>
      <c r="J54" s="20"/>
      <c r="K54" s="20"/>
      <c r="L54" s="22">
        <f t="shared" si="4"/>
        <v>13</v>
      </c>
      <c r="M54" s="38">
        <f t="shared" si="5"/>
        <v>0.8125</v>
      </c>
      <c r="N54" s="22">
        <f t="shared" si="6"/>
        <v>169</v>
      </c>
      <c r="O54" s="20"/>
      <c r="P54" s="22">
        <f t="shared" si="7"/>
        <v>13</v>
      </c>
      <c r="Q54" s="38">
        <f t="shared" si="8"/>
        <v>0.8125</v>
      </c>
      <c r="R54" s="22">
        <f t="shared" si="9"/>
        <v>169</v>
      </c>
      <c r="S54" s="20"/>
      <c r="T54" s="22">
        <f t="shared" si="10"/>
        <v>16</v>
      </c>
      <c r="U54" s="38">
        <f t="shared" si="11"/>
        <v>1</v>
      </c>
      <c r="V54" s="22">
        <f t="shared" si="12"/>
        <v>256</v>
      </c>
    </row>
    <row r="55">
      <c r="A55" s="2">
        <v>40619.0</v>
      </c>
      <c r="B55" s="5">
        <v>0.0</v>
      </c>
      <c r="C55" s="22">
        <f t="shared" si="2"/>
        <v>3</v>
      </c>
      <c r="D55" s="22">
        <f t="shared" si="3"/>
        <v>4</v>
      </c>
      <c r="E55" s="22">
        <f t="shared" si="1"/>
        <v>10</v>
      </c>
      <c r="F55" s="20"/>
      <c r="G55" s="20"/>
      <c r="H55" s="20"/>
      <c r="I55" s="20"/>
      <c r="J55" s="20"/>
      <c r="K55" s="20"/>
      <c r="L55" s="22">
        <f t="shared" si="4"/>
        <v>-3</v>
      </c>
      <c r="M55" s="38">
        <f t="shared" si="5"/>
        <v>1</v>
      </c>
      <c r="N55" s="22">
        <f t="shared" si="6"/>
        <v>9</v>
      </c>
      <c r="O55" s="20"/>
      <c r="P55" s="22">
        <f t="shared" si="7"/>
        <v>-4</v>
      </c>
      <c r="Q55" s="38">
        <f t="shared" si="8"/>
        <v>1</v>
      </c>
      <c r="R55" s="22">
        <f t="shared" si="9"/>
        <v>16</v>
      </c>
      <c r="S55" s="20"/>
      <c r="T55" s="22">
        <f t="shared" si="10"/>
        <v>-10</v>
      </c>
      <c r="U55" s="38">
        <f t="shared" si="11"/>
        <v>1</v>
      </c>
      <c r="V55" s="22">
        <f t="shared" si="12"/>
        <v>100</v>
      </c>
    </row>
    <row r="56">
      <c r="A56" s="2">
        <v>40620.0</v>
      </c>
      <c r="B56" s="5">
        <v>0.0</v>
      </c>
      <c r="C56" s="22">
        <f t="shared" si="2"/>
        <v>3</v>
      </c>
      <c r="D56" s="22">
        <f t="shared" si="3"/>
        <v>4</v>
      </c>
      <c r="E56" s="22">
        <f t="shared" si="1"/>
        <v>4</v>
      </c>
      <c r="F56" s="20"/>
      <c r="G56" s="20"/>
      <c r="H56" s="20"/>
      <c r="I56" s="20"/>
      <c r="J56" s="20"/>
      <c r="K56" s="20"/>
      <c r="L56" s="22">
        <f t="shared" si="4"/>
        <v>-3</v>
      </c>
      <c r="M56" s="38">
        <f t="shared" si="5"/>
        <v>1</v>
      </c>
      <c r="N56" s="22">
        <f t="shared" si="6"/>
        <v>9</v>
      </c>
      <c r="O56" s="20"/>
      <c r="P56" s="22">
        <f t="shared" si="7"/>
        <v>-4</v>
      </c>
      <c r="Q56" s="38">
        <f t="shared" si="8"/>
        <v>1</v>
      </c>
      <c r="R56" s="22">
        <f t="shared" si="9"/>
        <v>16</v>
      </c>
      <c r="S56" s="20"/>
      <c r="T56" s="22">
        <f t="shared" si="10"/>
        <v>-4</v>
      </c>
      <c r="U56" s="38">
        <f t="shared" si="11"/>
        <v>1</v>
      </c>
      <c r="V56" s="22">
        <f t="shared" si="12"/>
        <v>16</v>
      </c>
    </row>
    <row r="57">
      <c r="A57" s="2">
        <v>40623.0</v>
      </c>
      <c r="B57" s="5">
        <v>0.0</v>
      </c>
      <c r="C57" s="22">
        <f t="shared" si="2"/>
        <v>3</v>
      </c>
      <c r="D57" s="22">
        <f t="shared" si="3"/>
        <v>3</v>
      </c>
      <c r="E57" s="22">
        <f t="shared" si="1"/>
        <v>2</v>
      </c>
      <c r="F57" s="20"/>
      <c r="G57" s="20"/>
      <c r="H57" s="20"/>
      <c r="I57" s="20"/>
      <c r="J57" s="20"/>
      <c r="K57" s="20"/>
      <c r="L57" s="22">
        <f t="shared" si="4"/>
        <v>-3</v>
      </c>
      <c r="M57" s="38">
        <f t="shared" si="5"/>
        <v>1</v>
      </c>
      <c r="N57" s="22">
        <f t="shared" si="6"/>
        <v>9</v>
      </c>
      <c r="O57" s="20"/>
      <c r="P57" s="22">
        <f t="shared" si="7"/>
        <v>-3</v>
      </c>
      <c r="Q57" s="38">
        <f t="shared" si="8"/>
        <v>1</v>
      </c>
      <c r="R57" s="22">
        <f t="shared" si="9"/>
        <v>9</v>
      </c>
      <c r="S57" s="20"/>
      <c r="T57" s="22">
        <f t="shared" si="10"/>
        <v>-2</v>
      </c>
      <c r="U57" s="38">
        <f t="shared" si="11"/>
        <v>1</v>
      </c>
      <c r="V57" s="22">
        <f t="shared" si="12"/>
        <v>4</v>
      </c>
    </row>
    <row r="58">
      <c r="A58" s="2">
        <v>40624.0</v>
      </c>
      <c r="B58" s="5">
        <v>0.0</v>
      </c>
      <c r="C58" s="22">
        <f t="shared" si="2"/>
        <v>3</v>
      </c>
      <c r="D58" s="22">
        <f t="shared" si="3"/>
        <v>3</v>
      </c>
      <c r="E58" s="22">
        <f t="shared" si="1"/>
        <v>1</v>
      </c>
      <c r="F58" s="20"/>
      <c r="G58" s="20"/>
      <c r="H58" s="20"/>
      <c r="I58" s="20"/>
      <c r="J58" s="20"/>
      <c r="K58" s="20"/>
      <c r="L58" s="22">
        <f t="shared" si="4"/>
        <v>-3</v>
      </c>
      <c r="M58" s="38">
        <f t="shared" si="5"/>
        <v>1</v>
      </c>
      <c r="N58" s="22">
        <f t="shared" si="6"/>
        <v>9</v>
      </c>
      <c r="O58" s="20"/>
      <c r="P58" s="22">
        <f t="shared" si="7"/>
        <v>-3</v>
      </c>
      <c r="Q58" s="38">
        <f t="shared" si="8"/>
        <v>1</v>
      </c>
      <c r="R58" s="22">
        <f t="shared" si="9"/>
        <v>9</v>
      </c>
      <c r="S58" s="20"/>
      <c r="T58" s="22">
        <f t="shared" si="10"/>
        <v>-1</v>
      </c>
      <c r="U58" s="38">
        <f t="shared" si="11"/>
        <v>1</v>
      </c>
      <c r="V58" s="22">
        <f t="shared" si="12"/>
        <v>1</v>
      </c>
    </row>
    <row r="59">
      <c r="A59" s="2">
        <v>40625.0</v>
      </c>
      <c r="B59" s="5">
        <v>16.0</v>
      </c>
      <c r="C59" s="22">
        <f t="shared" si="2"/>
        <v>3</v>
      </c>
      <c r="D59" s="22">
        <f t="shared" si="3"/>
        <v>3</v>
      </c>
      <c r="E59" s="22">
        <f t="shared" si="1"/>
        <v>0</v>
      </c>
      <c r="F59" s="20"/>
      <c r="G59" s="20"/>
      <c r="H59" s="20"/>
      <c r="I59" s="20"/>
      <c r="J59" s="20"/>
      <c r="K59" s="20"/>
      <c r="L59" s="22">
        <f t="shared" si="4"/>
        <v>13</v>
      </c>
      <c r="M59" s="38">
        <f t="shared" si="5"/>
        <v>0.8125</v>
      </c>
      <c r="N59" s="22">
        <f t="shared" si="6"/>
        <v>169</v>
      </c>
      <c r="O59" s="20"/>
      <c r="P59" s="22">
        <f t="shared" si="7"/>
        <v>13</v>
      </c>
      <c r="Q59" s="38">
        <f t="shared" si="8"/>
        <v>0.8125</v>
      </c>
      <c r="R59" s="22">
        <f t="shared" si="9"/>
        <v>169</v>
      </c>
      <c r="S59" s="20"/>
      <c r="T59" s="22">
        <f t="shared" si="10"/>
        <v>16</v>
      </c>
      <c r="U59" s="38">
        <f t="shared" si="11"/>
        <v>1</v>
      </c>
      <c r="V59" s="22">
        <f t="shared" si="12"/>
        <v>256</v>
      </c>
    </row>
    <row r="60">
      <c r="A60" s="2">
        <v>40626.0</v>
      </c>
      <c r="B60" s="5">
        <v>0.0</v>
      </c>
      <c r="C60" s="22">
        <f t="shared" si="2"/>
        <v>3</v>
      </c>
      <c r="D60" s="22">
        <f t="shared" si="3"/>
        <v>4</v>
      </c>
      <c r="E60" s="22">
        <f t="shared" si="1"/>
        <v>10</v>
      </c>
      <c r="F60" s="20"/>
      <c r="G60" s="20"/>
      <c r="H60" s="20"/>
      <c r="I60" s="20"/>
      <c r="J60" s="20"/>
      <c r="K60" s="20"/>
      <c r="L60" s="22">
        <f t="shared" si="4"/>
        <v>-3</v>
      </c>
      <c r="M60" s="38">
        <f t="shared" si="5"/>
        <v>1</v>
      </c>
      <c r="N60" s="22">
        <f t="shared" si="6"/>
        <v>9</v>
      </c>
      <c r="O60" s="20"/>
      <c r="P60" s="22">
        <f t="shared" si="7"/>
        <v>-4</v>
      </c>
      <c r="Q60" s="38">
        <f t="shared" si="8"/>
        <v>1</v>
      </c>
      <c r="R60" s="22">
        <f t="shared" si="9"/>
        <v>16</v>
      </c>
      <c r="S60" s="20"/>
      <c r="T60" s="22">
        <f t="shared" si="10"/>
        <v>-10</v>
      </c>
      <c r="U60" s="38">
        <f t="shared" si="11"/>
        <v>1</v>
      </c>
      <c r="V60" s="22">
        <f t="shared" si="12"/>
        <v>100</v>
      </c>
    </row>
    <row r="61">
      <c r="A61" s="2">
        <v>40627.0</v>
      </c>
      <c r="B61" s="5">
        <v>0.0</v>
      </c>
      <c r="C61" s="22">
        <f t="shared" si="2"/>
        <v>3</v>
      </c>
      <c r="D61" s="22">
        <f t="shared" si="3"/>
        <v>3</v>
      </c>
      <c r="E61" s="22">
        <f t="shared" si="1"/>
        <v>4</v>
      </c>
      <c r="F61" s="20"/>
      <c r="G61" s="20"/>
      <c r="H61" s="20"/>
      <c r="I61" s="20"/>
      <c r="J61" s="20"/>
      <c r="K61" s="20"/>
      <c r="L61" s="22">
        <f t="shared" si="4"/>
        <v>-3</v>
      </c>
      <c r="M61" s="38">
        <f t="shared" si="5"/>
        <v>1</v>
      </c>
      <c r="N61" s="22">
        <f t="shared" si="6"/>
        <v>9</v>
      </c>
      <c r="O61" s="20"/>
      <c r="P61" s="22">
        <f t="shared" si="7"/>
        <v>-3</v>
      </c>
      <c r="Q61" s="38">
        <f t="shared" si="8"/>
        <v>1</v>
      </c>
      <c r="R61" s="22">
        <f t="shared" si="9"/>
        <v>9</v>
      </c>
      <c r="S61" s="20"/>
      <c r="T61" s="22">
        <f t="shared" si="10"/>
        <v>-4</v>
      </c>
      <c r="U61" s="38">
        <f t="shared" si="11"/>
        <v>1</v>
      </c>
      <c r="V61" s="22">
        <f t="shared" si="12"/>
        <v>16</v>
      </c>
    </row>
    <row r="62">
      <c r="A62" s="2">
        <v>40630.0</v>
      </c>
      <c r="B62" s="5">
        <v>0.0</v>
      </c>
      <c r="C62" s="22">
        <f t="shared" si="2"/>
        <v>3</v>
      </c>
      <c r="D62" s="22">
        <f t="shared" si="3"/>
        <v>3</v>
      </c>
      <c r="E62" s="22">
        <f t="shared" si="1"/>
        <v>2</v>
      </c>
      <c r="F62" s="20"/>
      <c r="G62" s="20"/>
      <c r="H62" s="20"/>
      <c r="I62" s="20"/>
      <c r="J62" s="20"/>
      <c r="K62" s="20"/>
      <c r="L62" s="22">
        <f t="shared" si="4"/>
        <v>-3</v>
      </c>
      <c r="M62" s="38">
        <f t="shared" si="5"/>
        <v>1</v>
      </c>
      <c r="N62" s="22">
        <f t="shared" si="6"/>
        <v>9</v>
      </c>
      <c r="O62" s="20"/>
      <c r="P62" s="22">
        <f t="shared" si="7"/>
        <v>-3</v>
      </c>
      <c r="Q62" s="38">
        <f t="shared" si="8"/>
        <v>1</v>
      </c>
      <c r="R62" s="22">
        <f t="shared" si="9"/>
        <v>9</v>
      </c>
      <c r="S62" s="20"/>
      <c r="T62" s="22">
        <f t="shared" si="10"/>
        <v>-2</v>
      </c>
      <c r="U62" s="38">
        <f t="shared" si="11"/>
        <v>1</v>
      </c>
      <c r="V62" s="22">
        <f t="shared" si="12"/>
        <v>4</v>
      </c>
    </row>
    <row r="63">
      <c r="A63" s="2">
        <v>40631.0</v>
      </c>
      <c r="B63" s="5">
        <v>0.0</v>
      </c>
      <c r="C63" s="22">
        <f t="shared" si="2"/>
        <v>3</v>
      </c>
      <c r="D63" s="22">
        <f t="shared" si="3"/>
        <v>3</v>
      </c>
      <c r="E63" s="22">
        <f t="shared" si="1"/>
        <v>1</v>
      </c>
      <c r="F63" s="20"/>
      <c r="G63" s="20"/>
      <c r="H63" s="20"/>
      <c r="I63" s="20"/>
      <c r="J63" s="20"/>
      <c r="K63" s="20"/>
      <c r="L63" s="22">
        <f t="shared" si="4"/>
        <v>-3</v>
      </c>
      <c r="M63" s="38">
        <f t="shared" si="5"/>
        <v>1</v>
      </c>
      <c r="N63" s="22">
        <f t="shared" si="6"/>
        <v>9</v>
      </c>
      <c r="O63" s="20"/>
      <c r="P63" s="22">
        <f t="shared" si="7"/>
        <v>-3</v>
      </c>
      <c r="Q63" s="38">
        <f t="shared" si="8"/>
        <v>1</v>
      </c>
      <c r="R63" s="22">
        <f t="shared" si="9"/>
        <v>9</v>
      </c>
      <c r="S63" s="20"/>
      <c r="T63" s="22">
        <f t="shared" si="10"/>
        <v>-1</v>
      </c>
      <c r="U63" s="38">
        <f t="shared" si="11"/>
        <v>1</v>
      </c>
      <c r="V63" s="22">
        <f t="shared" si="12"/>
        <v>1</v>
      </c>
    </row>
    <row r="64">
      <c r="A64" s="2">
        <v>40632.0</v>
      </c>
      <c r="B64" s="5">
        <v>16.0</v>
      </c>
      <c r="C64" s="22">
        <f t="shared" si="2"/>
        <v>3</v>
      </c>
      <c r="D64" s="22">
        <f t="shared" si="3"/>
        <v>3</v>
      </c>
      <c r="E64" s="22">
        <f t="shared" si="1"/>
        <v>0</v>
      </c>
      <c r="F64" s="20"/>
      <c r="G64" s="20"/>
      <c r="H64" s="20"/>
      <c r="I64" s="20"/>
      <c r="J64" s="20"/>
      <c r="K64" s="20"/>
      <c r="L64" s="22">
        <f t="shared" si="4"/>
        <v>13</v>
      </c>
      <c r="M64" s="38">
        <f t="shared" si="5"/>
        <v>0.8125</v>
      </c>
      <c r="N64" s="22">
        <f t="shared" si="6"/>
        <v>169</v>
      </c>
      <c r="O64" s="20"/>
      <c r="P64" s="22">
        <f t="shared" si="7"/>
        <v>13</v>
      </c>
      <c r="Q64" s="38">
        <f t="shared" si="8"/>
        <v>0.8125</v>
      </c>
      <c r="R64" s="22">
        <f t="shared" si="9"/>
        <v>169</v>
      </c>
      <c r="S64" s="20"/>
      <c r="T64" s="22">
        <f t="shared" si="10"/>
        <v>16</v>
      </c>
      <c r="U64" s="38">
        <f t="shared" si="11"/>
        <v>1</v>
      </c>
      <c r="V64" s="22">
        <f t="shared" si="12"/>
        <v>256</v>
      </c>
    </row>
    <row r="65">
      <c r="A65" s="2">
        <v>40633.0</v>
      </c>
      <c r="B65" s="5">
        <v>0.0</v>
      </c>
      <c r="C65" s="22">
        <f t="shared" si="2"/>
        <v>3</v>
      </c>
      <c r="D65" s="22">
        <f t="shared" si="3"/>
        <v>4</v>
      </c>
      <c r="E65" s="22">
        <f t="shared" si="1"/>
        <v>10</v>
      </c>
      <c r="F65" s="20"/>
      <c r="G65" s="20"/>
      <c r="H65" s="20"/>
      <c r="I65" s="20"/>
      <c r="J65" s="20"/>
      <c r="K65" s="20"/>
      <c r="L65" s="22">
        <f t="shared" si="4"/>
        <v>-3</v>
      </c>
      <c r="M65" s="38">
        <f t="shared" si="5"/>
        <v>1</v>
      </c>
      <c r="N65" s="22">
        <f t="shared" si="6"/>
        <v>9</v>
      </c>
      <c r="O65" s="20"/>
      <c r="P65" s="22">
        <f t="shared" si="7"/>
        <v>-4</v>
      </c>
      <c r="Q65" s="38">
        <f t="shared" si="8"/>
        <v>1</v>
      </c>
      <c r="R65" s="22">
        <f t="shared" si="9"/>
        <v>16</v>
      </c>
      <c r="S65" s="20"/>
      <c r="T65" s="22">
        <f t="shared" si="10"/>
        <v>-10</v>
      </c>
      <c r="U65" s="38">
        <f t="shared" si="11"/>
        <v>1</v>
      </c>
      <c r="V65" s="22">
        <f t="shared" si="12"/>
        <v>100</v>
      </c>
    </row>
    <row r="66">
      <c r="A66" s="2">
        <v>40634.0</v>
      </c>
      <c r="B66" s="5">
        <v>0.0</v>
      </c>
      <c r="C66" s="22">
        <f t="shared" si="2"/>
        <v>3</v>
      </c>
      <c r="D66" s="22">
        <f t="shared" si="3"/>
        <v>3</v>
      </c>
      <c r="E66" s="22">
        <f t="shared" si="1"/>
        <v>4</v>
      </c>
      <c r="F66" s="20"/>
      <c r="G66" s="20"/>
      <c r="H66" s="20"/>
      <c r="I66" s="20"/>
      <c r="J66" s="20"/>
      <c r="K66" s="20"/>
      <c r="L66" s="22">
        <f t="shared" si="4"/>
        <v>-3</v>
      </c>
      <c r="M66" s="38">
        <f t="shared" si="5"/>
        <v>1</v>
      </c>
      <c r="N66" s="22">
        <f t="shared" si="6"/>
        <v>9</v>
      </c>
      <c r="O66" s="20"/>
      <c r="P66" s="22">
        <f t="shared" si="7"/>
        <v>-3</v>
      </c>
      <c r="Q66" s="38">
        <f t="shared" si="8"/>
        <v>1</v>
      </c>
      <c r="R66" s="22">
        <f t="shared" si="9"/>
        <v>9</v>
      </c>
      <c r="S66" s="20"/>
      <c r="T66" s="22">
        <f t="shared" si="10"/>
        <v>-4</v>
      </c>
      <c r="U66" s="38">
        <f t="shared" si="11"/>
        <v>1</v>
      </c>
      <c r="V66" s="22">
        <f t="shared" si="12"/>
        <v>16</v>
      </c>
    </row>
    <row r="67">
      <c r="A67" s="2">
        <v>40637.0</v>
      </c>
      <c r="B67" s="5">
        <v>0.0</v>
      </c>
      <c r="C67" s="22">
        <f t="shared" si="2"/>
        <v>3</v>
      </c>
      <c r="D67" s="22">
        <f t="shared" si="3"/>
        <v>3</v>
      </c>
      <c r="E67" s="22">
        <f t="shared" si="1"/>
        <v>2</v>
      </c>
      <c r="F67" s="20"/>
      <c r="G67" s="20"/>
      <c r="H67" s="20"/>
      <c r="I67" s="20"/>
      <c r="J67" s="20"/>
      <c r="K67" s="20"/>
      <c r="L67" s="22">
        <f t="shared" si="4"/>
        <v>-3</v>
      </c>
      <c r="M67" s="38">
        <f t="shared" si="5"/>
        <v>1</v>
      </c>
      <c r="N67" s="22">
        <f t="shared" si="6"/>
        <v>9</v>
      </c>
      <c r="O67" s="20"/>
      <c r="P67" s="22">
        <f t="shared" si="7"/>
        <v>-3</v>
      </c>
      <c r="Q67" s="38">
        <f t="shared" si="8"/>
        <v>1</v>
      </c>
      <c r="R67" s="22">
        <f t="shared" si="9"/>
        <v>9</v>
      </c>
      <c r="S67" s="20"/>
      <c r="T67" s="22">
        <f t="shared" si="10"/>
        <v>-2</v>
      </c>
      <c r="U67" s="38">
        <f t="shared" si="11"/>
        <v>1</v>
      </c>
      <c r="V67" s="22">
        <f t="shared" si="12"/>
        <v>4</v>
      </c>
    </row>
    <row r="68">
      <c r="A68" s="2">
        <v>40638.0</v>
      </c>
      <c r="B68" s="5">
        <v>0.0</v>
      </c>
      <c r="C68" s="22">
        <f t="shared" si="2"/>
        <v>3</v>
      </c>
      <c r="D68" s="22">
        <f t="shared" si="3"/>
        <v>3</v>
      </c>
      <c r="E68" s="22">
        <f t="shared" si="1"/>
        <v>1</v>
      </c>
      <c r="F68" s="20"/>
      <c r="G68" s="20"/>
      <c r="H68" s="20"/>
      <c r="I68" s="20"/>
      <c r="J68" s="20"/>
      <c r="K68" s="20"/>
      <c r="L68" s="22">
        <f t="shared" si="4"/>
        <v>-3</v>
      </c>
      <c r="M68" s="38">
        <f t="shared" si="5"/>
        <v>1</v>
      </c>
      <c r="N68" s="22">
        <f t="shared" si="6"/>
        <v>9</v>
      </c>
      <c r="O68" s="20"/>
      <c r="P68" s="22">
        <f t="shared" si="7"/>
        <v>-3</v>
      </c>
      <c r="Q68" s="38">
        <f t="shared" si="8"/>
        <v>1</v>
      </c>
      <c r="R68" s="22">
        <f t="shared" si="9"/>
        <v>9</v>
      </c>
      <c r="S68" s="20"/>
      <c r="T68" s="22">
        <f t="shared" si="10"/>
        <v>-1</v>
      </c>
      <c r="U68" s="38">
        <f t="shared" si="11"/>
        <v>1</v>
      </c>
      <c r="V68" s="22">
        <f t="shared" si="12"/>
        <v>1</v>
      </c>
    </row>
    <row r="69">
      <c r="A69" s="2">
        <v>40639.0</v>
      </c>
      <c r="B69" s="5">
        <v>21.0</v>
      </c>
      <c r="C69" s="22">
        <f t="shared" si="2"/>
        <v>3</v>
      </c>
      <c r="D69" s="22">
        <f t="shared" si="3"/>
        <v>3</v>
      </c>
      <c r="E69" s="22">
        <f t="shared" si="1"/>
        <v>0</v>
      </c>
      <c r="F69" s="20"/>
      <c r="G69" s="20"/>
      <c r="H69" s="20"/>
      <c r="I69" s="20"/>
      <c r="J69" s="20"/>
      <c r="K69" s="20"/>
      <c r="L69" s="22">
        <f t="shared" si="4"/>
        <v>18</v>
      </c>
      <c r="M69" s="38">
        <f t="shared" si="5"/>
        <v>0.8571428571</v>
      </c>
      <c r="N69" s="22">
        <f t="shared" si="6"/>
        <v>324</v>
      </c>
      <c r="O69" s="20"/>
      <c r="P69" s="22">
        <f t="shared" si="7"/>
        <v>18</v>
      </c>
      <c r="Q69" s="38">
        <f t="shared" si="8"/>
        <v>0.8571428571</v>
      </c>
      <c r="R69" s="22">
        <f t="shared" si="9"/>
        <v>324</v>
      </c>
      <c r="S69" s="20"/>
      <c r="T69" s="22">
        <f t="shared" si="10"/>
        <v>21</v>
      </c>
      <c r="U69" s="38">
        <f t="shared" si="11"/>
        <v>1</v>
      </c>
      <c r="V69" s="22">
        <f t="shared" si="12"/>
        <v>441</v>
      </c>
    </row>
    <row r="70">
      <c r="A70" s="2">
        <v>40640.0</v>
      </c>
      <c r="B70" s="5">
        <v>0.0</v>
      </c>
      <c r="C70" s="22">
        <f t="shared" si="2"/>
        <v>4</v>
      </c>
      <c r="D70" s="22">
        <f t="shared" si="3"/>
        <v>4</v>
      </c>
      <c r="E70" s="22">
        <f t="shared" si="1"/>
        <v>13</v>
      </c>
      <c r="F70" s="20"/>
      <c r="G70" s="20"/>
      <c r="H70" s="20"/>
      <c r="I70" s="20"/>
      <c r="J70" s="20"/>
      <c r="K70" s="20"/>
      <c r="L70" s="22">
        <f t="shared" si="4"/>
        <v>-4</v>
      </c>
      <c r="M70" s="38">
        <f t="shared" si="5"/>
        <v>1</v>
      </c>
      <c r="N70" s="22">
        <f t="shared" si="6"/>
        <v>16</v>
      </c>
      <c r="O70" s="20"/>
      <c r="P70" s="22">
        <f t="shared" si="7"/>
        <v>-4</v>
      </c>
      <c r="Q70" s="38">
        <f t="shared" si="8"/>
        <v>1</v>
      </c>
      <c r="R70" s="22">
        <f t="shared" si="9"/>
        <v>16</v>
      </c>
      <c r="S70" s="20"/>
      <c r="T70" s="22">
        <f t="shared" si="10"/>
        <v>-13</v>
      </c>
      <c r="U70" s="38">
        <f t="shared" si="11"/>
        <v>1</v>
      </c>
      <c r="V70" s="22">
        <f t="shared" si="12"/>
        <v>169</v>
      </c>
    </row>
    <row r="71">
      <c r="A71" s="2">
        <v>40641.0</v>
      </c>
      <c r="B71" s="5">
        <v>0.0</v>
      </c>
      <c r="C71" s="22">
        <f t="shared" si="2"/>
        <v>4</v>
      </c>
      <c r="D71" s="22">
        <f t="shared" si="3"/>
        <v>4</v>
      </c>
      <c r="E71" s="22">
        <f t="shared" si="1"/>
        <v>5</v>
      </c>
      <c r="F71" s="20"/>
      <c r="G71" s="20"/>
      <c r="H71" s="20"/>
      <c r="I71" s="20"/>
      <c r="J71" s="20"/>
      <c r="K71" s="20"/>
      <c r="L71" s="22">
        <f t="shared" si="4"/>
        <v>-4</v>
      </c>
      <c r="M71" s="38">
        <f t="shared" si="5"/>
        <v>1</v>
      </c>
      <c r="N71" s="22">
        <f t="shared" si="6"/>
        <v>16</v>
      </c>
      <c r="O71" s="20"/>
      <c r="P71" s="22">
        <f t="shared" si="7"/>
        <v>-4</v>
      </c>
      <c r="Q71" s="38">
        <f t="shared" si="8"/>
        <v>1</v>
      </c>
      <c r="R71" s="22">
        <f t="shared" si="9"/>
        <v>16</v>
      </c>
      <c r="S71" s="20"/>
      <c r="T71" s="22">
        <f t="shared" si="10"/>
        <v>-5</v>
      </c>
      <c r="U71" s="38">
        <f t="shared" si="11"/>
        <v>1</v>
      </c>
      <c r="V71" s="22">
        <f t="shared" si="12"/>
        <v>25</v>
      </c>
    </row>
    <row r="72">
      <c r="A72" s="2">
        <v>40644.0</v>
      </c>
      <c r="B72" s="5">
        <v>0.0</v>
      </c>
      <c r="C72" s="22">
        <f t="shared" si="2"/>
        <v>4</v>
      </c>
      <c r="D72" s="22">
        <f t="shared" si="3"/>
        <v>3</v>
      </c>
      <c r="E72" s="22">
        <f t="shared" si="1"/>
        <v>2</v>
      </c>
      <c r="F72" s="20"/>
      <c r="G72" s="20"/>
      <c r="H72" s="20"/>
      <c r="I72" s="20"/>
      <c r="J72" s="20"/>
      <c r="K72" s="20"/>
      <c r="L72" s="22">
        <f t="shared" si="4"/>
        <v>-4</v>
      </c>
      <c r="M72" s="38">
        <f t="shared" si="5"/>
        <v>1</v>
      </c>
      <c r="N72" s="22">
        <f t="shared" si="6"/>
        <v>16</v>
      </c>
      <c r="O72" s="20"/>
      <c r="P72" s="22">
        <f t="shared" si="7"/>
        <v>-3</v>
      </c>
      <c r="Q72" s="38">
        <f t="shared" si="8"/>
        <v>1</v>
      </c>
      <c r="R72" s="22">
        <f t="shared" si="9"/>
        <v>9</v>
      </c>
      <c r="S72" s="20"/>
      <c r="T72" s="22">
        <f t="shared" si="10"/>
        <v>-2</v>
      </c>
      <c r="U72" s="38">
        <f t="shared" si="11"/>
        <v>1</v>
      </c>
      <c r="V72" s="22">
        <f t="shared" si="12"/>
        <v>4</v>
      </c>
    </row>
    <row r="73">
      <c r="A73" s="2">
        <v>40645.0</v>
      </c>
      <c r="B73" s="5">
        <v>0.0</v>
      </c>
      <c r="C73" s="22">
        <f t="shared" si="2"/>
        <v>4</v>
      </c>
      <c r="D73" s="22">
        <f t="shared" si="3"/>
        <v>3</v>
      </c>
      <c r="E73" s="22">
        <f t="shared" si="1"/>
        <v>1</v>
      </c>
      <c r="F73" s="20"/>
      <c r="G73" s="20"/>
      <c r="H73" s="20"/>
      <c r="I73" s="20"/>
      <c r="J73" s="20"/>
      <c r="K73" s="20"/>
      <c r="L73" s="22">
        <f t="shared" si="4"/>
        <v>-4</v>
      </c>
      <c r="M73" s="38">
        <f t="shared" si="5"/>
        <v>1</v>
      </c>
      <c r="N73" s="22">
        <f t="shared" si="6"/>
        <v>16</v>
      </c>
      <c r="O73" s="20"/>
      <c r="P73" s="22">
        <f t="shared" si="7"/>
        <v>-3</v>
      </c>
      <c r="Q73" s="38">
        <f t="shared" si="8"/>
        <v>1</v>
      </c>
      <c r="R73" s="22">
        <f t="shared" si="9"/>
        <v>9</v>
      </c>
      <c r="S73" s="20"/>
      <c r="T73" s="22">
        <f t="shared" si="10"/>
        <v>-1</v>
      </c>
      <c r="U73" s="38">
        <f t="shared" si="11"/>
        <v>1</v>
      </c>
      <c r="V73" s="22">
        <f t="shared" si="12"/>
        <v>1</v>
      </c>
    </row>
    <row r="74">
      <c r="A74" s="2">
        <v>40646.0</v>
      </c>
      <c r="B74" s="5">
        <v>21.0</v>
      </c>
      <c r="C74" s="22">
        <f t="shared" si="2"/>
        <v>4</v>
      </c>
      <c r="D74" s="22">
        <f t="shared" si="3"/>
        <v>3</v>
      </c>
      <c r="E74" s="22">
        <f t="shared" si="1"/>
        <v>0</v>
      </c>
      <c r="F74" s="20"/>
      <c r="G74" s="20"/>
      <c r="H74" s="20"/>
      <c r="I74" s="20"/>
      <c r="J74" s="20"/>
      <c r="K74" s="20"/>
      <c r="L74" s="22">
        <f t="shared" si="4"/>
        <v>17</v>
      </c>
      <c r="M74" s="38">
        <f t="shared" si="5"/>
        <v>0.8095238095</v>
      </c>
      <c r="N74" s="22">
        <f t="shared" si="6"/>
        <v>289</v>
      </c>
      <c r="O74" s="20"/>
      <c r="P74" s="22">
        <f t="shared" si="7"/>
        <v>18</v>
      </c>
      <c r="Q74" s="38">
        <f t="shared" si="8"/>
        <v>0.8571428571</v>
      </c>
      <c r="R74" s="22">
        <f t="shared" si="9"/>
        <v>324</v>
      </c>
      <c r="S74" s="20"/>
      <c r="T74" s="22">
        <f t="shared" si="10"/>
        <v>21</v>
      </c>
      <c r="U74" s="38">
        <f t="shared" si="11"/>
        <v>1</v>
      </c>
      <c r="V74" s="22">
        <f t="shared" si="12"/>
        <v>441</v>
      </c>
    </row>
    <row r="75">
      <c r="A75" s="2">
        <v>40647.0</v>
      </c>
      <c r="B75" s="5">
        <v>0.0</v>
      </c>
      <c r="C75" s="22">
        <f t="shared" si="2"/>
        <v>4</v>
      </c>
      <c r="D75" s="22">
        <f t="shared" si="3"/>
        <v>4</v>
      </c>
      <c r="E75" s="22">
        <f t="shared" si="1"/>
        <v>13</v>
      </c>
      <c r="F75" s="20"/>
      <c r="G75" s="20"/>
      <c r="H75" s="20"/>
      <c r="I75" s="20"/>
      <c r="J75" s="20"/>
      <c r="K75" s="20"/>
      <c r="L75" s="22">
        <f t="shared" si="4"/>
        <v>-4</v>
      </c>
      <c r="M75" s="38">
        <f t="shared" si="5"/>
        <v>1</v>
      </c>
      <c r="N75" s="22">
        <f t="shared" si="6"/>
        <v>16</v>
      </c>
      <c r="O75" s="20"/>
      <c r="P75" s="22">
        <f t="shared" si="7"/>
        <v>-4</v>
      </c>
      <c r="Q75" s="38">
        <f t="shared" si="8"/>
        <v>1</v>
      </c>
      <c r="R75" s="22">
        <f t="shared" si="9"/>
        <v>16</v>
      </c>
      <c r="S75" s="20"/>
      <c r="T75" s="22">
        <f t="shared" si="10"/>
        <v>-13</v>
      </c>
      <c r="U75" s="38">
        <f t="shared" si="11"/>
        <v>1</v>
      </c>
      <c r="V75" s="22">
        <f t="shared" si="12"/>
        <v>169</v>
      </c>
    </row>
    <row r="76">
      <c r="A76" s="2">
        <v>40648.0</v>
      </c>
      <c r="B76" s="5">
        <v>0.0</v>
      </c>
      <c r="C76" s="22">
        <f t="shared" si="2"/>
        <v>4</v>
      </c>
      <c r="D76" s="22">
        <f t="shared" si="3"/>
        <v>4</v>
      </c>
      <c r="E76" s="22">
        <f t="shared" si="1"/>
        <v>5</v>
      </c>
      <c r="F76" s="20"/>
      <c r="G76" s="20"/>
      <c r="H76" s="20"/>
      <c r="I76" s="20"/>
      <c r="J76" s="20"/>
      <c r="K76" s="20"/>
      <c r="L76" s="22">
        <f t="shared" si="4"/>
        <v>-4</v>
      </c>
      <c r="M76" s="38">
        <f t="shared" si="5"/>
        <v>1</v>
      </c>
      <c r="N76" s="22">
        <f t="shared" si="6"/>
        <v>16</v>
      </c>
      <c r="O76" s="20"/>
      <c r="P76" s="22">
        <f t="shared" si="7"/>
        <v>-4</v>
      </c>
      <c r="Q76" s="38">
        <f t="shared" si="8"/>
        <v>1</v>
      </c>
      <c r="R76" s="22">
        <f t="shared" si="9"/>
        <v>16</v>
      </c>
      <c r="S76" s="20"/>
      <c r="T76" s="22">
        <f t="shared" si="10"/>
        <v>-5</v>
      </c>
      <c r="U76" s="38">
        <f t="shared" si="11"/>
        <v>1</v>
      </c>
      <c r="V76" s="22">
        <f t="shared" si="12"/>
        <v>25</v>
      </c>
    </row>
    <row r="77">
      <c r="A77" s="2">
        <v>40651.0</v>
      </c>
      <c r="B77" s="5">
        <v>0.0</v>
      </c>
      <c r="C77" s="22">
        <f t="shared" si="2"/>
        <v>4</v>
      </c>
      <c r="D77" s="22">
        <f t="shared" si="3"/>
        <v>4</v>
      </c>
      <c r="E77" s="22">
        <f t="shared" si="1"/>
        <v>2</v>
      </c>
      <c r="F77" s="20"/>
      <c r="G77" s="20"/>
      <c r="H77" s="20"/>
      <c r="I77" s="20"/>
      <c r="J77" s="20"/>
      <c r="K77" s="20"/>
      <c r="L77" s="22">
        <f t="shared" si="4"/>
        <v>-4</v>
      </c>
      <c r="M77" s="38">
        <f t="shared" si="5"/>
        <v>1</v>
      </c>
      <c r="N77" s="22">
        <f t="shared" si="6"/>
        <v>16</v>
      </c>
      <c r="O77" s="20"/>
      <c r="P77" s="22">
        <f t="shared" si="7"/>
        <v>-4</v>
      </c>
      <c r="Q77" s="38">
        <f t="shared" si="8"/>
        <v>1</v>
      </c>
      <c r="R77" s="22">
        <f t="shared" si="9"/>
        <v>16</v>
      </c>
      <c r="S77" s="20"/>
      <c r="T77" s="22">
        <f t="shared" si="10"/>
        <v>-2</v>
      </c>
      <c r="U77" s="38">
        <f t="shared" si="11"/>
        <v>1</v>
      </c>
      <c r="V77" s="22">
        <f t="shared" si="12"/>
        <v>4</v>
      </c>
    </row>
    <row r="78">
      <c r="A78" s="2">
        <v>40652.0</v>
      </c>
      <c r="B78" s="5">
        <v>0.0</v>
      </c>
      <c r="C78" s="22">
        <f t="shared" si="2"/>
        <v>4</v>
      </c>
      <c r="D78" s="22">
        <f t="shared" si="3"/>
        <v>3</v>
      </c>
      <c r="E78" s="22">
        <f t="shared" si="1"/>
        <v>1</v>
      </c>
      <c r="F78" s="20"/>
      <c r="G78" s="20"/>
      <c r="H78" s="20"/>
      <c r="I78" s="20"/>
      <c r="J78" s="20"/>
      <c r="K78" s="20"/>
      <c r="L78" s="22">
        <f t="shared" si="4"/>
        <v>-4</v>
      </c>
      <c r="M78" s="38">
        <f t="shared" si="5"/>
        <v>1</v>
      </c>
      <c r="N78" s="22">
        <f t="shared" si="6"/>
        <v>16</v>
      </c>
      <c r="O78" s="20"/>
      <c r="P78" s="22">
        <f t="shared" si="7"/>
        <v>-3</v>
      </c>
      <c r="Q78" s="38">
        <f t="shared" si="8"/>
        <v>1</v>
      </c>
      <c r="R78" s="22">
        <f t="shared" si="9"/>
        <v>9</v>
      </c>
      <c r="S78" s="20"/>
      <c r="T78" s="22">
        <f t="shared" si="10"/>
        <v>-1</v>
      </c>
      <c r="U78" s="38">
        <f t="shared" si="11"/>
        <v>1</v>
      </c>
      <c r="V78" s="22">
        <f t="shared" si="12"/>
        <v>1</v>
      </c>
    </row>
    <row r="79">
      <c r="A79" s="2">
        <v>40653.0</v>
      </c>
      <c r="B79" s="5">
        <v>19.0</v>
      </c>
      <c r="C79" s="22">
        <f t="shared" si="2"/>
        <v>4</v>
      </c>
      <c r="D79" s="22">
        <f t="shared" si="3"/>
        <v>3</v>
      </c>
      <c r="E79" s="22">
        <f t="shared" si="1"/>
        <v>0</v>
      </c>
      <c r="F79" s="20"/>
      <c r="G79" s="20"/>
      <c r="H79" s="20"/>
      <c r="I79" s="20"/>
      <c r="J79" s="20"/>
      <c r="K79" s="20"/>
      <c r="L79" s="22">
        <f t="shared" si="4"/>
        <v>15</v>
      </c>
      <c r="M79" s="38">
        <f t="shared" si="5"/>
        <v>0.7894736842</v>
      </c>
      <c r="N79" s="22">
        <f t="shared" si="6"/>
        <v>225</v>
      </c>
      <c r="O79" s="20"/>
      <c r="P79" s="22">
        <f t="shared" si="7"/>
        <v>16</v>
      </c>
      <c r="Q79" s="38">
        <f t="shared" si="8"/>
        <v>0.8421052632</v>
      </c>
      <c r="R79" s="22">
        <f t="shared" si="9"/>
        <v>256</v>
      </c>
      <c r="S79" s="20"/>
      <c r="T79" s="22">
        <f t="shared" si="10"/>
        <v>19</v>
      </c>
      <c r="U79" s="38">
        <f t="shared" si="11"/>
        <v>1</v>
      </c>
      <c r="V79" s="22">
        <f t="shared" si="12"/>
        <v>361</v>
      </c>
    </row>
    <row r="80">
      <c r="A80" s="2">
        <v>40654.0</v>
      </c>
      <c r="B80" s="5">
        <v>0.0</v>
      </c>
      <c r="C80" s="22">
        <f t="shared" si="2"/>
        <v>4</v>
      </c>
      <c r="D80" s="22">
        <f t="shared" si="3"/>
        <v>4</v>
      </c>
      <c r="E80" s="22">
        <f t="shared" si="1"/>
        <v>11</v>
      </c>
      <c r="F80" s="20"/>
      <c r="G80" s="20"/>
      <c r="H80" s="20"/>
      <c r="I80" s="20"/>
      <c r="J80" s="20"/>
      <c r="K80" s="20"/>
      <c r="L80" s="22">
        <f t="shared" si="4"/>
        <v>-4</v>
      </c>
      <c r="M80" s="38">
        <f t="shared" si="5"/>
        <v>1</v>
      </c>
      <c r="N80" s="22">
        <f t="shared" si="6"/>
        <v>16</v>
      </c>
      <c r="O80" s="20"/>
      <c r="P80" s="22">
        <f t="shared" si="7"/>
        <v>-4</v>
      </c>
      <c r="Q80" s="38">
        <f t="shared" si="8"/>
        <v>1</v>
      </c>
      <c r="R80" s="22">
        <f t="shared" si="9"/>
        <v>16</v>
      </c>
      <c r="S80" s="20"/>
      <c r="T80" s="22">
        <f t="shared" si="10"/>
        <v>-11</v>
      </c>
      <c r="U80" s="38">
        <f t="shared" si="11"/>
        <v>1</v>
      </c>
      <c r="V80" s="22">
        <f t="shared" si="12"/>
        <v>121</v>
      </c>
    </row>
    <row r="81">
      <c r="A81" s="2">
        <v>40655.0</v>
      </c>
      <c r="B81" s="5">
        <v>0.0</v>
      </c>
      <c r="C81" s="22">
        <f t="shared" si="2"/>
        <v>4</v>
      </c>
      <c r="D81" s="22">
        <f t="shared" si="3"/>
        <v>4</v>
      </c>
      <c r="E81" s="22">
        <f t="shared" si="1"/>
        <v>4</v>
      </c>
      <c r="F81" s="20"/>
      <c r="G81" s="20"/>
      <c r="H81" s="20"/>
      <c r="I81" s="20"/>
      <c r="J81" s="20"/>
      <c r="K81" s="20"/>
      <c r="L81" s="22">
        <f t="shared" si="4"/>
        <v>-4</v>
      </c>
      <c r="M81" s="38">
        <f t="shared" si="5"/>
        <v>1</v>
      </c>
      <c r="N81" s="22">
        <f t="shared" si="6"/>
        <v>16</v>
      </c>
      <c r="O81" s="20"/>
      <c r="P81" s="22">
        <f t="shared" si="7"/>
        <v>-4</v>
      </c>
      <c r="Q81" s="38">
        <f t="shared" si="8"/>
        <v>1</v>
      </c>
      <c r="R81" s="22">
        <f t="shared" si="9"/>
        <v>16</v>
      </c>
      <c r="S81" s="20"/>
      <c r="T81" s="22">
        <f t="shared" si="10"/>
        <v>-4</v>
      </c>
      <c r="U81" s="38">
        <f t="shared" si="11"/>
        <v>1</v>
      </c>
      <c r="V81" s="22">
        <f t="shared" si="12"/>
        <v>16</v>
      </c>
    </row>
    <row r="82">
      <c r="A82" s="2">
        <v>40658.0</v>
      </c>
      <c r="B82" s="5">
        <v>0.0</v>
      </c>
      <c r="C82" s="22">
        <f t="shared" si="2"/>
        <v>4</v>
      </c>
      <c r="D82" s="22">
        <f t="shared" si="3"/>
        <v>4</v>
      </c>
      <c r="E82" s="22">
        <f t="shared" si="1"/>
        <v>2</v>
      </c>
      <c r="F82" s="20"/>
      <c r="G82" s="20"/>
      <c r="H82" s="20"/>
      <c r="I82" s="20"/>
      <c r="J82" s="20"/>
      <c r="K82" s="20"/>
      <c r="L82" s="22">
        <f t="shared" si="4"/>
        <v>-4</v>
      </c>
      <c r="M82" s="38">
        <f t="shared" si="5"/>
        <v>1</v>
      </c>
      <c r="N82" s="22">
        <f t="shared" si="6"/>
        <v>16</v>
      </c>
      <c r="O82" s="20"/>
      <c r="P82" s="22">
        <f t="shared" si="7"/>
        <v>-4</v>
      </c>
      <c r="Q82" s="38">
        <f t="shared" si="8"/>
        <v>1</v>
      </c>
      <c r="R82" s="22">
        <f t="shared" si="9"/>
        <v>16</v>
      </c>
      <c r="S82" s="20"/>
      <c r="T82" s="22">
        <f t="shared" si="10"/>
        <v>-2</v>
      </c>
      <c r="U82" s="38">
        <f t="shared" si="11"/>
        <v>1</v>
      </c>
      <c r="V82" s="22">
        <f t="shared" si="12"/>
        <v>4</v>
      </c>
    </row>
    <row r="83">
      <c r="A83" s="2">
        <v>40659.0</v>
      </c>
      <c r="B83" s="5">
        <v>0.0</v>
      </c>
      <c r="C83" s="22">
        <f t="shared" si="2"/>
        <v>4</v>
      </c>
      <c r="D83" s="22">
        <f t="shared" si="3"/>
        <v>3</v>
      </c>
      <c r="E83" s="22">
        <f t="shared" si="1"/>
        <v>1</v>
      </c>
      <c r="F83" s="20"/>
      <c r="G83" s="20"/>
      <c r="H83" s="20"/>
      <c r="I83" s="20"/>
      <c r="J83" s="20"/>
      <c r="K83" s="20"/>
      <c r="L83" s="22">
        <f t="shared" si="4"/>
        <v>-4</v>
      </c>
      <c r="M83" s="38">
        <f t="shared" si="5"/>
        <v>1</v>
      </c>
      <c r="N83" s="22">
        <f t="shared" si="6"/>
        <v>16</v>
      </c>
      <c r="O83" s="20"/>
      <c r="P83" s="22">
        <f t="shared" si="7"/>
        <v>-3</v>
      </c>
      <c r="Q83" s="38">
        <f t="shared" si="8"/>
        <v>1</v>
      </c>
      <c r="R83" s="22">
        <f t="shared" si="9"/>
        <v>9</v>
      </c>
      <c r="S83" s="20"/>
      <c r="T83" s="22">
        <f t="shared" si="10"/>
        <v>-1</v>
      </c>
      <c r="U83" s="38">
        <f t="shared" si="11"/>
        <v>1</v>
      </c>
      <c r="V83" s="22">
        <f t="shared" si="12"/>
        <v>1</v>
      </c>
    </row>
    <row r="84">
      <c r="A84" s="2">
        <v>40660.0</v>
      </c>
      <c r="B84" s="5">
        <v>19.0</v>
      </c>
      <c r="C84" s="22">
        <f t="shared" si="2"/>
        <v>4</v>
      </c>
      <c r="D84" s="22">
        <f t="shared" si="3"/>
        <v>3</v>
      </c>
      <c r="E84" s="22">
        <f t="shared" si="1"/>
        <v>0</v>
      </c>
      <c r="F84" s="20"/>
      <c r="G84" s="20"/>
      <c r="H84" s="20"/>
      <c r="I84" s="20"/>
      <c r="J84" s="20"/>
      <c r="K84" s="20"/>
      <c r="L84" s="22">
        <f t="shared" si="4"/>
        <v>15</v>
      </c>
      <c r="M84" s="38">
        <f t="shared" si="5"/>
        <v>0.7894736842</v>
      </c>
      <c r="N84" s="22">
        <f t="shared" si="6"/>
        <v>225</v>
      </c>
      <c r="O84" s="20"/>
      <c r="P84" s="22">
        <f t="shared" si="7"/>
        <v>16</v>
      </c>
      <c r="Q84" s="38">
        <f t="shared" si="8"/>
        <v>0.8421052632</v>
      </c>
      <c r="R84" s="22">
        <f t="shared" si="9"/>
        <v>256</v>
      </c>
      <c r="S84" s="20"/>
      <c r="T84" s="22">
        <f t="shared" si="10"/>
        <v>19</v>
      </c>
      <c r="U84" s="38">
        <f t="shared" si="11"/>
        <v>1</v>
      </c>
      <c r="V84" s="22">
        <f t="shared" si="12"/>
        <v>361</v>
      </c>
    </row>
    <row r="85">
      <c r="A85" s="2">
        <v>40661.0</v>
      </c>
      <c r="B85" s="5">
        <v>0.0</v>
      </c>
      <c r="C85" s="22">
        <f t="shared" si="2"/>
        <v>4</v>
      </c>
      <c r="D85" s="22">
        <f t="shared" si="3"/>
        <v>4</v>
      </c>
      <c r="E85" s="22">
        <f t="shared" si="1"/>
        <v>11</v>
      </c>
      <c r="F85" s="20"/>
      <c r="G85" s="20"/>
      <c r="H85" s="20"/>
      <c r="I85" s="20"/>
      <c r="J85" s="20"/>
      <c r="K85" s="20"/>
      <c r="L85" s="22">
        <f t="shared" si="4"/>
        <v>-4</v>
      </c>
      <c r="M85" s="38">
        <f t="shared" si="5"/>
        <v>1</v>
      </c>
      <c r="N85" s="22">
        <f t="shared" si="6"/>
        <v>16</v>
      </c>
      <c r="O85" s="20"/>
      <c r="P85" s="22">
        <f t="shared" si="7"/>
        <v>-4</v>
      </c>
      <c r="Q85" s="38">
        <f t="shared" si="8"/>
        <v>1</v>
      </c>
      <c r="R85" s="22">
        <f t="shared" si="9"/>
        <v>16</v>
      </c>
      <c r="S85" s="20"/>
      <c r="T85" s="22">
        <f t="shared" si="10"/>
        <v>-11</v>
      </c>
      <c r="U85" s="38">
        <f t="shared" si="11"/>
        <v>1</v>
      </c>
      <c r="V85" s="22">
        <f t="shared" si="12"/>
        <v>121</v>
      </c>
    </row>
    <row r="86">
      <c r="A86" s="2">
        <v>40662.0</v>
      </c>
      <c r="B86" s="5">
        <v>0.0</v>
      </c>
      <c r="C86" s="22">
        <f t="shared" si="2"/>
        <v>4</v>
      </c>
      <c r="D86" s="22">
        <f t="shared" si="3"/>
        <v>4</v>
      </c>
      <c r="E86" s="22">
        <f t="shared" si="1"/>
        <v>4</v>
      </c>
      <c r="F86" s="20"/>
      <c r="G86" s="20"/>
      <c r="H86" s="20"/>
      <c r="I86" s="20"/>
      <c r="J86" s="20"/>
      <c r="K86" s="20"/>
      <c r="L86" s="22">
        <f t="shared" si="4"/>
        <v>-4</v>
      </c>
      <c r="M86" s="38">
        <f t="shared" si="5"/>
        <v>1</v>
      </c>
      <c r="N86" s="22">
        <f t="shared" si="6"/>
        <v>16</v>
      </c>
      <c r="O86" s="20"/>
      <c r="P86" s="22">
        <f t="shared" si="7"/>
        <v>-4</v>
      </c>
      <c r="Q86" s="38">
        <f t="shared" si="8"/>
        <v>1</v>
      </c>
      <c r="R86" s="22">
        <f t="shared" si="9"/>
        <v>16</v>
      </c>
      <c r="S86" s="20"/>
      <c r="T86" s="22">
        <f t="shared" si="10"/>
        <v>-4</v>
      </c>
      <c r="U86" s="38">
        <f t="shared" si="11"/>
        <v>1</v>
      </c>
      <c r="V86" s="22">
        <f t="shared" si="12"/>
        <v>16</v>
      </c>
    </row>
    <row r="87">
      <c r="A87" s="4">
        <v>40665.0</v>
      </c>
      <c r="B87" s="5">
        <v>0.0</v>
      </c>
      <c r="C87" s="22">
        <f t="shared" si="2"/>
        <v>4</v>
      </c>
      <c r="D87" s="22">
        <f t="shared" si="3"/>
        <v>4</v>
      </c>
      <c r="E87" s="22">
        <f t="shared" si="1"/>
        <v>2</v>
      </c>
      <c r="F87" s="20"/>
      <c r="G87" s="20"/>
      <c r="H87" s="20"/>
      <c r="I87" s="20"/>
      <c r="J87" s="20"/>
      <c r="K87" s="20"/>
      <c r="L87" s="22">
        <f t="shared" si="4"/>
        <v>-4</v>
      </c>
      <c r="M87" s="38">
        <f t="shared" si="5"/>
        <v>1</v>
      </c>
      <c r="N87" s="22">
        <f t="shared" si="6"/>
        <v>16</v>
      </c>
      <c r="O87" s="20"/>
      <c r="P87" s="22">
        <f t="shared" si="7"/>
        <v>-4</v>
      </c>
      <c r="Q87" s="38">
        <f t="shared" si="8"/>
        <v>1</v>
      </c>
      <c r="R87" s="22">
        <f t="shared" si="9"/>
        <v>16</v>
      </c>
      <c r="S87" s="20"/>
      <c r="T87" s="22">
        <f t="shared" si="10"/>
        <v>-2</v>
      </c>
      <c r="U87" s="38">
        <f t="shared" si="11"/>
        <v>1</v>
      </c>
      <c r="V87" s="22">
        <f t="shared" si="12"/>
        <v>4</v>
      </c>
    </row>
    <row r="88">
      <c r="A88" s="4">
        <v>40666.0</v>
      </c>
      <c r="B88" s="5">
        <v>0.0</v>
      </c>
      <c r="C88" s="22">
        <f t="shared" si="2"/>
        <v>4</v>
      </c>
      <c r="D88" s="22">
        <f t="shared" si="3"/>
        <v>4</v>
      </c>
      <c r="E88" s="22">
        <f t="shared" si="1"/>
        <v>1</v>
      </c>
      <c r="F88" s="20"/>
      <c r="G88" s="20"/>
      <c r="H88" s="20"/>
      <c r="I88" s="20"/>
      <c r="J88" s="20"/>
      <c r="K88" s="20"/>
      <c r="L88" s="22">
        <f t="shared" si="4"/>
        <v>-4</v>
      </c>
      <c r="M88" s="38">
        <f t="shared" si="5"/>
        <v>1</v>
      </c>
      <c r="N88" s="22">
        <f t="shared" si="6"/>
        <v>16</v>
      </c>
      <c r="O88" s="20"/>
      <c r="P88" s="22">
        <f t="shared" si="7"/>
        <v>-4</v>
      </c>
      <c r="Q88" s="38">
        <f t="shared" si="8"/>
        <v>1</v>
      </c>
      <c r="R88" s="22">
        <f t="shared" si="9"/>
        <v>16</v>
      </c>
      <c r="S88" s="20"/>
      <c r="T88" s="22">
        <f t="shared" si="10"/>
        <v>-1</v>
      </c>
      <c r="U88" s="38">
        <f t="shared" si="11"/>
        <v>1</v>
      </c>
      <c r="V88" s="22">
        <f t="shared" si="12"/>
        <v>1</v>
      </c>
    </row>
    <row r="89">
      <c r="A89" s="4">
        <v>40667.0</v>
      </c>
      <c r="B89" s="5">
        <v>21.0</v>
      </c>
      <c r="C89" s="22">
        <f t="shared" si="2"/>
        <v>4</v>
      </c>
      <c r="D89" s="22">
        <f t="shared" si="3"/>
        <v>3</v>
      </c>
      <c r="E89" s="22">
        <f t="shared" si="1"/>
        <v>0</v>
      </c>
      <c r="F89" s="20"/>
      <c r="G89" s="20"/>
      <c r="H89" s="20"/>
      <c r="I89" s="20"/>
      <c r="J89" s="20"/>
      <c r="K89" s="20"/>
      <c r="L89" s="22">
        <f t="shared" si="4"/>
        <v>17</v>
      </c>
      <c r="M89" s="38">
        <f t="shared" si="5"/>
        <v>0.8095238095</v>
      </c>
      <c r="N89" s="22">
        <f t="shared" si="6"/>
        <v>289</v>
      </c>
      <c r="O89" s="20"/>
      <c r="P89" s="22">
        <f t="shared" si="7"/>
        <v>18</v>
      </c>
      <c r="Q89" s="38">
        <f t="shared" si="8"/>
        <v>0.8571428571</v>
      </c>
      <c r="R89" s="22">
        <f t="shared" si="9"/>
        <v>324</v>
      </c>
      <c r="S89" s="20"/>
      <c r="T89" s="22">
        <f t="shared" si="10"/>
        <v>21</v>
      </c>
      <c r="U89" s="38">
        <f t="shared" si="11"/>
        <v>1</v>
      </c>
      <c r="V89" s="22">
        <f t="shared" si="12"/>
        <v>441</v>
      </c>
    </row>
    <row r="90">
      <c r="A90" s="4">
        <v>40668.0</v>
      </c>
      <c r="B90" s="5">
        <v>0.0</v>
      </c>
      <c r="C90" s="22">
        <f t="shared" si="2"/>
        <v>4</v>
      </c>
      <c r="D90" s="22">
        <f t="shared" si="3"/>
        <v>4</v>
      </c>
      <c r="E90" s="22">
        <f t="shared" si="1"/>
        <v>13</v>
      </c>
      <c r="F90" s="20"/>
      <c r="G90" s="20"/>
      <c r="H90" s="20"/>
      <c r="I90" s="20"/>
      <c r="J90" s="20"/>
      <c r="K90" s="20"/>
      <c r="L90" s="22">
        <f t="shared" si="4"/>
        <v>-4</v>
      </c>
      <c r="M90" s="38">
        <f t="shared" si="5"/>
        <v>1</v>
      </c>
      <c r="N90" s="22">
        <f t="shared" si="6"/>
        <v>16</v>
      </c>
      <c r="O90" s="20"/>
      <c r="P90" s="22">
        <f t="shared" si="7"/>
        <v>-4</v>
      </c>
      <c r="Q90" s="38">
        <f t="shared" si="8"/>
        <v>1</v>
      </c>
      <c r="R90" s="22">
        <f t="shared" si="9"/>
        <v>16</v>
      </c>
      <c r="S90" s="20"/>
      <c r="T90" s="22">
        <f t="shared" si="10"/>
        <v>-13</v>
      </c>
      <c r="U90" s="38">
        <f t="shared" si="11"/>
        <v>1</v>
      </c>
      <c r="V90" s="22">
        <f t="shared" si="12"/>
        <v>169</v>
      </c>
    </row>
    <row r="91">
      <c r="A91" s="4">
        <v>40669.0</v>
      </c>
      <c r="B91" s="5">
        <v>0.0</v>
      </c>
      <c r="C91" s="22">
        <f t="shared" si="2"/>
        <v>4</v>
      </c>
      <c r="D91" s="22">
        <f t="shared" si="3"/>
        <v>4</v>
      </c>
      <c r="E91" s="22">
        <f t="shared" si="1"/>
        <v>5</v>
      </c>
      <c r="F91" s="20"/>
      <c r="G91" s="20"/>
      <c r="H91" s="20"/>
      <c r="I91" s="20"/>
      <c r="J91" s="20"/>
      <c r="K91" s="20"/>
      <c r="L91" s="22">
        <f t="shared" si="4"/>
        <v>-4</v>
      </c>
      <c r="M91" s="38">
        <f t="shared" si="5"/>
        <v>1</v>
      </c>
      <c r="N91" s="22">
        <f t="shared" si="6"/>
        <v>16</v>
      </c>
      <c r="O91" s="20"/>
      <c r="P91" s="22">
        <f t="shared" si="7"/>
        <v>-4</v>
      </c>
      <c r="Q91" s="38">
        <f t="shared" si="8"/>
        <v>1</v>
      </c>
      <c r="R91" s="22">
        <f t="shared" si="9"/>
        <v>16</v>
      </c>
      <c r="S91" s="20"/>
      <c r="T91" s="22">
        <f t="shared" si="10"/>
        <v>-5</v>
      </c>
      <c r="U91" s="38">
        <f t="shared" si="11"/>
        <v>1</v>
      </c>
      <c r="V91" s="22">
        <f t="shared" si="12"/>
        <v>25</v>
      </c>
    </row>
    <row r="92">
      <c r="A92" s="4">
        <v>40672.0</v>
      </c>
      <c r="B92" s="5">
        <v>0.0</v>
      </c>
      <c r="C92" s="22">
        <f t="shared" si="2"/>
        <v>4</v>
      </c>
      <c r="D92" s="22">
        <f t="shared" si="3"/>
        <v>4</v>
      </c>
      <c r="E92" s="22">
        <f t="shared" si="1"/>
        <v>2</v>
      </c>
      <c r="F92" s="20"/>
      <c r="G92" s="20"/>
      <c r="H92" s="20"/>
      <c r="I92" s="20"/>
      <c r="J92" s="20"/>
      <c r="K92" s="20"/>
      <c r="L92" s="22">
        <f t="shared" si="4"/>
        <v>-4</v>
      </c>
      <c r="M92" s="38">
        <f t="shared" si="5"/>
        <v>1</v>
      </c>
      <c r="N92" s="22">
        <f t="shared" si="6"/>
        <v>16</v>
      </c>
      <c r="O92" s="20"/>
      <c r="P92" s="22">
        <f t="shared" si="7"/>
        <v>-4</v>
      </c>
      <c r="Q92" s="38">
        <f t="shared" si="8"/>
        <v>1</v>
      </c>
      <c r="R92" s="22">
        <f t="shared" si="9"/>
        <v>16</v>
      </c>
      <c r="S92" s="20"/>
      <c r="T92" s="22">
        <f t="shared" si="10"/>
        <v>-2</v>
      </c>
      <c r="U92" s="38">
        <f t="shared" si="11"/>
        <v>1</v>
      </c>
      <c r="V92" s="22">
        <f t="shared" si="12"/>
        <v>4</v>
      </c>
    </row>
    <row r="93">
      <c r="A93" s="4">
        <v>40673.0</v>
      </c>
      <c r="B93" s="5">
        <v>0.0</v>
      </c>
      <c r="C93" s="22">
        <f t="shared" si="2"/>
        <v>4</v>
      </c>
      <c r="D93" s="22">
        <f t="shared" si="3"/>
        <v>4</v>
      </c>
      <c r="E93" s="22">
        <f t="shared" si="1"/>
        <v>1</v>
      </c>
      <c r="F93" s="20"/>
      <c r="G93" s="20"/>
      <c r="H93" s="20"/>
      <c r="I93" s="20"/>
      <c r="J93" s="20"/>
      <c r="K93" s="20"/>
      <c r="L93" s="22">
        <f t="shared" si="4"/>
        <v>-4</v>
      </c>
      <c r="M93" s="38">
        <f t="shared" si="5"/>
        <v>1</v>
      </c>
      <c r="N93" s="22">
        <f t="shared" si="6"/>
        <v>16</v>
      </c>
      <c r="O93" s="20"/>
      <c r="P93" s="22">
        <f t="shared" si="7"/>
        <v>-4</v>
      </c>
      <c r="Q93" s="38">
        <f t="shared" si="8"/>
        <v>1</v>
      </c>
      <c r="R93" s="22">
        <f t="shared" si="9"/>
        <v>16</v>
      </c>
      <c r="S93" s="20"/>
      <c r="T93" s="22">
        <f t="shared" si="10"/>
        <v>-1</v>
      </c>
      <c r="U93" s="38">
        <f t="shared" si="11"/>
        <v>1</v>
      </c>
      <c r="V93" s="22">
        <f t="shared" si="12"/>
        <v>1</v>
      </c>
    </row>
    <row r="94">
      <c r="A94" s="4">
        <v>40674.0</v>
      </c>
      <c r="B94" s="5">
        <v>21.0</v>
      </c>
      <c r="C94" s="22">
        <f t="shared" si="2"/>
        <v>4</v>
      </c>
      <c r="D94" s="22">
        <f t="shared" si="3"/>
        <v>4</v>
      </c>
      <c r="E94" s="22">
        <f t="shared" si="1"/>
        <v>0</v>
      </c>
      <c r="F94" s="20"/>
      <c r="G94" s="20"/>
      <c r="H94" s="20"/>
      <c r="I94" s="20"/>
      <c r="J94" s="20"/>
      <c r="K94" s="20"/>
      <c r="L94" s="22">
        <f t="shared" si="4"/>
        <v>17</v>
      </c>
      <c r="M94" s="38">
        <f t="shared" si="5"/>
        <v>0.8095238095</v>
      </c>
      <c r="N94" s="22">
        <f t="shared" si="6"/>
        <v>289</v>
      </c>
      <c r="O94" s="20"/>
      <c r="P94" s="22">
        <f t="shared" si="7"/>
        <v>17</v>
      </c>
      <c r="Q94" s="38">
        <f t="shared" si="8"/>
        <v>0.8095238095</v>
      </c>
      <c r="R94" s="22">
        <f t="shared" si="9"/>
        <v>289</v>
      </c>
      <c r="S94" s="20"/>
      <c r="T94" s="22">
        <f t="shared" si="10"/>
        <v>21</v>
      </c>
      <c r="U94" s="38">
        <f t="shared" si="11"/>
        <v>1</v>
      </c>
      <c r="V94" s="22">
        <f t="shared" si="12"/>
        <v>441</v>
      </c>
    </row>
    <row r="95">
      <c r="A95" s="4">
        <v>40675.0</v>
      </c>
      <c r="B95" s="5">
        <v>0.0</v>
      </c>
      <c r="C95" s="22">
        <f t="shared" si="2"/>
        <v>4</v>
      </c>
      <c r="D95" s="22">
        <f t="shared" si="3"/>
        <v>4</v>
      </c>
      <c r="E95" s="22">
        <f t="shared" si="1"/>
        <v>13</v>
      </c>
      <c r="F95" s="20"/>
      <c r="G95" s="20"/>
      <c r="H95" s="20"/>
      <c r="I95" s="20"/>
      <c r="J95" s="20"/>
      <c r="K95" s="20"/>
      <c r="L95" s="22">
        <f t="shared" si="4"/>
        <v>-4</v>
      </c>
      <c r="M95" s="38">
        <f t="shared" si="5"/>
        <v>1</v>
      </c>
      <c r="N95" s="22">
        <f t="shared" si="6"/>
        <v>16</v>
      </c>
      <c r="O95" s="20"/>
      <c r="P95" s="22">
        <f t="shared" si="7"/>
        <v>-4</v>
      </c>
      <c r="Q95" s="38">
        <f t="shared" si="8"/>
        <v>1</v>
      </c>
      <c r="R95" s="22">
        <f t="shared" si="9"/>
        <v>16</v>
      </c>
      <c r="S95" s="20"/>
      <c r="T95" s="22">
        <f t="shared" si="10"/>
        <v>-13</v>
      </c>
      <c r="U95" s="38">
        <f t="shared" si="11"/>
        <v>1</v>
      </c>
      <c r="V95" s="22">
        <f t="shared" si="12"/>
        <v>169</v>
      </c>
    </row>
    <row r="96">
      <c r="A96" s="4">
        <v>40676.0</v>
      </c>
      <c r="B96" s="5">
        <v>0.0</v>
      </c>
      <c r="C96" s="22">
        <f t="shared" si="2"/>
        <v>4</v>
      </c>
      <c r="D96" s="22">
        <f t="shared" si="3"/>
        <v>4</v>
      </c>
      <c r="E96" s="22">
        <f t="shared" si="1"/>
        <v>5</v>
      </c>
      <c r="F96" s="20"/>
      <c r="G96" s="20"/>
      <c r="H96" s="20"/>
      <c r="I96" s="20"/>
      <c r="J96" s="20"/>
      <c r="K96" s="20"/>
      <c r="L96" s="22">
        <f t="shared" si="4"/>
        <v>-4</v>
      </c>
      <c r="M96" s="38">
        <f t="shared" si="5"/>
        <v>1</v>
      </c>
      <c r="N96" s="22">
        <f t="shared" si="6"/>
        <v>16</v>
      </c>
      <c r="O96" s="20"/>
      <c r="P96" s="22">
        <f t="shared" si="7"/>
        <v>-4</v>
      </c>
      <c r="Q96" s="38">
        <f t="shared" si="8"/>
        <v>1</v>
      </c>
      <c r="R96" s="22">
        <f t="shared" si="9"/>
        <v>16</v>
      </c>
      <c r="S96" s="20"/>
      <c r="T96" s="22">
        <f t="shared" si="10"/>
        <v>-5</v>
      </c>
      <c r="U96" s="38">
        <f t="shared" si="11"/>
        <v>1</v>
      </c>
      <c r="V96" s="22">
        <f t="shared" si="12"/>
        <v>25</v>
      </c>
    </row>
    <row r="97">
      <c r="A97" s="4">
        <v>40679.0</v>
      </c>
      <c r="B97" s="5">
        <v>0.0</v>
      </c>
      <c r="C97" s="22">
        <f t="shared" si="2"/>
        <v>4</v>
      </c>
      <c r="D97" s="22">
        <f t="shared" si="3"/>
        <v>4</v>
      </c>
      <c r="E97" s="22">
        <f t="shared" si="1"/>
        <v>2</v>
      </c>
      <c r="F97" s="20"/>
      <c r="G97" s="20"/>
      <c r="H97" s="20"/>
      <c r="I97" s="20"/>
      <c r="J97" s="20"/>
      <c r="K97" s="20"/>
      <c r="L97" s="22">
        <f t="shared" si="4"/>
        <v>-4</v>
      </c>
      <c r="M97" s="38">
        <f t="shared" si="5"/>
        <v>1</v>
      </c>
      <c r="N97" s="22">
        <f t="shared" si="6"/>
        <v>16</v>
      </c>
      <c r="O97" s="20"/>
      <c r="P97" s="22">
        <f t="shared" si="7"/>
        <v>-4</v>
      </c>
      <c r="Q97" s="38">
        <f t="shared" si="8"/>
        <v>1</v>
      </c>
      <c r="R97" s="22">
        <f t="shared" si="9"/>
        <v>16</v>
      </c>
      <c r="S97" s="20"/>
      <c r="T97" s="22">
        <f t="shared" si="10"/>
        <v>-2</v>
      </c>
      <c r="U97" s="38">
        <f t="shared" si="11"/>
        <v>1</v>
      </c>
      <c r="V97" s="22">
        <f t="shared" si="12"/>
        <v>4</v>
      </c>
    </row>
    <row r="98">
      <c r="A98" s="4">
        <v>40680.0</v>
      </c>
      <c r="B98" s="5">
        <v>0.0</v>
      </c>
      <c r="C98" s="22">
        <f t="shared" si="2"/>
        <v>4</v>
      </c>
      <c r="D98" s="22">
        <f t="shared" si="3"/>
        <v>4</v>
      </c>
      <c r="E98" s="22">
        <f t="shared" si="1"/>
        <v>1</v>
      </c>
      <c r="F98" s="20"/>
      <c r="G98" s="20"/>
      <c r="H98" s="20"/>
      <c r="I98" s="20"/>
      <c r="J98" s="20"/>
      <c r="K98" s="20"/>
      <c r="L98" s="22">
        <f t="shared" si="4"/>
        <v>-4</v>
      </c>
      <c r="M98" s="38">
        <f t="shared" si="5"/>
        <v>1</v>
      </c>
      <c r="N98" s="22">
        <f t="shared" si="6"/>
        <v>16</v>
      </c>
      <c r="O98" s="20"/>
      <c r="P98" s="22">
        <f t="shared" si="7"/>
        <v>-4</v>
      </c>
      <c r="Q98" s="38">
        <f t="shared" si="8"/>
        <v>1</v>
      </c>
      <c r="R98" s="22">
        <f t="shared" si="9"/>
        <v>16</v>
      </c>
      <c r="S98" s="20"/>
      <c r="T98" s="22">
        <f t="shared" si="10"/>
        <v>-1</v>
      </c>
      <c r="U98" s="38">
        <f t="shared" si="11"/>
        <v>1</v>
      </c>
      <c r="V98" s="22">
        <f t="shared" si="12"/>
        <v>1</v>
      </c>
    </row>
    <row r="99">
      <c r="A99" s="4">
        <v>40681.0</v>
      </c>
      <c r="B99" s="5">
        <v>24.0</v>
      </c>
      <c r="C99" s="22">
        <f t="shared" si="2"/>
        <v>4</v>
      </c>
      <c r="D99" s="22">
        <f t="shared" si="3"/>
        <v>4</v>
      </c>
      <c r="E99" s="22">
        <f t="shared" si="1"/>
        <v>0</v>
      </c>
      <c r="F99" s="20"/>
      <c r="G99" s="20"/>
      <c r="H99" s="20"/>
      <c r="I99" s="20"/>
      <c r="J99" s="20"/>
      <c r="K99" s="20"/>
      <c r="L99" s="22">
        <f t="shared" si="4"/>
        <v>20</v>
      </c>
      <c r="M99" s="38">
        <f t="shared" si="5"/>
        <v>0.8333333333</v>
      </c>
      <c r="N99" s="22">
        <f t="shared" si="6"/>
        <v>400</v>
      </c>
      <c r="O99" s="20"/>
      <c r="P99" s="22">
        <f t="shared" si="7"/>
        <v>20</v>
      </c>
      <c r="Q99" s="38">
        <f t="shared" si="8"/>
        <v>0.8333333333</v>
      </c>
      <c r="R99" s="22">
        <f t="shared" si="9"/>
        <v>400</v>
      </c>
      <c r="S99" s="20"/>
      <c r="T99" s="22">
        <f t="shared" si="10"/>
        <v>24</v>
      </c>
      <c r="U99" s="38">
        <f t="shared" si="11"/>
        <v>1</v>
      </c>
      <c r="V99" s="22">
        <f t="shared" si="12"/>
        <v>576</v>
      </c>
    </row>
    <row r="100">
      <c r="A100" s="4">
        <v>40682.0</v>
      </c>
      <c r="B100" s="5">
        <v>0.0</v>
      </c>
      <c r="C100" s="22">
        <f t="shared" si="2"/>
        <v>5</v>
      </c>
      <c r="D100" s="22">
        <f t="shared" si="3"/>
        <v>4</v>
      </c>
      <c r="E100" s="22">
        <f t="shared" si="1"/>
        <v>14</v>
      </c>
      <c r="F100" s="20"/>
      <c r="G100" s="20"/>
      <c r="H100" s="20"/>
      <c r="I100" s="20"/>
      <c r="J100" s="20"/>
      <c r="K100" s="20"/>
      <c r="L100" s="22">
        <f t="shared" si="4"/>
        <v>-5</v>
      </c>
      <c r="M100" s="38">
        <f t="shared" si="5"/>
        <v>1</v>
      </c>
      <c r="N100" s="22">
        <f t="shared" si="6"/>
        <v>25</v>
      </c>
      <c r="O100" s="20"/>
      <c r="P100" s="22">
        <f t="shared" si="7"/>
        <v>-4</v>
      </c>
      <c r="Q100" s="38">
        <f t="shared" si="8"/>
        <v>1</v>
      </c>
      <c r="R100" s="22">
        <f t="shared" si="9"/>
        <v>16</v>
      </c>
      <c r="S100" s="20"/>
      <c r="T100" s="22">
        <f t="shared" si="10"/>
        <v>-14</v>
      </c>
      <c r="U100" s="38">
        <f t="shared" si="11"/>
        <v>1</v>
      </c>
      <c r="V100" s="22">
        <f t="shared" si="12"/>
        <v>196</v>
      </c>
    </row>
    <row r="101">
      <c r="A101" s="4">
        <v>40683.0</v>
      </c>
      <c r="B101" s="5">
        <v>0.0</v>
      </c>
      <c r="C101" s="22">
        <f t="shared" si="2"/>
        <v>5</v>
      </c>
      <c r="D101" s="22">
        <f t="shared" si="3"/>
        <v>4</v>
      </c>
      <c r="E101" s="22">
        <f t="shared" si="1"/>
        <v>6</v>
      </c>
      <c r="F101" s="20"/>
      <c r="G101" s="20"/>
      <c r="H101" s="20"/>
      <c r="I101" s="20"/>
      <c r="J101" s="20"/>
      <c r="K101" s="20"/>
      <c r="L101" s="22">
        <f t="shared" si="4"/>
        <v>-5</v>
      </c>
      <c r="M101" s="38">
        <f t="shared" si="5"/>
        <v>1</v>
      </c>
      <c r="N101" s="22">
        <f t="shared" si="6"/>
        <v>25</v>
      </c>
      <c r="O101" s="20"/>
      <c r="P101" s="22">
        <f t="shared" si="7"/>
        <v>-4</v>
      </c>
      <c r="Q101" s="38">
        <f t="shared" si="8"/>
        <v>1</v>
      </c>
      <c r="R101" s="22">
        <f t="shared" si="9"/>
        <v>16</v>
      </c>
      <c r="S101" s="20"/>
      <c r="T101" s="22">
        <f t="shared" si="10"/>
        <v>-6</v>
      </c>
      <c r="U101" s="38">
        <f t="shared" si="11"/>
        <v>1</v>
      </c>
      <c r="V101" s="22">
        <f t="shared" si="12"/>
        <v>36</v>
      </c>
    </row>
    <row r="102">
      <c r="A102" s="4">
        <v>40686.0</v>
      </c>
      <c r="B102" s="5">
        <v>0.0</v>
      </c>
      <c r="C102" s="22">
        <f t="shared" si="2"/>
        <v>5</v>
      </c>
      <c r="D102" s="22">
        <f t="shared" si="3"/>
        <v>4</v>
      </c>
      <c r="E102" s="22">
        <f t="shared" si="1"/>
        <v>2</v>
      </c>
      <c r="F102" s="20"/>
      <c r="G102" s="20"/>
      <c r="H102" s="20"/>
      <c r="I102" s="20"/>
      <c r="J102" s="20"/>
      <c r="K102" s="20"/>
      <c r="L102" s="22">
        <f t="shared" si="4"/>
        <v>-5</v>
      </c>
      <c r="M102" s="38">
        <f t="shared" si="5"/>
        <v>1</v>
      </c>
      <c r="N102" s="22">
        <f t="shared" si="6"/>
        <v>25</v>
      </c>
      <c r="O102" s="20"/>
      <c r="P102" s="22">
        <f t="shared" si="7"/>
        <v>-4</v>
      </c>
      <c r="Q102" s="38">
        <f t="shared" si="8"/>
        <v>1</v>
      </c>
      <c r="R102" s="22">
        <f t="shared" si="9"/>
        <v>16</v>
      </c>
      <c r="S102" s="20"/>
      <c r="T102" s="22">
        <f t="shared" si="10"/>
        <v>-2</v>
      </c>
      <c r="U102" s="38">
        <f t="shared" si="11"/>
        <v>1</v>
      </c>
      <c r="V102" s="22">
        <f t="shared" si="12"/>
        <v>4</v>
      </c>
    </row>
    <row r="103">
      <c r="A103" s="4">
        <v>40687.0</v>
      </c>
      <c r="B103" s="5">
        <v>0.0</v>
      </c>
      <c r="C103" s="22">
        <f t="shared" si="2"/>
        <v>5</v>
      </c>
      <c r="D103" s="22">
        <f t="shared" si="3"/>
        <v>4</v>
      </c>
      <c r="E103" s="22">
        <f t="shared" si="1"/>
        <v>1</v>
      </c>
      <c r="F103" s="20"/>
      <c r="G103" s="20"/>
      <c r="H103" s="20"/>
      <c r="I103" s="20"/>
      <c r="J103" s="20"/>
      <c r="K103" s="20"/>
      <c r="L103" s="22">
        <f t="shared" si="4"/>
        <v>-5</v>
      </c>
      <c r="M103" s="38">
        <f t="shared" si="5"/>
        <v>1</v>
      </c>
      <c r="N103" s="22">
        <f t="shared" si="6"/>
        <v>25</v>
      </c>
      <c r="O103" s="20"/>
      <c r="P103" s="22">
        <f t="shared" si="7"/>
        <v>-4</v>
      </c>
      <c r="Q103" s="38">
        <f t="shared" si="8"/>
        <v>1</v>
      </c>
      <c r="R103" s="22">
        <f t="shared" si="9"/>
        <v>16</v>
      </c>
      <c r="S103" s="20"/>
      <c r="T103" s="22">
        <f t="shared" si="10"/>
        <v>-1</v>
      </c>
      <c r="U103" s="38">
        <f t="shared" si="11"/>
        <v>1</v>
      </c>
      <c r="V103" s="22">
        <f t="shared" si="12"/>
        <v>1</v>
      </c>
    </row>
    <row r="104">
      <c r="A104" s="4">
        <v>40688.0</v>
      </c>
      <c r="B104" s="5">
        <v>19.0</v>
      </c>
      <c r="C104" s="22">
        <f t="shared" si="2"/>
        <v>5</v>
      </c>
      <c r="D104" s="22">
        <f t="shared" si="3"/>
        <v>4</v>
      </c>
      <c r="E104" s="22">
        <f t="shared" si="1"/>
        <v>0</v>
      </c>
      <c r="F104" s="20"/>
      <c r="G104" s="20"/>
      <c r="H104" s="20"/>
      <c r="I104" s="20"/>
      <c r="J104" s="20"/>
      <c r="K104" s="20"/>
      <c r="L104" s="22">
        <f t="shared" si="4"/>
        <v>14</v>
      </c>
      <c r="M104" s="38">
        <f t="shared" si="5"/>
        <v>0.7368421053</v>
      </c>
      <c r="N104" s="22">
        <f t="shared" si="6"/>
        <v>196</v>
      </c>
      <c r="O104" s="20"/>
      <c r="P104" s="22">
        <f t="shared" si="7"/>
        <v>15</v>
      </c>
      <c r="Q104" s="38">
        <f t="shared" si="8"/>
        <v>0.7894736842</v>
      </c>
      <c r="R104" s="22">
        <f t="shared" si="9"/>
        <v>225</v>
      </c>
      <c r="S104" s="20"/>
      <c r="T104" s="22">
        <f t="shared" si="10"/>
        <v>19</v>
      </c>
      <c r="U104" s="38">
        <f t="shared" si="11"/>
        <v>1</v>
      </c>
      <c r="V104" s="22">
        <f t="shared" si="12"/>
        <v>361</v>
      </c>
    </row>
    <row r="105">
      <c r="A105" s="4">
        <v>40689.0</v>
      </c>
      <c r="B105" s="5">
        <v>0.0</v>
      </c>
      <c r="C105" s="22">
        <f t="shared" si="2"/>
        <v>4</v>
      </c>
      <c r="D105" s="22">
        <f t="shared" si="3"/>
        <v>4</v>
      </c>
      <c r="E105" s="22">
        <f t="shared" si="1"/>
        <v>11</v>
      </c>
      <c r="F105" s="20"/>
      <c r="G105" s="20"/>
      <c r="H105" s="20"/>
      <c r="I105" s="20"/>
      <c r="J105" s="20"/>
      <c r="K105" s="20"/>
      <c r="L105" s="22">
        <f t="shared" si="4"/>
        <v>-4</v>
      </c>
      <c r="M105" s="38">
        <f t="shared" si="5"/>
        <v>1</v>
      </c>
      <c r="N105" s="22">
        <f t="shared" si="6"/>
        <v>16</v>
      </c>
      <c r="O105" s="20"/>
      <c r="P105" s="22">
        <f t="shared" si="7"/>
        <v>-4</v>
      </c>
      <c r="Q105" s="38">
        <f t="shared" si="8"/>
        <v>1</v>
      </c>
      <c r="R105" s="22">
        <f t="shared" si="9"/>
        <v>16</v>
      </c>
      <c r="S105" s="20"/>
      <c r="T105" s="22">
        <f t="shared" si="10"/>
        <v>-11</v>
      </c>
      <c r="U105" s="38">
        <f t="shared" si="11"/>
        <v>1</v>
      </c>
      <c r="V105" s="22">
        <f t="shared" si="12"/>
        <v>121</v>
      </c>
    </row>
    <row r="106">
      <c r="A106" s="4">
        <v>40690.0</v>
      </c>
      <c r="B106" s="5">
        <v>0.0</v>
      </c>
      <c r="C106" s="22">
        <f t="shared" si="2"/>
        <v>4</v>
      </c>
      <c r="D106" s="22">
        <f t="shared" si="3"/>
        <v>4</v>
      </c>
      <c r="E106" s="22">
        <f t="shared" si="1"/>
        <v>4</v>
      </c>
      <c r="F106" s="20"/>
      <c r="G106" s="20"/>
      <c r="H106" s="20"/>
      <c r="I106" s="20"/>
      <c r="J106" s="20"/>
      <c r="K106" s="20"/>
      <c r="L106" s="22">
        <f t="shared" si="4"/>
        <v>-4</v>
      </c>
      <c r="M106" s="38">
        <f t="shared" si="5"/>
        <v>1</v>
      </c>
      <c r="N106" s="22">
        <f t="shared" si="6"/>
        <v>16</v>
      </c>
      <c r="O106" s="20"/>
      <c r="P106" s="22">
        <f t="shared" si="7"/>
        <v>-4</v>
      </c>
      <c r="Q106" s="38">
        <f t="shared" si="8"/>
        <v>1</v>
      </c>
      <c r="R106" s="22">
        <f t="shared" si="9"/>
        <v>16</v>
      </c>
      <c r="S106" s="20"/>
      <c r="T106" s="22">
        <f t="shared" si="10"/>
        <v>-4</v>
      </c>
      <c r="U106" s="38">
        <f t="shared" si="11"/>
        <v>1</v>
      </c>
      <c r="V106" s="22">
        <f t="shared" si="12"/>
        <v>16</v>
      </c>
    </row>
    <row r="107">
      <c r="A107" s="4">
        <v>40694.0</v>
      </c>
      <c r="B107" s="5">
        <v>0.0</v>
      </c>
      <c r="C107" s="22">
        <f t="shared" si="2"/>
        <v>4</v>
      </c>
      <c r="D107" s="22">
        <f t="shared" si="3"/>
        <v>4</v>
      </c>
      <c r="E107" s="22">
        <f t="shared" si="1"/>
        <v>2</v>
      </c>
      <c r="F107" s="20"/>
      <c r="G107" s="20"/>
      <c r="H107" s="20"/>
      <c r="I107" s="20"/>
      <c r="J107" s="20"/>
      <c r="K107" s="20"/>
      <c r="L107" s="22">
        <f t="shared" si="4"/>
        <v>-4</v>
      </c>
      <c r="M107" s="38">
        <f t="shared" si="5"/>
        <v>1</v>
      </c>
      <c r="N107" s="22">
        <f t="shared" si="6"/>
        <v>16</v>
      </c>
      <c r="O107" s="20"/>
      <c r="P107" s="22">
        <f t="shared" si="7"/>
        <v>-4</v>
      </c>
      <c r="Q107" s="38">
        <f t="shared" si="8"/>
        <v>1</v>
      </c>
      <c r="R107" s="22">
        <f t="shared" si="9"/>
        <v>16</v>
      </c>
      <c r="S107" s="20"/>
      <c r="T107" s="22">
        <f t="shared" si="10"/>
        <v>-2</v>
      </c>
      <c r="U107" s="38">
        <f t="shared" si="11"/>
        <v>1</v>
      </c>
      <c r="V107" s="22">
        <f t="shared" si="12"/>
        <v>4</v>
      </c>
    </row>
    <row r="108">
      <c r="A108" s="2">
        <v>40695.0</v>
      </c>
      <c r="B108" s="5">
        <v>17.0</v>
      </c>
      <c r="C108" s="22">
        <f t="shared" si="2"/>
        <v>4</v>
      </c>
      <c r="D108" s="22">
        <f t="shared" si="3"/>
        <v>4</v>
      </c>
      <c r="E108" s="22">
        <f t="shared" si="1"/>
        <v>1</v>
      </c>
      <c r="F108" s="20"/>
      <c r="G108" s="20"/>
      <c r="H108" s="20"/>
      <c r="I108" s="20"/>
      <c r="J108" s="20"/>
      <c r="K108" s="20"/>
      <c r="L108" s="22">
        <f t="shared" si="4"/>
        <v>13</v>
      </c>
      <c r="M108" s="38">
        <f t="shared" si="5"/>
        <v>0.7647058824</v>
      </c>
      <c r="N108" s="22">
        <f t="shared" si="6"/>
        <v>169</v>
      </c>
      <c r="O108" s="20"/>
      <c r="P108" s="22">
        <f t="shared" si="7"/>
        <v>13</v>
      </c>
      <c r="Q108" s="38">
        <f t="shared" si="8"/>
        <v>0.7647058824</v>
      </c>
      <c r="R108" s="22">
        <f t="shared" si="9"/>
        <v>169</v>
      </c>
      <c r="S108" s="20"/>
      <c r="T108" s="22">
        <f t="shared" si="10"/>
        <v>16</v>
      </c>
      <c r="U108" s="38">
        <f t="shared" si="11"/>
        <v>0.9411764706</v>
      </c>
      <c r="V108" s="22">
        <f t="shared" si="12"/>
        <v>256</v>
      </c>
    </row>
    <row r="109">
      <c r="A109" s="2">
        <v>40696.0</v>
      </c>
      <c r="B109" s="5">
        <v>0.0</v>
      </c>
      <c r="C109" s="22">
        <f t="shared" si="2"/>
        <v>7</v>
      </c>
      <c r="D109" s="22">
        <f t="shared" si="3"/>
        <v>4</v>
      </c>
      <c r="E109" s="22">
        <f t="shared" si="1"/>
        <v>11</v>
      </c>
      <c r="F109" s="20"/>
      <c r="G109" s="20"/>
      <c r="H109" s="20"/>
      <c r="I109" s="20"/>
      <c r="J109" s="20"/>
      <c r="K109" s="20"/>
      <c r="L109" s="22">
        <f t="shared" si="4"/>
        <v>-7</v>
      </c>
      <c r="M109" s="38">
        <f t="shared" si="5"/>
        <v>1</v>
      </c>
      <c r="N109" s="22">
        <f t="shared" si="6"/>
        <v>49</v>
      </c>
      <c r="O109" s="20"/>
      <c r="P109" s="22">
        <f t="shared" si="7"/>
        <v>-4</v>
      </c>
      <c r="Q109" s="38">
        <f t="shared" si="8"/>
        <v>1</v>
      </c>
      <c r="R109" s="22">
        <f t="shared" si="9"/>
        <v>16</v>
      </c>
      <c r="S109" s="20"/>
      <c r="T109" s="22">
        <f t="shared" si="10"/>
        <v>-11</v>
      </c>
      <c r="U109" s="38">
        <f t="shared" si="11"/>
        <v>1</v>
      </c>
      <c r="V109" s="22">
        <f t="shared" si="12"/>
        <v>121</v>
      </c>
    </row>
    <row r="110">
      <c r="A110" s="2">
        <v>40697.0</v>
      </c>
      <c r="B110" s="5">
        <v>0.0</v>
      </c>
      <c r="C110" s="22">
        <f t="shared" si="2"/>
        <v>3</v>
      </c>
      <c r="D110" s="22">
        <f t="shared" si="3"/>
        <v>4</v>
      </c>
      <c r="E110" s="22">
        <f t="shared" si="1"/>
        <v>4</v>
      </c>
      <c r="F110" s="20"/>
      <c r="G110" s="20"/>
      <c r="H110" s="20"/>
      <c r="I110" s="20"/>
      <c r="J110" s="20"/>
      <c r="K110" s="20"/>
      <c r="L110" s="22">
        <f t="shared" si="4"/>
        <v>-3</v>
      </c>
      <c r="M110" s="38">
        <f t="shared" si="5"/>
        <v>1</v>
      </c>
      <c r="N110" s="22">
        <f t="shared" si="6"/>
        <v>9</v>
      </c>
      <c r="O110" s="20"/>
      <c r="P110" s="22">
        <f t="shared" si="7"/>
        <v>-4</v>
      </c>
      <c r="Q110" s="38">
        <f t="shared" si="8"/>
        <v>1</v>
      </c>
      <c r="R110" s="22">
        <f t="shared" si="9"/>
        <v>16</v>
      </c>
      <c r="S110" s="20"/>
      <c r="T110" s="22">
        <f t="shared" si="10"/>
        <v>-4</v>
      </c>
      <c r="U110" s="38">
        <f t="shared" si="11"/>
        <v>1</v>
      </c>
      <c r="V110" s="22">
        <f t="shared" si="12"/>
        <v>16</v>
      </c>
    </row>
    <row r="111">
      <c r="A111" s="2">
        <v>40700.0</v>
      </c>
      <c r="B111" s="5">
        <v>0.0</v>
      </c>
      <c r="C111" s="22">
        <f t="shared" si="2"/>
        <v>3</v>
      </c>
      <c r="D111" s="22">
        <f t="shared" si="3"/>
        <v>4</v>
      </c>
      <c r="E111" s="22">
        <f t="shared" si="1"/>
        <v>2</v>
      </c>
      <c r="F111" s="20"/>
      <c r="G111" s="20"/>
      <c r="H111" s="20"/>
      <c r="I111" s="20"/>
      <c r="J111" s="20"/>
      <c r="K111" s="20"/>
      <c r="L111" s="22">
        <f t="shared" si="4"/>
        <v>-3</v>
      </c>
      <c r="M111" s="38">
        <f t="shared" si="5"/>
        <v>1</v>
      </c>
      <c r="N111" s="22">
        <f t="shared" si="6"/>
        <v>9</v>
      </c>
      <c r="O111" s="20"/>
      <c r="P111" s="22">
        <f t="shared" si="7"/>
        <v>-4</v>
      </c>
      <c r="Q111" s="38">
        <f t="shared" si="8"/>
        <v>1</v>
      </c>
      <c r="R111" s="22">
        <f t="shared" si="9"/>
        <v>16</v>
      </c>
      <c r="S111" s="20"/>
      <c r="T111" s="22">
        <f t="shared" si="10"/>
        <v>-2</v>
      </c>
      <c r="U111" s="38">
        <f t="shared" si="11"/>
        <v>1</v>
      </c>
      <c r="V111" s="22">
        <f t="shared" si="12"/>
        <v>4</v>
      </c>
    </row>
    <row r="112">
      <c r="A112" s="2">
        <v>40701.0</v>
      </c>
      <c r="B112" s="5">
        <v>0.0</v>
      </c>
      <c r="C112" s="22">
        <f t="shared" si="2"/>
        <v>3</v>
      </c>
      <c r="D112" s="22">
        <f t="shared" si="3"/>
        <v>4</v>
      </c>
      <c r="E112" s="22">
        <f t="shared" si="1"/>
        <v>1</v>
      </c>
      <c r="F112" s="20"/>
      <c r="G112" s="20"/>
      <c r="H112" s="20"/>
      <c r="I112" s="20"/>
      <c r="J112" s="20"/>
      <c r="K112" s="20"/>
      <c r="L112" s="22">
        <f t="shared" si="4"/>
        <v>-3</v>
      </c>
      <c r="M112" s="38">
        <f t="shared" si="5"/>
        <v>1</v>
      </c>
      <c r="N112" s="22">
        <f t="shared" si="6"/>
        <v>9</v>
      </c>
      <c r="O112" s="20"/>
      <c r="P112" s="22">
        <f t="shared" si="7"/>
        <v>-4</v>
      </c>
      <c r="Q112" s="38">
        <f t="shared" si="8"/>
        <v>1</v>
      </c>
      <c r="R112" s="22">
        <f t="shared" si="9"/>
        <v>16</v>
      </c>
      <c r="S112" s="20"/>
      <c r="T112" s="22">
        <f t="shared" si="10"/>
        <v>-1</v>
      </c>
      <c r="U112" s="38">
        <f t="shared" si="11"/>
        <v>1</v>
      </c>
      <c r="V112" s="22">
        <f t="shared" si="12"/>
        <v>1</v>
      </c>
    </row>
    <row r="113">
      <c r="A113" s="2">
        <v>40702.0</v>
      </c>
      <c r="B113" s="5">
        <v>21.0</v>
      </c>
      <c r="C113" s="22">
        <f t="shared" si="2"/>
        <v>3</v>
      </c>
      <c r="D113" s="22">
        <f t="shared" si="3"/>
        <v>4</v>
      </c>
      <c r="E113" s="22">
        <f t="shared" si="1"/>
        <v>0</v>
      </c>
      <c r="F113" s="20"/>
      <c r="G113" s="20"/>
      <c r="H113" s="20"/>
      <c r="I113" s="20"/>
      <c r="J113" s="20"/>
      <c r="K113" s="20"/>
      <c r="L113" s="22">
        <f t="shared" si="4"/>
        <v>18</v>
      </c>
      <c r="M113" s="38">
        <f t="shared" si="5"/>
        <v>0.8571428571</v>
      </c>
      <c r="N113" s="22">
        <f t="shared" si="6"/>
        <v>324</v>
      </c>
      <c r="O113" s="20"/>
      <c r="P113" s="22">
        <f t="shared" si="7"/>
        <v>17</v>
      </c>
      <c r="Q113" s="38">
        <f t="shared" si="8"/>
        <v>0.8095238095</v>
      </c>
      <c r="R113" s="22">
        <f t="shared" si="9"/>
        <v>289</v>
      </c>
      <c r="S113" s="20"/>
      <c r="T113" s="22">
        <f t="shared" si="10"/>
        <v>21</v>
      </c>
      <c r="U113" s="38">
        <f t="shared" si="11"/>
        <v>1</v>
      </c>
      <c r="V113" s="22">
        <f t="shared" si="12"/>
        <v>441</v>
      </c>
    </row>
    <row r="114">
      <c r="A114" s="2">
        <v>40703.0</v>
      </c>
      <c r="B114" s="5">
        <v>0.0</v>
      </c>
      <c r="C114" s="22">
        <f t="shared" si="2"/>
        <v>4</v>
      </c>
      <c r="D114" s="22">
        <f t="shared" si="3"/>
        <v>4</v>
      </c>
      <c r="E114" s="22">
        <f t="shared" si="1"/>
        <v>13</v>
      </c>
      <c r="F114" s="20"/>
      <c r="G114" s="20"/>
      <c r="H114" s="20"/>
      <c r="I114" s="20"/>
      <c r="J114" s="20"/>
      <c r="K114" s="20"/>
      <c r="L114" s="22">
        <f t="shared" si="4"/>
        <v>-4</v>
      </c>
      <c r="M114" s="38">
        <f t="shared" si="5"/>
        <v>1</v>
      </c>
      <c r="N114" s="22">
        <f t="shared" si="6"/>
        <v>16</v>
      </c>
      <c r="O114" s="20"/>
      <c r="P114" s="22">
        <f t="shared" si="7"/>
        <v>-4</v>
      </c>
      <c r="Q114" s="38">
        <f t="shared" si="8"/>
        <v>1</v>
      </c>
      <c r="R114" s="22">
        <f t="shared" si="9"/>
        <v>16</v>
      </c>
      <c r="S114" s="20"/>
      <c r="T114" s="22">
        <f t="shared" si="10"/>
        <v>-13</v>
      </c>
      <c r="U114" s="38">
        <f t="shared" si="11"/>
        <v>1</v>
      </c>
      <c r="V114" s="22">
        <f t="shared" si="12"/>
        <v>169</v>
      </c>
    </row>
    <row r="115">
      <c r="A115" s="2">
        <v>40704.0</v>
      </c>
      <c r="B115" s="5">
        <v>0.0</v>
      </c>
      <c r="C115" s="22">
        <f t="shared" si="2"/>
        <v>4</v>
      </c>
      <c r="D115" s="22">
        <f t="shared" si="3"/>
        <v>4</v>
      </c>
      <c r="E115" s="22">
        <f t="shared" si="1"/>
        <v>5</v>
      </c>
      <c r="F115" s="20"/>
      <c r="G115" s="20"/>
      <c r="H115" s="20"/>
      <c r="I115" s="20"/>
      <c r="J115" s="20"/>
      <c r="K115" s="20"/>
      <c r="L115" s="22">
        <f t="shared" si="4"/>
        <v>-4</v>
      </c>
      <c r="M115" s="38">
        <f t="shared" si="5"/>
        <v>1</v>
      </c>
      <c r="N115" s="22">
        <f t="shared" si="6"/>
        <v>16</v>
      </c>
      <c r="O115" s="20"/>
      <c r="P115" s="22">
        <f t="shared" si="7"/>
        <v>-4</v>
      </c>
      <c r="Q115" s="38">
        <f t="shared" si="8"/>
        <v>1</v>
      </c>
      <c r="R115" s="22">
        <f t="shared" si="9"/>
        <v>16</v>
      </c>
      <c r="S115" s="20"/>
      <c r="T115" s="22">
        <f t="shared" si="10"/>
        <v>-5</v>
      </c>
      <c r="U115" s="38">
        <f t="shared" si="11"/>
        <v>1</v>
      </c>
      <c r="V115" s="22">
        <f t="shared" si="12"/>
        <v>25</v>
      </c>
    </row>
    <row r="116">
      <c r="A116" s="2">
        <v>40707.0</v>
      </c>
      <c r="B116" s="5">
        <v>0.0</v>
      </c>
      <c r="C116" s="22">
        <f t="shared" si="2"/>
        <v>4</v>
      </c>
      <c r="D116" s="22">
        <f t="shared" si="3"/>
        <v>4</v>
      </c>
      <c r="E116" s="22">
        <f t="shared" si="1"/>
        <v>2</v>
      </c>
      <c r="F116" s="20"/>
      <c r="G116" s="20"/>
      <c r="H116" s="20"/>
      <c r="I116" s="20"/>
      <c r="J116" s="20"/>
      <c r="K116" s="20"/>
      <c r="L116" s="22">
        <f t="shared" si="4"/>
        <v>-4</v>
      </c>
      <c r="M116" s="38">
        <f t="shared" si="5"/>
        <v>1</v>
      </c>
      <c r="N116" s="22">
        <f t="shared" si="6"/>
        <v>16</v>
      </c>
      <c r="O116" s="20"/>
      <c r="P116" s="22">
        <f t="shared" si="7"/>
        <v>-4</v>
      </c>
      <c r="Q116" s="38">
        <f t="shared" si="8"/>
        <v>1</v>
      </c>
      <c r="R116" s="22">
        <f t="shared" si="9"/>
        <v>16</v>
      </c>
      <c r="S116" s="20"/>
      <c r="T116" s="22">
        <f t="shared" si="10"/>
        <v>-2</v>
      </c>
      <c r="U116" s="38">
        <f t="shared" si="11"/>
        <v>1</v>
      </c>
      <c r="V116" s="22">
        <f t="shared" si="12"/>
        <v>4</v>
      </c>
    </row>
    <row r="117">
      <c r="A117" s="2">
        <v>40708.0</v>
      </c>
      <c r="B117" s="5">
        <v>0.0</v>
      </c>
      <c r="C117" s="22">
        <f t="shared" si="2"/>
        <v>4</v>
      </c>
      <c r="D117" s="22">
        <f t="shared" si="3"/>
        <v>4</v>
      </c>
      <c r="E117" s="22">
        <f t="shared" si="1"/>
        <v>1</v>
      </c>
      <c r="F117" s="20"/>
      <c r="G117" s="20"/>
      <c r="H117" s="20"/>
      <c r="I117" s="20"/>
      <c r="J117" s="20"/>
      <c r="K117" s="20"/>
      <c r="L117" s="22">
        <f t="shared" si="4"/>
        <v>-4</v>
      </c>
      <c r="M117" s="38">
        <f t="shared" si="5"/>
        <v>1</v>
      </c>
      <c r="N117" s="22">
        <f t="shared" si="6"/>
        <v>16</v>
      </c>
      <c r="O117" s="20"/>
      <c r="P117" s="22">
        <f t="shared" si="7"/>
        <v>-4</v>
      </c>
      <c r="Q117" s="38">
        <f t="shared" si="8"/>
        <v>1</v>
      </c>
      <c r="R117" s="22">
        <f t="shared" si="9"/>
        <v>16</v>
      </c>
      <c r="S117" s="20"/>
      <c r="T117" s="22">
        <f t="shared" si="10"/>
        <v>-1</v>
      </c>
      <c r="U117" s="38">
        <f t="shared" si="11"/>
        <v>1</v>
      </c>
      <c r="V117" s="22">
        <f t="shared" si="12"/>
        <v>1</v>
      </c>
    </row>
    <row r="118">
      <c r="A118" s="2">
        <v>40709.0</v>
      </c>
      <c r="B118" s="5">
        <v>2.0</v>
      </c>
      <c r="C118" s="22">
        <f t="shared" si="2"/>
        <v>4</v>
      </c>
      <c r="D118" s="22">
        <f t="shared" si="3"/>
        <v>4</v>
      </c>
      <c r="E118" s="22">
        <f t="shared" si="1"/>
        <v>0</v>
      </c>
      <c r="F118" s="20"/>
      <c r="G118" s="20"/>
      <c r="H118" s="20"/>
      <c r="I118" s="20"/>
      <c r="J118" s="20"/>
      <c r="K118" s="20"/>
      <c r="L118" s="22">
        <f t="shared" si="4"/>
        <v>-2</v>
      </c>
      <c r="M118" s="38">
        <f t="shared" si="5"/>
        <v>1</v>
      </c>
      <c r="N118" s="22">
        <f t="shared" si="6"/>
        <v>4</v>
      </c>
      <c r="O118" s="20"/>
      <c r="P118" s="22">
        <f t="shared" si="7"/>
        <v>-2</v>
      </c>
      <c r="Q118" s="38">
        <f t="shared" si="8"/>
        <v>1</v>
      </c>
      <c r="R118" s="22">
        <f t="shared" si="9"/>
        <v>4</v>
      </c>
      <c r="S118" s="20"/>
      <c r="T118" s="22">
        <f t="shared" si="10"/>
        <v>2</v>
      </c>
      <c r="U118" s="38">
        <f t="shared" si="11"/>
        <v>1</v>
      </c>
      <c r="V118" s="22">
        <f t="shared" si="12"/>
        <v>4</v>
      </c>
    </row>
    <row r="119">
      <c r="A119" s="2">
        <v>40710.0</v>
      </c>
      <c r="B119" s="5">
        <v>30.0</v>
      </c>
      <c r="C119" s="22">
        <f t="shared" si="2"/>
        <v>0</v>
      </c>
      <c r="D119" s="22">
        <f t="shared" si="3"/>
        <v>4</v>
      </c>
      <c r="E119" s="22">
        <f t="shared" si="1"/>
        <v>1</v>
      </c>
      <c r="F119" s="20"/>
      <c r="G119" s="20"/>
      <c r="H119" s="20"/>
      <c r="I119" s="20"/>
      <c r="J119" s="20"/>
      <c r="K119" s="20"/>
      <c r="L119" s="22">
        <f t="shared" si="4"/>
        <v>30</v>
      </c>
      <c r="M119" s="38">
        <f t="shared" si="5"/>
        <v>1</v>
      </c>
      <c r="N119" s="22">
        <f t="shared" si="6"/>
        <v>900</v>
      </c>
      <c r="O119" s="20"/>
      <c r="P119" s="22">
        <f t="shared" si="7"/>
        <v>26</v>
      </c>
      <c r="Q119" s="38">
        <f t="shared" si="8"/>
        <v>0.8666666667</v>
      </c>
      <c r="R119" s="22">
        <f t="shared" si="9"/>
        <v>676</v>
      </c>
      <c r="S119" s="20"/>
      <c r="T119" s="22">
        <f t="shared" si="10"/>
        <v>29</v>
      </c>
      <c r="U119" s="38">
        <f t="shared" si="11"/>
        <v>0.9666666667</v>
      </c>
      <c r="V119" s="22">
        <f t="shared" si="12"/>
        <v>841</v>
      </c>
    </row>
    <row r="120">
      <c r="A120" s="2">
        <v>40711.0</v>
      </c>
      <c r="B120" s="5">
        <v>0.0</v>
      </c>
      <c r="C120" s="22">
        <f t="shared" si="2"/>
        <v>6</v>
      </c>
      <c r="D120" s="22">
        <f t="shared" si="3"/>
        <v>4</v>
      </c>
      <c r="E120" s="22">
        <f t="shared" si="1"/>
        <v>18</v>
      </c>
      <c r="F120" s="20"/>
      <c r="G120" s="20"/>
      <c r="H120" s="20"/>
      <c r="I120" s="20"/>
      <c r="J120" s="20"/>
      <c r="K120" s="20"/>
      <c r="L120" s="22">
        <f t="shared" si="4"/>
        <v>-6</v>
      </c>
      <c r="M120" s="38">
        <f t="shared" si="5"/>
        <v>1</v>
      </c>
      <c r="N120" s="22">
        <f t="shared" si="6"/>
        <v>36</v>
      </c>
      <c r="O120" s="20"/>
      <c r="P120" s="22">
        <f t="shared" si="7"/>
        <v>-4</v>
      </c>
      <c r="Q120" s="38">
        <f t="shared" si="8"/>
        <v>1</v>
      </c>
      <c r="R120" s="22">
        <f t="shared" si="9"/>
        <v>16</v>
      </c>
      <c r="S120" s="20"/>
      <c r="T120" s="22">
        <f t="shared" si="10"/>
        <v>-18</v>
      </c>
      <c r="U120" s="38">
        <f t="shared" si="11"/>
        <v>1</v>
      </c>
      <c r="V120" s="22">
        <f t="shared" si="12"/>
        <v>324</v>
      </c>
    </row>
    <row r="121">
      <c r="A121" s="2">
        <v>40714.0</v>
      </c>
      <c r="B121" s="5">
        <v>0.0</v>
      </c>
      <c r="C121" s="22">
        <f t="shared" si="2"/>
        <v>6</v>
      </c>
      <c r="D121" s="22">
        <f t="shared" si="3"/>
        <v>4</v>
      </c>
      <c r="E121" s="22">
        <f t="shared" si="1"/>
        <v>7</v>
      </c>
      <c r="F121" s="20"/>
      <c r="G121" s="20"/>
      <c r="H121" s="20"/>
      <c r="I121" s="20"/>
      <c r="J121" s="20"/>
      <c r="K121" s="20"/>
      <c r="L121" s="22">
        <f t="shared" si="4"/>
        <v>-6</v>
      </c>
      <c r="M121" s="38">
        <f t="shared" si="5"/>
        <v>1</v>
      </c>
      <c r="N121" s="22">
        <f t="shared" si="6"/>
        <v>36</v>
      </c>
      <c r="O121" s="20"/>
      <c r="P121" s="22">
        <f t="shared" si="7"/>
        <v>-4</v>
      </c>
      <c r="Q121" s="38">
        <f t="shared" si="8"/>
        <v>1</v>
      </c>
      <c r="R121" s="22">
        <f t="shared" si="9"/>
        <v>16</v>
      </c>
      <c r="S121" s="20"/>
      <c r="T121" s="22">
        <f t="shared" si="10"/>
        <v>-7</v>
      </c>
      <c r="U121" s="38">
        <f t="shared" si="11"/>
        <v>1</v>
      </c>
      <c r="V121" s="22">
        <f t="shared" si="12"/>
        <v>49</v>
      </c>
    </row>
    <row r="122">
      <c r="A122" s="2">
        <v>40715.0</v>
      </c>
      <c r="B122" s="5">
        <v>0.0</v>
      </c>
      <c r="C122" s="22">
        <f t="shared" si="2"/>
        <v>6</v>
      </c>
      <c r="D122" s="22">
        <f t="shared" si="3"/>
        <v>4</v>
      </c>
      <c r="E122" s="22">
        <f t="shared" si="1"/>
        <v>3</v>
      </c>
      <c r="F122" s="20"/>
      <c r="G122" s="20"/>
      <c r="H122" s="20"/>
      <c r="I122" s="20"/>
      <c r="J122" s="20"/>
      <c r="K122" s="20"/>
      <c r="L122" s="22">
        <f t="shared" si="4"/>
        <v>-6</v>
      </c>
      <c r="M122" s="38">
        <f t="shared" si="5"/>
        <v>1</v>
      </c>
      <c r="N122" s="22">
        <f t="shared" si="6"/>
        <v>36</v>
      </c>
      <c r="O122" s="20"/>
      <c r="P122" s="22">
        <f t="shared" si="7"/>
        <v>-4</v>
      </c>
      <c r="Q122" s="38">
        <f t="shared" si="8"/>
        <v>1</v>
      </c>
      <c r="R122" s="22">
        <f t="shared" si="9"/>
        <v>16</v>
      </c>
      <c r="S122" s="20"/>
      <c r="T122" s="22">
        <f t="shared" si="10"/>
        <v>-3</v>
      </c>
      <c r="U122" s="38">
        <f t="shared" si="11"/>
        <v>1</v>
      </c>
      <c r="V122" s="22">
        <f t="shared" si="12"/>
        <v>9</v>
      </c>
    </row>
    <row r="123">
      <c r="A123" s="2">
        <v>40716.0</v>
      </c>
      <c r="B123" s="5">
        <v>6.0</v>
      </c>
      <c r="C123" s="22">
        <f t="shared" si="2"/>
        <v>6</v>
      </c>
      <c r="D123" s="22">
        <f t="shared" si="3"/>
        <v>4</v>
      </c>
      <c r="E123" s="22">
        <f t="shared" si="1"/>
        <v>1</v>
      </c>
      <c r="F123" s="20"/>
      <c r="G123" s="20"/>
      <c r="H123" s="20"/>
      <c r="I123" s="20"/>
      <c r="J123" s="20"/>
      <c r="K123" s="20"/>
      <c r="L123" s="22">
        <f t="shared" si="4"/>
        <v>0</v>
      </c>
      <c r="M123" s="38">
        <f t="shared" si="5"/>
        <v>0</v>
      </c>
      <c r="N123" s="22">
        <f t="shared" si="6"/>
        <v>0</v>
      </c>
      <c r="O123" s="20"/>
      <c r="P123" s="22">
        <f t="shared" si="7"/>
        <v>2</v>
      </c>
      <c r="Q123" s="38">
        <f t="shared" si="8"/>
        <v>0.3333333333</v>
      </c>
      <c r="R123" s="22">
        <f t="shared" si="9"/>
        <v>4</v>
      </c>
      <c r="S123" s="20"/>
      <c r="T123" s="22">
        <f t="shared" si="10"/>
        <v>5</v>
      </c>
      <c r="U123" s="38">
        <f t="shared" si="11"/>
        <v>0.8333333333</v>
      </c>
      <c r="V123" s="22">
        <f t="shared" si="12"/>
        <v>25</v>
      </c>
    </row>
    <row r="124">
      <c r="A124" s="2">
        <v>40717.0</v>
      </c>
      <c r="B124" s="5">
        <v>0.0</v>
      </c>
      <c r="C124" s="22">
        <f t="shared" si="2"/>
        <v>7</v>
      </c>
      <c r="D124" s="22">
        <f t="shared" si="3"/>
        <v>4</v>
      </c>
      <c r="E124" s="22">
        <f t="shared" si="1"/>
        <v>4</v>
      </c>
      <c r="F124" s="20"/>
      <c r="G124" s="20"/>
      <c r="H124" s="20"/>
      <c r="I124" s="20"/>
      <c r="J124" s="20"/>
      <c r="K124" s="20"/>
      <c r="L124" s="22">
        <f t="shared" si="4"/>
        <v>-7</v>
      </c>
      <c r="M124" s="38">
        <f t="shared" si="5"/>
        <v>1</v>
      </c>
      <c r="N124" s="22">
        <f t="shared" si="6"/>
        <v>49</v>
      </c>
      <c r="O124" s="20"/>
      <c r="P124" s="22">
        <f t="shared" si="7"/>
        <v>-4</v>
      </c>
      <c r="Q124" s="38">
        <f t="shared" si="8"/>
        <v>1</v>
      </c>
      <c r="R124" s="22">
        <f t="shared" si="9"/>
        <v>16</v>
      </c>
      <c r="S124" s="20"/>
      <c r="T124" s="22">
        <f t="shared" si="10"/>
        <v>-4</v>
      </c>
      <c r="U124" s="38">
        <f t="shared" si="11"/>
        <v>1</v>
      </c>
      <c r="V124" s="22">
        <f t="shared" si="12"/>
        <v>16</v>
      </c>
    </row>
    <row r="125">
      <c r="A125" s="2">
        <v>40718.0</v>
      </c>
      <c r="B125" s="5">
        <v>0.0</v>
      </c>
      <c r="C125" s="22">
        <f t="shared" si="2"/>
        <v>1</v>
      </c>
      <c r="D125" s="22">
        <f t="shared" si="3"/>
        <v>4</v>
      </c>
      <c r="E125" s="22">
        <f t="shared" si="1"/>
        <v>2</v>
      </c>
      <c r="F125" s="20"/>
      <c r="G125" s="20"/>
      <c r="H125" s="20"/>
      <c r="I125" s="20"/>
      <c r="J125" s="20"/>
      <c r="K125" s="20"/>
      <c r="L125" s="22">
        <f t="shared" si="4"/>
        <v>-1</v>
      </c>
      <c r="M125" s="38">
        <f t="shared" si="5"/>
        <v>1</v>
      </c>
      <c r="N125" s="22">
        <f t="shared" si="6"/>
        <v>1</v>
      </c>
      <c r="O125" s="20"/>
      <c r="P125" s="22">
        <f t="shared" si="7"/>
        <v>-4</v>
      </c>
      <c r="Q125" s="38">
        <f t="shared" si="8"/>
        <v>1</v>
      </c>
      <c r="R125" s="22">
        <f t="shared" si="9"/>
        <v>16</v>
      </c>
      <c r="S125" s="20"/>
      <c r="T125" s="22">
        <f t="shared" si="10"/>
        <v>-2</v>
      </c>
      <c r="U125" s="38">
        <f t="shared" si="11"/>
        <v>1</v>
      </c>
      <c r="V125" s="22">
        <f t="shared" si="12"/>
        <v>4</v>
      </c>
    </row>
    <row r="126">
      <c r="A126" s="2">
        <v>40721.0</v>
      </c>
      <c r="B126" s="5">
        <v>0.0</v>
      </c>
      <c r="C126" s="22">
        <f t="shared" si="2"/>
        <v>1</v>
      </c>
      <c r="D126" s="22">
        <f t="shared" si="3"/>
        <v>4</v>
      </c>
      <c r="E126" s="22">
        <f t="shared" si="1"/>
        <v>1</v>
      </c>
      <c r="F126" s="20"/>
      <c r="G126" s="20"/>
      <c r="H126" s="20"/>
      <c r="I126" s="20"/>
      <c r="J126" s="20"/>
      <c r="K126" s="20"/>
      <c r="L126" s="22">
        <f t="shared" si="4"/>
        <v>-1</v>
      </c>
      <c r="M126" s="38">
        <f t="shared" si="5"/>
        <v>1</v>
      </c>
      <c r="N126" s="22">
        <f t="shared" si="6"/>
        <v>1</v>
      </c>
      <c r="O126" s="20"/>
      <c r="P126" s="22">
        <f t="shared" si="7"/>
        <v>-4</v>
      </c>
      <c r="Q126" s="38">
        <f t="shared" si="8"/>
        <v>1</v>
      </c>
      <c r="R126" s="22">
        <f t="shared" si="9"/>
        <v>16</v>
      </c>
      <c r="S126" s="20"/>
      <c r="T126" s="22">
        <f t="shared" si="10"/>
        <v>-1</v>
      </c>
      <c r="U126" s="38">
        <f t="shared" si="11"/>
        <v>1</v>
      </c>
      <c r="V126" s="22">
        <f t="shared" si="12"/>
        <v>1</v>
      </c>
    </row>
    <row r="127">
      <c r="A127" s="2">
        <v>40722.0</v>
      </c>
      <c r="B127" s="5">
        <v>0.0</v>
      </c>
      <c r="C127" s="22">
        <f t="shared" si="2"/>
        <v>1</v>
      </c>
      <c r="D127" s="22">
        <f t="shared" si="3"/>
        <v>4</v>
      </c>
      <c r="E127" s="22">
        <f t="shared" si="1"/>
        <v>0</v>
      </c>
      <c r="F127" s="20"/>
      <c r="G127" s="20"/>
      <c r="H127" s="20"/>
      <c r="I127" s="20"/>
      <c r="J127" s="20"/>
      <c r="K127" s="20"/>
      <c r="L127" s="22">
        <f t="shared" si="4"/>
        <v>-1</v>
      </c>
      <c r="M127" s="38">
        <f t="shared" si="5"/>
        <v>1</v>
      </c>
      <c r="N127" s="22">
        <f t="shared" si="6"/>
        <v>1</v>
      </c>
      <c r="O127" s="20"/>
      <c r="P127" s="22">
        <f t="shared" si="7"/>
        <v>-4</v>
      </c>
      <c r="Q127" s="38">
        <f t="shared" si="8"/>
        <v>1</v>
      </c>
      <c r="R127" s="22">
        <f t="shared" si="9"/>
        <v>16</v>
      </c>
      <c r="S127" s="20"/>
      <c r="T127" s="22">
        <f t="shared" si="10"/>
        <v>0</v>
      </c>
      <c r="U127" s="38">
        <f t="shared" si="11"/>
        <v>0</v>
      </c>
      <c r="V127" s="22">
        <f t="shared" si="12"/>
        <v>0</v>
      </c>
    </row>
    <row r="128">
      <c r="A128" s="2">
        <v>40723.0</v>
      </c>
      <c r="B128" s="5">
        <v>0.0</v>
      </c>
      <c r="C128" s="22">
        <f t="shared" si="2"/>
        <v>1</v>
      </c>
      <c r="D128" s="22">
        <f t="shared" si="3"/>
        <v>4</v>
      </c>
      <c r="E128" s="22">
        <f t="shared" si="1"/>
        <v>0</v>
      </c>
      <c r="F128" s="20"/>
      <c r="G128" s="20"/>
      <c r="H128" s="20"/>
      <c r="I128" s="20"/>
      <c r="J128" s="20"/>
      <c r="K128" s="20"/>
      <c r="L128" s="22">
        <f t="shared" si="4"/>
        <v>-1</v>
      </c>
      <c r="M128" s="38">
        <f t="shared" si="5"/>
        <v>1</v>
      </c>
      <c r="N128" s="22">
        <f t="shared" si="6"/>
        <v>1</v>
      </c>
      <c r="O128" s="20"/>
      <c r="P128" s="22">
        <f t="shared" si="7"/>
        <v>-4</v>
      </c>
      <c r="Q128" s="38">
        <f t="shared" si="8"/>
        <v>1</v>
      </c>
      <c r="R128" s="22">
        <f t="shared" si="9"/>
        <v>16</v>
      </c>
      <c r="S128" s="20"/>
      <c r="T128" s="22">
        <f t="shared" si="10"/>
        <v>0</v>
      </c>
      <c r="U128" s="38">
        <f t="shared" si="11"/>
        <v>0</v>
      </c>
      <c r="V128" s="22">
        <f t="shared" si="12"/>
        <v>0</v>
      </c>
    </row>
    <row r="129">
      <c r="A129" s="2">
        <v>40724.0</v>
      </c>
      <c r="B129" s="5">
        <v>0.0</v>
      </c>
      <c r="C129" s="22">
        <f t="shared" si="2"/>
        <v>0</v>
      </c>
      <c r="D129" s="22">
        <f t="shared" si="3"/>
        <v>4</v>
      </c>
      <c r="E129" s="22">
        <f t="shared" si="1"/>
        <v>0</v>
      </c>
      <c r="F129" s="20"/>
      <c r="G129" s="20"/>
      <c r="H129" s="20"/>
      <c r="I129" s="20"/>
      <c r="J129" s="20"/>
      <c r="K129" s="20"/>
      <c r="L129" s="22">
        <f t="shared" si="4"/>
        <v>0</v>
      </c>
      <c r="M129" s="38">
        <f t="shared" si="5"/>
        <v>0</v>
      </c>
      <c r="N129" s="22">
        <f t="shared" si="6"/>
        <v>0</v>
      </c>
      <c r="O129" s="20"/>
      <c r="P129" s="22">
        <f t="shared" si="7"/>
        <v>-4</v>
      </c>
      <c r="Q129" s="38">
        <f t="shared" si="8"/>
        <v>1</v>
      </c>
      <c r="R129" s="22">
        <f t="shared" si="9"/>
        <v>16</v>
      </c>
      <c r="S129" s="20"/>
      <c r="T129" s="22">
        <f t="shared" si="10"/>
        <v>0</v>
      </c>
      <c r="U129" s="38">
        <f t="shared" si="11"/>
        <v>0</v>
      </c>
      <c r="V129" s="22">
        <f t="shared" si="12"/>
        <v>0</v>
      </c>
    </row>
    <row r="130">
      <c r="A130" s="2">
        <v>40725.0</v>
      </c>
      <c r="B130" s="5">
        <v>21.0</v>
      </c>
      <c r="C130" s="22">
        <f t="shared" si="2"/>
        <v>0</v>
      </c>
      <c r="D130" s="22">
        <f t="shared" si="3"/>
        <v>4</v>
      </c>
      <c r="E130" s="22">
        <f t="shared" si="1"/>
        <v>0</v>
      </c>
      <c r="F130" s="20"/>
      <c r="G130" s="20"/>
      <c r="H130" s="20"/>
      <c r="I130" s="20"/>
      <c r="J130" s="20"/>
      <c r="K130" s="20"/>
      <c r="L130" s="22">
        <f t="shared" si="4"/>
        <v>21</v>
      </c>
      <c r="M130" s="38">
        <f t="shared" si="5"/>
        <v>1</v>
      </c>
      <c r="N130" s="22">
        <f t="shared" si="6"/>
        <v>441</v>
      </c>
      <c r="O130" s="20"/>
      <c r="P130" s="22">
        <f t="shared" si="7"/>
        <v>17</v>
      </c>
      <c r="Q130" s="38">
        <f t="shared" si="8"/>
        <v>0.8095238095</v>
      </c>
      <c r="R130" s="22">
        <f t="shared" si="9"/>
        <v>289</v>
      </c>
      <c r="S130" s="20"/>
      <c r="T130" s="22">
        <f t="shared" si="10"/>
        <v>21</v>
      </c>
      <c r="U130" s="38">
        <f t="shared" si="11"/>
        <v>1</v>
      </c>
      <c r="V130" s="22">
        <f t="shared" si="12"/>
        <v>441</v>
      </c>
    </row>
    <row r="131">
      <c r="A131" s="2">
        <v>40729.0</v>
      </c>
      <c r="B131" s="5">
        <v>20.0</v>
      </c>
      <c r="C131" s="22">
        <f t="shared" si="2"/>
        <v>4</v>
      </c>
      <c r="D131" s="22">
        <f t="shared" si="3"/>
        <v>4</v>
      </c>
      <c r="E131" s="22">
        <f t="shared" si="1"/>
        <v>13</v>
      </c>
      <c r="F131" s="20"/>
      <c r="G131" s="20"/>
      <c r="H131" s="20"/>
      <c r="I131" s="20"/>
      <c r="J131" s="20"/>
      <c r="K131" s="20"/>
      <c r="L131" s="22">
        <f t="shared" si="4"/>
        <v>16</v>
      </c>
      <c r="M131" s="38">
        <f t="shared" si="5"/>
        <v>0.8</v>
      </c>
      <c r="N131" s="22">
        <f t="shared" si="6"/>
        <v>256</v>
      </c>
      <c r="O131" s="20"/>
      <c r="P131" s="22">
        <f t="shared" si="7"/>
        <v>16</v>
      </c>
      <c r="Q131" s="38">
        <f t="shared" si="8"/>
        <v>0.8</v>
      </c>
      <c r="R131" s="22">
        <f t="shared" si="9"/>
        <v>256</v>
      </c>
      <c r="S131" s="20"/>
      <c r="T131" s="22">
        <f t="shared" si="10"/>
        <v>7</v>
      </c>
      <c r="U131" s="38">
        <f t="shared" si="11"/>
        <v>0.35</v>
      </c>
      <c r="V131" s="22">
        <f t="shared" si="12"/>
        <v>49</v>
      </c>
    </row>
    <row r="132">
      <c r="A132" s="2">
        <v>40730.0</v>
      </c>
      <c r="B132" s="5">
        <v>0.0</v>
      </c>
      <c r="C132" s="22">
        <f t="shared" si="2"/>
        <v>8</v>
      </c>
      <c r="D132" s="22">
        <f t="shared" si="3"/>
        <v>4</v>
      </c>
      <c r="E132" s="22">
        <f t="shared" si="1"/>
        <v>17</v>
      </c>
      <c r="F132" s="20"/>
      <c r="G132" s="20"/>
      <c r="H132" s="20"/>
      <c r="I132" s="20"/>
      <c r="J132" s="20"/>
      <c r="K132" s="20"/>
      <c r="L132" s="22">
        <f t="shared" si="4"/>
        <v>-8</v>
      </c>
      <c r="M132" s="38">
        <f t="shared" si="5"/>
        <v>1</v>
      </c>
      <c r="N132" s="22">
        <f t="shared" si="6"/>
        <v>64</v>
      </c>
      <c r="O132" s="20"/>
      <c r="P132" s="22">
        <f t="shared" si="7"/>
        <v>-4</v>
      </c>
      <c r="Q132" s="38">
        <f t="shared" si="8"/>
        <v>1</v>
      </c>
      <c r="R132" s="22">
        <f t="shared" si="9"/>
        <v>16</v>
      </c>
      <c r="S132" s="20"/>
      <c r="T132" s="22">
        <f t="shared" si="10"/>
        <v>-17</v>
      </c>
      <c r="U132" s="38">
        <f t="shared" si="11"/>
        <v>1</v>
      </c>
      <c r="V132" s="22">
        <f t="shared" si="12"/>
        <v>289</v>
      </c>
    </row>
    <row r="133">
      <c r="A133" s="2">
        <v>40731.0</v>
      </c>
      <c r="B133" s="5">
        <v>0.0</v>
      </c>
      <c r="C133" s="22">
        <f t="shared" si="2"/>
        <v>8</v>
      </c>
      <c r="D133" s="22">
        <f t="shared" si="3"/>
        <v>4</v>
      </c>
      <c r="E133" s="22">
        <f t="shared" si="1"/>
        <v>7</v>
      </c>
      <c r="F133" s="20"/>
      <c r="G133" s="20"/>
      <c r="H133" s="20"/>
      <c r="I133" s="20"/>
      <c r="J133" s="20"/>
      <c r="K133" s="20"/>
      <c r="L133" s="22">
        <f t="shared" si="4"/>
        <v>-8</v>
      </c>
      <c r="M133" s="38">
        <f t="shared" si="5"/>
        <v>1</v>
      </c>
      <c r="N133" s="22">
        <f t="shared" si="6"/>
        <v>64</v>
      </c>
      <c r="O133" s="20"/>
      <c r="P133" s="22">
        <f t="shared" si="7"/>
        <v>-4</v>
      </c>
      <c r="Q133" s="38">
        <f t="shared" si="8"/>
        <v>1</v>
      </c>
      <c r="R133" s="22">
        <f t="shared" si="9"/>
        <v>16</v>
      </c>
      <c r="S133" s="20"/>
      <c r="T133" s="22">
        <f t="shared" si="10"/>
        <v>-7</v>
      </c>
      <c r="U133" s="38">
        <f t="shared" si="11"/>
        <v>1</v>
      </c>
      <c r="V133" s="22">
        <f t="shared" si="12"/>
        <v>49</v>
      </c>
    </row>
    <row r="134">
      <c r="A134" s="2">
        <v>40732.0</v>
      </c>
      <c r="B134" s="5">
        <v>0.0</v>
      </c>
      <c r="C134" s="22">
        <f t="shared" si="2"/>
        <v>8</v>
      </c>
      <c r="D134" s="22">
        <f t="shared" si="3"/>
        <v>4</v>
      </c>
      <c r="E134" s="22">
        <f t="shared" si="1"/>
        <v>3</v>
      </c>
      <c r="F134" s="20"/>
      <c r="G134" s="20"/>
      <c r="H134" s="20"/>
      <c r="I134" s="20"/>
      <c r="J134" s="20"/>
      <c r="K134" s="20"/>
      <c r="L134" s="22">
        <f t="shared" si="4"/>
        <v>-8</v>
      </c>
      <c r="M134" s="38">
        <f t="shared" si="5"/>
        <v>1</v>
      </c>
      <c r="N134" s="22">
        <f t="shared" si="6"/>
        <v>64</v>
      </c>
      <c r="O134" s="20"/>
      <c r="P134" s="22">
        <f t="shared" si="7"/>
        <v>-4</v>
      </c>
      <c r="Q134" s="38">
        <f t="shared" si="8"/>
        <v>1</v>
      </c>
      <c r="R134" s="22">
        <f t="shared" si="9"/>
        <v>16</v>
      </c>
      <c r="S134" s="20"/>
      <c r="T134" s="22">
        <f t="shared" si="10"/>
        <v>-3</v>
      </c>
      <c r="U134" s="38">
        <f t="shared" si="11"/>
        <v>1</v>
      </c>
      <c r="V134" s="22">
        <f t="shared" si="12"/>
        <v>9</v>
      </c>
    </row>
    <row r="135">
      <c r="A135" s="2">
        <v>40735.0</v>
      </c>
      <c r="B135" s="5">
        <v>0.0</v>
      </c>
      <c r="C135" s="22">
        <f t="shared" si="2"/>
        <v>8</v>
      </c>
      <c r="D135" s="22">
        <f t="shared" si="3"/>
        <v>4</v>
      </c>
      <c r="E135" s="22">
        <f t="shared" si="1"/>
        <v>1</v>
      </c>
      <c r="F135" s="20"/>
      <c r="G135" s="20"/>
      <c r="H135" s="20"/>
      <c r="I135" s="20"/>
      <c r="J135" s="20"/>
      <c r="K135" s="20"/>
      <c r="L135" s="22">
        <f t="shared" si="4"/>
        <v>-8</v>
      </c>
      <c r="M135" s="38">
        <f t="shared" si="5"/>
        <v>1</v>
      </c>
      <c r="N135" s="22">
        <f t="shared" si="6"/>
        <v>64</v>
      </c>
      <c r="O135" s="20"/>
      <c r="P135" s="22">
        <f t="shared" si="7"/>
        <v>-4</v>
      </c>
      <c r="Q135" s="38">
        <f t="shared" si="8"/>
        <v>1</v>
      </c>
      <c r="R135" s="22">
        <f t="shared" si="9"/>
        <v>16</v>
      </c>
      <c r="S135" s="20"/>
      <c r="T135" s="22">
        <f t="shared" si="10"/>
        <v>-1</v>
      </c>
      <c r="U135" s="38">
        <f t="shared" si="11"/>
        <v>1</v>
      </c>
      <c r="V135" s="22">
        <f t="shared" si="12"/>
        <v>1</v>
      </c>
    </row>
    <row r="136">
      <c r="A136" s="2">
        <v>40736.0</v>
      </c>
      <c r="B136" s="5">
        <v>0.0</v>
      </c>
      <c r="C136" s="22">
        <f t="shared" si="2"/>
        <v>4</v>
      </c>
      <c r="D136" s="22">
        <f t="shared" si="3"/>
        <v>4</v>
      </c>
      <c r="E136" s="22">
        <f t="shared" si="1"/>
        <v>0</v>
      </c>
      <c r="F136" s="20"/>
      <c r="G136" s="20"/>
      <c r="H136" s="20"/>
      <c r="I136" s="20"/>
      <c r="J136" s="20"/>
      <c r="K136" s="20"/>
      <c r="L136" s="22">
        <f t="shared" si="4"/>
        <v>-4</v>
      </c>
      <c r="M136" s="38">
        <f t="shared" si="5"/>
        <v>1</v>
      </c>
      <c r="N136" s="22">
        <f t="shared" si="6"/>
        <v>16</v>
      </c>
      <c r="O136" s="20"/>
      <c r="P136" s="22">
        <f t="shared" si="7"/>
        <v>-4</v>
      </c>
      <c r="Q136" s="38">
        <f t="shared" si="8"/>
        <v>1</v>
      </c>
      <c r="R136" s="22">
        <f t="shared" si="9"/>
        <v>16</v>
      </c>
      <c r="S136" s="20"/>
      <c r="T136" s="22">
        <f t="shared" si="10"/>
        <v>0</v>
      </c>
      <c r="U136" s="38">
        <f t="shared" si="11"/>
        <v>0</v>
      </c>
      <c r="V136" s="22">
        <f t="shared" si="12"/>
        <v>0</v>
      </c>
    </row>
    <row r="137">
      <c r="A137" s="2">
        <v>40737.0</v>
      </c>
      <c r="B137" s="5">
        <v>21.0</v>
      </c>
      <c r="C137" s="22">
        <f t="shared" si="2"/>
        <v>0</v>
      </c>
      <c r="D137" s="22">
        <f t="shared" si="3"/>
        <v>4</v>
      </c>
      <c r="E137" s="22">
        <f t="shared" si="1"/>
        <v>0</v>
      </c>
      <c r="F137" s="20"/>
      <c r="G137" s="20"/>
      <c r="H137" s="20"/>
      <c r="I137" s="20"/>
      <c r="J137" s="20"/>
      <c r="K137" s="20"/>
      <c r="L137" s="22">
        <f t="shared" si="4"/>
        <v>21</v>
      </c>
      <c r="M137" s="38">
        <f t="shared" si="5"/>
        <v>1</v>
      </c>
      <c r="N137" s="22">
        <f t="shared" si="6"/>
        <v>441</v>
      </c>
      <c r="O137" s="20"/>
      <c r="P137" s="22">
        <f t="shared" si="7"/>
        <v>17</v>
      </c>
      <c r="Q137" s="38">
        <f t="shared" si="8"/>
        <v>0.8095238095</v>
      </c>
      <c r="R137" s="22">
        <f t="shared" si="9"/>
        <v>289</v>
      </c>
      <c r="S137" s="20"/>
      <c r="T137" s="22">
        <f t="shared" si="10"/>
        <v>21</v>
      </c>
      <c r="U137" s="38">
        <f t="shared" si="11"/>
        <v>1</v>
      </c>
      <c r="V137" s="22">
        <f t="shared" si="12"/>
        <v>441</v>
      </c>
    </row>
    <row r="138">
      <c r="A138" s="2">
        <v>40738.0</v>
      </c>
      <c r="B138" s="5">
        <v>0.0</v>
      </c>
      <c r="C138" s="22">
        <f t="shared" si="2"/>
        <v>4</v>
      </c>
      <c r="D138" s="22">
        <f t="shared" si="3"/>
        <v>4</v>
      </c>
      <c r="E138" s="22">
        <f t="shared" si="1"/>
        <v>13</v>
      </c>
      <c r="F138" s="20"/>
      <c r="G138" s="20"/>
      <c r="H138" s="20"/>
      <c r="I138" s="20"/>
      <c r="J138" s="20"/>
      <c r="K138" s="20"/>
      <c r="L138" s="22">
        <f t="shared" si="4"/>
        <v>-4</v>
      </c>
      <c r="M138" s="38">
        <f t="shared" si="5"/>
        <v>1</v>
      </c>
      <c r="N138" s="22">
        <f t="shared" si="6"/>
        <v>16</v>
      </c>
      <c r="O138" s="20"/>
      <c r="P138" s="22">
        <f t="shared" si="7"/>
        <v>-4</v>
      </c>
      <c r="Q138" s="38">
        <f t="shared" si="8"/>
        <v>1</v>
      </c>
      <c r="R138" s="22">
        <f t="shared" si="9"/>
        <v>16</v>
      </c>
      <c r="S138" s="20"/>
      <c r="T138" s="22">
        <f t="shared" si="10"/>
        <v>-13</v>
      </c>
      <c r="U138" s="38">
        <f t="shared" si="11"/>
        <v>1</v>
      </c>
      <c r="V138" s="22">
        <f t="shared" si="12"/>
        <v>169</v>
      </c>
    </row>
    <row r="139">
      <c r="A139" s="2">
        <v>40739.0</v>
      </c>
      <c r="B139" s="5">
        <v>0.0</v>
      </c>
      <c r="C139" s="22">
        <f t="shared" si="2"/>
        <v>4</v>
      </c>
      <c r="D139" s="22">
        <f t="shared" si="3"/>
        <v>4</v>
      </c>
      <c r="E139" s="22">
        <f t="shared" si="1"/>
        <v>5</v>
      </c>
      <c r="F139" s="20"/>
      <c r="G139" s="20"/>
      <c r="H139" s="20"/>
      <c r="I139" s="20"/>
      <c r="J139" s="20"/>
      <c r="K139" s="20"/>
      <c r="L139" s="22">
        <f t="shared" si="4"/>
        <v>-4</v>
      </c>
      <c r="M139" s="38">
        <f t="shared" si="5"/>
        <v>1</v>
      </c>
      <c r="N139" s="22">
        <f t="shared" si="6"/>
        <v>16</v>
      </c>
      <c r="O139" s="20"/>
      <c r="P139" s="22">
        <f t="shared" si="7"/>
        <v>-4</v>
      </c>
      <c r="Q139" s="38">
        <f t="shared" si="8"/>
        <v>1</v>
      </c>
      <c r="R139" s="22">
        <f t="shared" si="9"/>
        <v>16</v>
      </c>
      <c r="S139" s="20"/>
      <c r="T139" s="22">
        <f t="shared" si="10"/>
        <v>-5</v>
      </c>
      <c r="U139" s="38">
        <f t="shared" si="11"/>
        <v>1</v>
      </c>
      <c r="V139" s="22">
        <f t="shared" si="12"/>
        <v>25</v>
      </c>
    </row>
    <row r="140">
      <c r="A140" s="2">
        <v>40742.0</v>
      </c>
      <c r="B140" s="5">
        <v>0.0</v>
      </c>
      <c r="C140" s="22">
        <f t="shared" si="2"/>
        <v>4</v>
      </c>
      <c r="D140" s="22">
        <f t="shared" si="3"/>
        <v>4</v>
      </c>
      <c r="E140" s="22">
        <f t="shared" si="1"/>
        <v>2</v>
      </c>
      <c r="F140" s="20"/>
      <c r="G140" s="20"/>
      <c r="H140" s="20"/>
      <c r="I140" s="20"/>
      <c r="J140" s="20"/>
      <c r="K140" s="20"/>
      <c r="L140" s="22">
        <f t="shared" si="4"/>
        <v>-4</v>
      </c>
      <c r="M140" s="38">
        <f t="shared" si="5"/>
        <v>1</v>
      </c>
      <c r="N140" s="22">
        <f t="shared" si="6"/>
        <v>16</v>
      </c>
      <c r="O140" s="20"/>
      <c r="P140" s="22">
        <f t="shared" si="7"/>
        <v>-4</v>
      </c>
      <c r="Q140" s="38">
        <f t="shared" si="8"/>
        <v>1</v>
      </c>
      <c r="R140" s="22">
        <f t="shared" si="9"/>
        <v>16</v>
      </c>
      <c r="S140" s="20"/>
      <c r="T140" s="22">
        <f t="shared" si="10"/>
        <v>-2</v>
      </c>
      <c r="U140" s="38">
        <f t="shared" si="11"/>
        <v>1</v>
      </c>
      <c r="V140" s="22">
        <f t="shared" si="12"/>
        <v>4</v>
      </c>
    </row>
    <row r="141">
      <c r="A141" s="2">
        <v>40743.0</v>
      </c>
      <c r="B141" s="5">
        <v>0.0</v>
      </c>
      <c r="C141" s="22">
        <f t="shared" si="2"/>
        <v>4</v>
      </c>
      <c r="D141" s="22">
        <f t="shared" si="3"/>
        <v>4</v>
      </c>
      <c r="E141" s="22">
        <f t="shared" si="1"/>
        <v>1</v>
      </c>
      <c r="F141" s="20"/>
      <c r="G141" s="20"/>
      <c r="H141" s="20"/>
      <c r="I141" s="20"/>
      <c r="J141" s="20"/>
      <c r="K141" s="20"/>
      <c r="L141" s="22">
        <f t="shared" si="4"/>
        <v>-4</v>
      </c>
      <c r="M141" s="38">
        <f t="shared" si="5"/>
        <v>1</v>
      </c>
      <c r="N141" s="22">
        <f t="shared" si="6"/>
        <v>16</v>
      </c>
      <c r="O141" s="20"/>
      <c r="P141" s="22">
        <f t="shared" si="7"/>
        <v>-4</v>
      </c>
      <c r="Q141" s="38">
        <f t="shared" si="8"/>
        <v>1</v>
      </c>
      <c r="R141" s="22">
        <f t="shared" si="9"/>
        <v>16</v>
      </c>
      <c r="S141" s="20"/>
      <c r="T141" s="22">
        <f t="shared" si="10"/>
        <v>-1</v>
      </c>
      <c r="U141" s="38">
        <f t="shared" si="11"/>
        <v>1</v>
      </c>
      <c r="V141" s="22">
        <f t="shared" si="12"/>
        <v>1</v>
      </c>
    </row>
    <row r="142">
      <c r="A142" s="2">
        <v>40744.0</v>
      </c>
      <c r="B142" s="5">
        <v>20.0</v>
      </c>
      <c r="C142" s="22">
        <f t="shared" si="2"/>
        <v>4</v>
      </c>
      <c r="D142" s="22">
        <f t="shared" si="3"/>
        <v>4</v>
      </c>
      <c r="E142" s="22">
        <f t="shared" si="1"/>
        <v>0</v>
      </c>
      <c r="F142" s="20"/>
      <c r="G142" s="20"/>
      <c r="H142" s="20"/>
      <c r="I142" s="20"/>
      <c r="J142" s="20"/>
      <c r="K142" s="20"/>
      <c r="L142" s="22">
        <f t="shared" si="4"/>
        <v>16</v>
      </c>
      <c r="M142" s="38">
        <f t="shared" si="5"/>
        <v>0.8</v>
      </c>
      <c r="N142" s="22">
        <f t="shared" si="6"/>
        <v>256</v>
      </c>
      <c r="O142" s="20"/>
      <c r="P142" s="22">
        <f t="shared" si="7"/>
        <v>16</v>
      </c>
      <c r="Q142" s="38">
        <f t="shared" si="8"/>
        <v>0.8</v>
      </c>
      <c r="R142" s="22">
        <f t="shared" si="9"/>
        <v>256</v>
      </c>
      <c r="S142" s="20"/>
      <c r="T142" s="22">
        <f t="shared" si="10"/>
        <v>20</v>
      </c>
      <c r="U142" s="38">
        <f t="shared" si="11"/>
        <v>1</v>
      </c>
      <c r="V142" s="22">
        <f t="shared" si="12"/>
        <v>400</v>
      </c>
    </row>
    <row r="143">
      <c r="A143" s="2">
        <v>40745.0</v>
      </c>
      <c r="B143" s="5">
        <v>0.0</v>
      </c>
      <c r="C143" s="22">
        <f t="shared" si="2"/>
        <v>4</v>
      </c>
      <c r="D143" s="22">
        <f t="shared" si="3"/>
        <v>4</v>
      </c>
      <c r="E143" s="22">
        <f t="shared" si="1"/>
        <v>12</v>
      </c>
      <c r="F143" s="20"/>
      <c r="G143" s="20"/>
      <c r="H143" s="20"/>
      <c r="I143" s="20"/>
      <c r="J143" s="20"/>
      <c r="K143" s="20"/>
      <c r="L143" s="22">
        <f t="shared" si="4"/>
        <v>-4</v>
      </c>
      <c r="M143" s="38">
        <f t="shared" si="5"/>
        <v>1</v>
      </c>
      <c r="N143" s="22">
        <f t="shared" si="6"/>
        <v>16</v>
      </c>
      <c r="O143" s="20"/>
      <c r="P143" s="22">
        <f t="shared" si="7"/>
        <v>-4</v>
      </c>
      <c r="Q143" s="38">
        <f t="shared" si="8"/>
        <v>1</v>
      </c>
      <c r="R143" s="22">
        <f t="shared" si="9"/>
        <v>16</v>
      </c>
      <c r="S143" s="20"/>
      <c r="T143" s="22">
        <f t="shared" si="10"/>
        <v>-12</v>
      </c>
      <c r="U143" s="38">
        <f t="shared" si="11"/>
        <v>1</v>
      </c>
      <c r="V143" s="22">
        <f t="shared" si="12"/>
        <v>144</v>
      </c>
    </row>
    <row r="144">
      <c r="A144" s="2">
        <v>40746.0</v>
      </c>
      <c r="B144" s="5">
        <v>0.0</v>
      </c>
      <c r="C144" s="22">
        <f t="shared" si="2"/>
        <v>4</v>
      </c>
      <c r="D144" s="22">
        <f t="shared" si="3"/>
        <v>4</v>
      </c>
      <c r="E144" s="22">
        <f t="shared" si="1"/>
        <v>5</v>
      </c>
      <c r="F144" s="20"/>
      <c r="G144" s="20"/>
      <c r="H144" s="20"/>
      <c r="I144" s="20"/>
      <c r="J144" s="20"/>
      <c r="K144" s="20"/>
      <c r="L144" s="22">
        <f t="shared" si="4"/>
        <v>-4</v>
      </c>
      <c r="M144" s="38">
        <f t="shared" si="5"/>
        <v>1</v>
      </c>
      <c r="N144" s="22">
        <f t="shared" si="6"/>
        <v>16</v>
      </c>
      <c r="O144" s="20"/>
      <c r="P144" s="22">
        <f t="shared" si="7"/>
        <v>-4</v>
      </c>
      <c r="Q144" s="38">
        <f t="shared" si="8"/>
        <v>1</v>
      </c>
      <c r="R144" s="22">
        <f t="shared" si="9"/>
        <v>16</v>
      </c>
      <c r="S144" s="20"/>
      <c r="T144" s="22">
        <f t="shared" si="10"/>
        <v>-5</v>
      </c>
      <c r="U144" s="38">
        <f t="shared" si="11"/>
        <v>1</v>
      </c>
      <c r="V144" s="22">
        <f t="shared" si="12"/>
        <v>25</v>
      </c>
    </row>
    <row r="145">
      <c r="A145" s="2">
        <v>40749.0</v>
      </c>
      <c r="B145" s="5">
        <v>0.0</v>
      </c>
      <c r="C145" s="22">
        <f t="shared" si="2"/>
        <v>4</v>
      </c>
      <c r="D145" s="22">
        <f t="shared" si="3"/>
        <v>4</v>
      </c>
      <c r="E145" s="22">
        <f t="shared" si="1"/>
        <v>2</v>
      </c>
      <c r="F145" s="20"/>
      <c r="G145" s="20"/>
      <c r="H145" s="20"/>
      <c r="I145" s="20"/>
      <c r="J145" s="20"/>
      <c r="K145" s="20"/>
      <c r="L145" s="22">
        <f t="shared" si="4"/>
        <v>-4</v>
      </c>
      <c r="M145" s="38">
        <f t="shared" si="5"/>
        <v>1</v>
      </c>
      <c r="N145" s="22">
        <f t="shared" si="6"/>
        <v>16</v>
      </c>
      <c r="O145" s="20"/>
      <c r="P145" s="22">
        <f t="shared" si="7"/>
        <v>-4</v>
      </c>
      <c r="Q145" s="38">
        <f t="shared" si="8"/>
        <v>1</v>
      </c>
      <c r="R145" s="22">
        <f t="shared" si="9"/>
        <v>16</v>
      </c>
      <c r="S145" s="20"/>
      <c r="T145" s="22">
        <f t="shared" si="10"/>
        <v>-2</v>
      </c>
      <c r="U145" s="38">
        <f t="shared" si="11"/>
        <v>1</v>
      </c>
      <c r="V145" s="22">
        <f t="shared" si="12"/>
        <v>4</v>
      </c>
    </row>
    <row r="146">
      <c r="A146" s="2">
        <v>40750.0</v>
      </c>
      <c r="B146" s="5">
        <v>0.0</v>
      </c>
      <c r="C146" s="22">
        <f t="shared" si="2"/>
        <v>4</v>
      </c>
      <c r="D146" s="22">
        <f t="shared" si="3"/>
        <v>4</v>
      </c>
      <c r="E146" s="22">
        <f t="shared" si="1"/>
        <v>1</v>
      </c>
      <c r="F146" s="20"/>
      <c r="G146" s="20"/>
      <c r="H146" s="20"/>
      <c r="I146" s="20"/>
      <c r="J146" s="20"/>
      <c r="K146" s="20"/>
      <c r="L146" s="22">
        <f t="shared" si="4"/>
        <v>-4</v>
      </c>
      <c r="M146" s="38">
        <f t="shared" si="5"/>
        <v>1</v>
      </c>
      <c r="N146" s="22">
        <f t="shared" si="6"/>
        <v>16</v>
      </c>
      <c r="O146" s="20"/>
      <c r="P146" s="22">
        <f t="shared" si="7"/>
        <v>-4</v>
      </c>
      <c r="Q146" s="38">
        <f t="shared" si="8"/>
        <v>1</v>
      </c>
      <c r="R146" s="22">
        <f t="shared" si="9"/>
        <v>16</v>
      </c>
      <c r="S146" s="20"/>
      <c r="T146" s="22">
        <f t="shared" si="10"/>
        <v>-1</v>
      </c>
      <c r="U146" s="38">
        <f t="shared" si="11"/>
        <v>1</v>
      </c>
      <c r="V146" s="22">
        <f t="shared" si="12"/>
        <v>1</v>
      </c>
    </row>
    <row r="147">
      <c r="A147" s="2">
        <v>40751.0</v>
      </c>
      <c r="B147" s="5">
        <v>15.0</v>
      </c>
      <c r="C147" s="22">
        <f t="shared" si="2"/>
        <v>4</v>
      </c>
      <c r="D147" s="22">
        <f t="shared" si="3"/>
        <v>4</v>
      </c>
      <c r="E147" s="22">
        <f t="shared" si="1"/>
        <v>0</v>
      </c>
      <c r="F147" s="20"/>
      <c r="G147" s="20"/>
      <c r="H147" s="20"/>
      <c r="I147" s="20"/>
      <c r="J147" s="20"/>
      <c r="K147" s="20"/>
      <c r="L147" s="22">
        <f t="shared" si="4"/>
        <v>11</v>
      </c>
      <c r="M147" s="38">
        <f t="shared" si="5"/>
        <v>0.7333333333</v>
      </c>
      <c r="N147" s="22">
        <f t="shared" si="6"/>
        <v>121</v>
      </c>
      <c r="O147" s="20"/>
      <c r="P147" s="22">
        <f t="shared" si="7"/>
        <v>11</v>
      </c>
      <c r="Q147" s="38">
        <f t="shared" si="8"/>
        <v>0.7333333333</v>
      </c>
      <c r="R147" s="22">
        <f t="shared" si="9"/>
        <v>121</v>
      </c>
      <c r="S147" s="20"/>
      <c r="T147" s="22">
        <f t="shared" si="10"/>
        <v>15</v>
      </c>
      <c r="U147" s="38">
        <f t="shared" si="11"/>
        <v>1</v>
      </c>
      <c r="V147" s="22">
        <f t="shared" si="12"/>
        <v>225</v>
      </c>
    </row>
    <row r="148">
      <c r="A148" s="2">
        <v>40752.0</v>
      </c>
      <c r="B148" s="5">
        <v>0.0</v>
      </c>
      <c r="C148" s="22">
        <f t="shared" si="2"/>
        <v>3</v>
      </c>
      <c r="D148" s="22">
        <f t="shared" si="3"/>
        <v>4</v>
      </c>
      <c r="E148" s="22">
        <f t="shared" si="1"/>
        <v>9</v>
      </c>
      <c r="F148" s="20"/>
      <c r="G148" s="20"/>
      <c r="H148" s="20"/>
      <c r="I148" s="20"/>
      <c r="J148" s="20"/>
      <c r="K148" s="20"/>
      <c r="L148" s="22">
        <f t="shared" si="4"/>
        <v>-3</v>
      </c>
      <c r="M148" s="38">
        <f t="shared" si="5"/>
        <v>1</v>
      </c>
      <c r="N148" s="22">
        <f t="shared" si="6"/>
        <v>9</v>
      </c>
      <c r="O148" s="20"/>
      <c r="P148" s="22">
        <f t="shared" si="7"/>
        <v>-4</v>
      </c>
      <c r="Q148" s="38">
        <f t="shared" si="8"/>
        <v>1</v>
      </c>
      <c r="R148" s="22">
        <f t="shared" si="9"/>
        <v>16</v>
      </c>
      <c r="S148" s="20"/>
      <c r="T148" s="22">
        <f t="shared" si="10"/>
        <v>-9</v>
      </c>
      <c r="U148" s="38">
        <f t="shared" si="11"/>
        <v>1</v>
      </c>
      <c r="V148" s="22">
        <f t="shared" si="12"/>
        <v>81</v>
      </c>
    </row>
    <row r="149">
      <c r="A149" s="2">
        <v>40753.0</v>
      </c>
      <c r="B149" s="5">
        <v>0.0</v>
      </c>
      <c r="C149" s="22">
        <f t="shared" si="2"/>
        <v>3</v>
      </c>
      <c r="D149" s="22">
        <f t="shared" si="3"/>
        <v>4</v>
      </c>
      <c r="E149" s="22">
        <f t="shared" si="1"/>
        <v>4</v>
      </c>
      <c r="F149" s="20"/>
      <c r="G149" s="20"/>
      <c r="H149" s="20"/>
      <c r="I149" s="20"/>
      <c r="J149" s="20"/>
      <c r="K149" s="20"/>
      <c r="L149" s="22">
        <f t="shared" si="4"/>
        <v>-3</v>
      </c>
      <c r="M149" s="38">
        <f t="shared" si="5"/>
        <v>1</v>
      </c>
      <c r="N149" s="22">
        <f t="shared" si="6"/>
        <v>9</v>
      </c>
      <c r="O149" s="20"/>
      <c r="P149" s="22">
        <f t="shared" si="7"/>
        <v>-4</v>
      </c>
      <c r="Q149" s="38">
        <f t="shared" si="8"/>
        <v>1</v>
      </c>
      <c r="R149" s="22">
        <f t="shared" si="9"/>
        <v>16</v>
      </c>
      <c r="S149" s="20"/>
      <c r="T149" s="22">
        <f t="shared" si="10"/>
        <v>-4</v>
      </c>
      <c r="U149" s="38">
        <f t="shared" si="11"/>
        <v>1</v>
      </c>
      <c r="V149" s="22">
        <f t="shared" si="12"/>
        <v>16</v>
      </c>
    </row>
    <row r="150">
      <c r="A150" s="2">
        <v>40756.0</v>
      </c>
      <c r="B150" s="5">
        <v>0.0</v>
      </c>
      <c r="C150" s="22">
        <f t="shared" si="2"/>
        <v>3</v>
      </c>
      <c r="D150" s="22">
        <f t="shared" si="3"/>
        <v>4</v>
      </c>
      <c r="E150" s="22">
        <f t="shared" si="1"/>
        <v>2</v>
      </c>
      <c r="F150" s="20"/>
      <c r="G150" s="20"/>
      <c r="H150" s="20"/>
      <c r="I150" s="20"/>
      <c r="J150" s="20"/>
      <c r="K150" s="20"/>
      <c r="L150" s="22">
        <f t="shared" si="4"/>
        <v>-3</v>
      </c>
      <c r="M150" s="38">
        <f t="shared" si="5"/>
        <v>1</v>
      </c>
      <c r="N150" s="22">
        <f t="shared" si="6"/>
        <v>9</v>
      </c>
      <c r="O150" s="20"/>
      <c r="P150" s="22">
        <f t="shared" si="7"/>
        <v>-4</v>
      </c>
      <c r="Q150" s="38">
        <f t="shared" si="8"/>
        <v>1</v>
      </c>
      <c r="R150" s="22">
        <f t="shared" si="9"/>
        <v>16</v>
      </c>
      <c r="S150" s="20"/>
      <c r="T150" s="22">
        <f t="shared" si="10"/>
        <v>-2</v>
      </c>
      <c r="U150" s="38">
        <f t="shared" si="11"/>
        <v>1</v>
      </c>
      <c r="V150" s="22">
        <f t="shared" si="12"/>
        <v>4</v>
      </c>
    </row>
    <row r="151">
      <c r="A151" s="2">
        <v>40757.0</v>
      </c>
      <c r="B151" s="5">
        <v>0.0</v>
      </c>
      <c r="C151" s="22">
        <f t="shared" si="2"/>
        <v>3</v>
      </c>
      <c r="D151" s="22">
        <f t="shared" si="3"/>
        <v>4</v>
      </c>
      <c r="E151" s="22">
        <f t="shared" si="1"/>
        <v>1</v>
      </c>
      <c r="F151" s="20"/>
      <c r="G151" s="20"/>
      <c r="H151" s="20"/>
      <c r="I151" s="20"/>
      <c r="J151" s="20"/>
      <c r="K151" s="20"/>
      <c r="L151" s="22">
        <f t="shared" si="4"/>
        <v>-3</v>
      </c>
      <c r="M151" s="38">
        <f t="shared" si="5"/>
        <v>1</v>
      </c>
      <c r="N151" s="22">
        <f t="shared" si="6"/>
        <v>9</v>
      </c>
      <c r="O151" s="20"/>
      <c r="P151" s="22">
        <f t="shared" si="7"/>
        <v>-4</v>
      </c>
      <c r="Q151" s="38">
        <f t="shared" si="8"/>
        <v>1</v>
      </c>
      <c r="R151" s="22">
        <f t="shared" si="9"/>
        <v>16</v>
      </c>
      <c r="S151" s="20"/>
      <c r="T151" s="22">
        <f t="shared" si="10"/>
        <v>-1</v>
      </c>
      <c r="U151" s="38">
        <f t="shared" si="11"/>
        <v>1</v>
      </c>
      <c r="V151" s="22">
        <f t="shared" si="12"/>
        <v>1</v>
      </c>
    </row>
    <row r="152">
      <c r="A152" s="2">
        <v>40758.0</v>
      </c>
      <c r="B152" s="5">
        <v>21.0</v>
      </c>
      <c r="C152" s="22">
        <f t="shared" si="2"/>
        <v>3</v>
      </c>
      <c r="D152" s="22">
        <f t="shared" si="3"/>
        <v>4</v>
      </c>
      <c r="E152" s="22">
        <f t="shared" si="1"/>
        <v>0</v>
      </c>
      <c r="F152" s="20"/>
      <c r="G152" s="20"/>
      <c r="H152" s="20"/>
      <c r="I152" s="20"/>
      <c r="J152" s="20"/>
      <c r="K152" s="20"/>
      <c r="L152" s="22">
        <f t="shared" si="4"/>
        <v>18</v>
      </c>
      <c r="M152" s="38">
        <f t="shared" si="5"/>
        <v>0.8571428571</v>
      </c>
      <c r="N152" s="22">
        <f t="shared" si="6"/>
        <v>324</v>
      </c>
      <c r="O152" s="20"/>
      <c r="P152" s="22">
        <f t="shared" si="7"/>
        <v>17</v>
      </c>
      <c r="Q152" s="38">
        <f t="shared" si="8"/>
        <v>0.8095238095</v>
      </c>
      <c r="R152" s="22">
        <f t="shared" si="9"/>
        <v>289</v>
      </c>
      <c r="S152" s="20"/>
      <c r="T152" s="22">
        <f t="shared" si="10"/>
        <v>21</v>
      </c>
      <c r="U152" s="38">
        <f t="shared" si="11"/>
        <v>1</v>
      </c>
      <c r="V152" s="22">
        <f t="shared" si="12"/>
        <v>441</v>
      </c>
    </row>
    <row r="153">
      <c r="A153" s="2">
        <v>40759.0</v>
      </c>
      <c r="B153" s="5">
        <v>0.0</v>
      </c>
      <c r="C153" s="22">
        <f t="shared" si="2"/>
        <v>4</v>
      </c>
      <c r="D153" s="22">
        <f t="shared" si="3"/>
        <v>4</v>
      </c>
      <c r="E153" s="22">
        <f t="shared" si="1"/>
        <v>13</v>
      </c>
      <c r="F153" s="20"/>
      <c r="G153" s="20"/>
      <c r="H153" s="20"/>
      <c r="I153" s="20"/>
      <c r="J153" s="20"/>
      <c r="K153" s="20"/>
      <c r="L153" s="22">
        <f t="shared" si="4"/>
        <v>-4</v>
      </c>
      <c r="M153" s="38">
        <f t="shared" si="5"/>
        <v>1</v>
      </c>
      <c r="N153" s="22">
        <f t="shared" si="6"/>
        <v>16</v>
      </c>
      <c r="O153" s="20"/>
      <c r="P153" s="22">
        <f t="shared" si="7"/>
        <v>-4</v>
      </c>
      <c r="Q153" s="38">
        <f t="shared" si="8"/>
        <v>1</v>
      </c>
      <c r="R153" s="22">
        <f t="shared" si="9"/>
        <v>16</v>
      </c>
      <c r="S153" s="20"/>
      <c r="T153" s="22">
        <f t="shared" si="10"/>
        <v>-13</v>
      </c>
      <c r="U153" s="38">
        <f t="shared" si="11"/>
        <v>1</v>
      </c>
      <c r="V153" s="22">
        <f t="shared" si="12"/>
        <v>169</v>
      </c>
    </row>
    <row r="154">
      <c r="A154" s="2">
        <v>40760.0</v>
      </c>
      <c r="B154" s="5">
        <v>0.0</v>
      </c>
      <c r="C154" s="22">
        <f t="shared" si="2"/>
        <v>4</v>
      </c>
      <c r="D154" s="22">
        <f t="shared" si="3"/>
        <v>4</v>
      </c>
      <c r="E154" s="22">
        <f t="shared" si="1"/>
        <v>5</v>
      </c>
      <c r="F154" s="20"/>
      <c r="G154" s="20"/>
      <c r="H154" s="20"/>
      <c r="I154" s="20"/>
      <c r="J154" s="20"/>
      <c r="K154" s="20"/>
      <c r="L154" s="22">
        <f t="shared" si="4"/>
        <v>-4</v>
      </c>
      <c r="M154" s="38">
        <f t="shared" si="5"/>
        <v>1</v>
      </c>
      <c r="N154" s="22">
        <f t="shared" si="6"/>
        <v>16</v>
      </c>
      <c r="O154" s="20"/>
      <c r="P154" s="22">
        <f t="shared" si="7"/>
        <v>-4</v>
      </c>
      <c r="Q154" s="38">
        <f t="shared" si="8"/>
        <v>1</v>
      </c>
      <c r="R154" s="22">
        <f t="shared" si="9"/>
        <v>16</v>
      </c>
      <c r="S154" s="20"/>
      <c r="T154" s="22">
        <f t="shared" si="10"/>
        <v>-5</v>
      </c>
      <c r="U154" s="38">
        <f t="shared" si="11"/>
        <v>1</v>
      </c>
      <c r="V154" s="22">
        <f t="shared" si="12"/>
        <v>25</v>
      </c>
    </row>
    <row r="155">
      <c r="A155" s="2">
        <v>40763.0</v>
      </c>
      <c r="B155" s="5">
        <v>0.0</v>
      </c>
      <c r="C155" s="22">
        <f t="shared" si="2"/>
        <v>4</v>
      </c>
      <c r="D155" s="22">
        <f t="shared" si="3"/>
        <v>4</v>
      </c>
      <c r="E155" s="22">
        <f t="shared" si="1"/>
        <v>2</v>
      </c>
      <c r="F155" s="20"/>
      <c r="G155" s="20"/>
      <c r="H155" s="20"/>
      <c r="I155" s="20"/>
      <c r="J155" s="20"/>
      <c r="K155" s="20"/>
      <c r="L155" s="22">
        <f t="shared" si="4"/>
        <v>-4</v>
      </c>
      <c r="M155" s="38">
        <f t="shared" si="5"/>
        <v>1</v>
      </c>
      <c r="N155" s="22">
        <f t="shared" si="6"/>
        <v>16</v>
      </c>
      <c r="O155" s="20"/>
      <c r="P155" s="22">
        <f t="shared" si="7"/>
        <v>-4</v>
      </c>
      <c r="Q155" s="38">
        <f t="shared" si="8"/>
        <v>1</v>
      </c>
      <c r="R155" s="22">
        <f t="shared" si="9"/>
        <v>16</v>
      </c>
      <c r="S155" s="20"/>
      <c r="T155" s="22">
        <f t="shared" si="10"/>
        <v>-2</v>
      </c>
      <c r="U155" s="38">
        <f t="shared" si="11"/>
        <v>1</v>
      </c>
      <c r="V155" s="22">
        <f t="shared" si="12"/>
        <v>4</v>
      </c>
    </row>
    <row r="156">
      <c r="A156" s="2">
        <v>40764.0</v>
      </c>
      <c r="B156" s="5">
        <v>0.0</v>
      </c>
      <c r="C156" s="22">
        <f t="shared" si="2"/>
        <v>4</v>
      </c>
      <c r="D156" s="22">
        <f t="shared" si="3"/>
        <v>4</v>
      </c>
      <c r="E156" s="22">
        <f t="shared" si="1"/>
        <v>1</v>
      </c>
      <c r="F156" s="20"/>
      <c r="G156" s="20"/>
      <c r="H156" s="20"/>
      <c r="I156" s="20"/>
      <c r="J156" s="20"/>
      <c r="K156" s="20"/>
      <c r="L156" s="22">
        <f t="shared" si="4"/>
        <v>-4</v>
      </c>
      <c r="M156" s="38">
        <f t="shared" si="5"/>
        <v>1</v>
      </c>
      <c r="N156" s="22">
        <f t="shared" si="6"/>
        <v>16</v>
      </c>
      <c r="O156" s="20"/>
      <c r="P156" s="22">
        <f t="shared" si="7"/>
        <v>-4</v>
      </c>
      <c r="Q156" s="38">
        <f t="shared" si="8"/>
        <v>1</v>
      </c>
      <c r="R156" s="22">
        <f t="shared" si="9"/>
        <v>16</v>
      </c>
      <c r="S156" s="20"/>
      <c r="T156" s="22">
        <f t="shared" si="10"/>
        <v>-1</v>
      </c>
      <c r="U156" s="38">
        <f t="shared" si="11"/>
        <v>1</v>
      </c>
      <c r="V156" s="22">
        <f t="shared" si="12"/>
        <v>1</v>
      </c>
    </row>
    <row r="157">
      <c r="A157" s="2">
        <v>40765.0</v>
      </c>
      <c r="B157" s="5">
        <v>20.0</v>
      </c>
      <c r="C157" s="22">
        <f t="shared" si="2"/>
        <v>4</v>
      </c>
      <c r="D157" s="22">
        <f t="shared" si="3"/>
        <v>4</v>
      </c>
      <c r="E157" s="22">
        <f t="shared" si="1"/>
        <v>0</v>
      </c>
      <c r="F157" s="20"/>
      <c r="G157" s="20"/>
      <c r="H157" s="20"/>
      <c r="I157" s="20"/>
      <c r="J157" s="20"/>
      <c r="K157" s="20"/>
      <c r="L157" s="22">
        <f t="shared" si="4"/>
        <v>16</v>
      </c>
      <c r="M157" s="38">
        <f t="shared" si="5"/>
        <v>0.8</v>
      </c>
      <c r="N157" s="22">
        <f t="shared" si="6"/>
        <v>256</v>
      </c>
      <c r="O157" s="20"/>
      <c r="P157" s="22">
        <f t="shared" si="7"/>
        <v>16</v>
      </c>
      <c r="Q157" s="38">
        <f t="shared" si="8"/>
        <v>0.8</v>
      </c>
      <c r="R157" s="22">
        <f t="shared" si="9"/>
        <v>256</v>
      </c>
      <c r="S157" s="20"/>
      <c r="T157" s="22">
        <f t="shared" si="10"/>
        <v>20</v>
      </c>
      <c r="U157" s="38">
        <f t="shared" si="11"/>
        <v>1</v>
      </c>
      <c r="V157" s="22">
        <f t="shared" si="12"/>
        <v>400</v>
      </c>
    </row>
    <row r="158">
      <c r="A158" s="2">
        <v>40766.0</v>
      </c>
      <c r="B158" s="5">
        <v>0.0</v>
      </c>
      <c r="C158" s="22">
        <f t="shared" si="2"/>
        <v>4</v>
      </c>
      <c r="D158" s="22">
        <f t="shared" si="3"/>
        <v>4</v>
      </c>
      <c r="E158" s="22">
        <f t="shared" si="1"/>
        <v>12</v>
      </c>
      <c r="F158" s="20"/>
      <c r="G158" s="20"/>
      <c r="H158" s="20"/>
      <c r="I158" s="20"/>
      <c r="J158" s="20"/>
      <c r="K158" s="20"/>
      <c r="L158" s="22">
        <f t="shared" si="4"/>
        <v>-4</v>
      </c>
      <c r="M158" s="38">
        <f t="shared" si="5"/>
        <v>1</v>
      </c>
      <c r="N158" s="22">
        <f t="shared" si="6"/>
        <v>16</v>
      </c>
      <c r="O158" s="20"/>
      <c r="P158" s="22">
        <f t="shared" si="7"/>
        <v>-4</v>
      </c>
      <c r="Q158" s="38">
        <f t="shared" si="8"/>
        <v>1</v>
      </c>
      <c r="R158" s="22">
        <f t="shared" si="9"/>
        <v>16</v>
      </c>
      <c r="S158" s="20"/>
      <c r="T158" s="22">
        <f t="shared" si="10"/>
        <v>-12</v>
      </c>
      <c r="U158" s="38">
        <f t="shared" si="11"/>
        <v>1</v>
      </c>
      <c r="V158" s="22">
        <f t="shared" si="12"/>
        <v>144</v>
      </c>
    </row>
    <row r="159">
      <c r="A159" s="2">
        <v>40767.0</v>
      </c>
      <c r="B159" s="5">
        <v>0.0</v>
      </c>
      <c r="C159" s="22">
        <f t="shared" si="2"/>
        <v>4</v>
      </c>
      <c r="D159" s="22">
        <f t="shared" si="3"/>
        <v>4</v>
      </c>
      <c r="E159" s="22">
        <f t="shared" si="1"/>
        <v>5</v>
      </c>
      <c r="F159" s="20"/>
      <c r="G159" s="20"/>
      <c r="H159" s="20"/>
      <c r="I159" s="20"/>
      <c r="J159" s="20"/>
      <c r="K159" s="20"/>
      <c r="L159" s="22">
        <f t="shared" si="4"/>
        <v>-4</v>
      </c>
      <c r="M159" s="38">
        <f t="shared" si="5"/>
        <v>1</v>
      </c>
      <c r="N159" s="22">
        <f t="shared" si="6"/>
        <v>16</v>
      </c>
      <c r="O159" s="20"/>
      <c r="P159" s="22">
        <f t="shared" si="7"/>
        <v>-4</v>
      </c>
      <c r="Q159" s="38">
        <f t="shared" si="8"/>
        <v>1</v>
      </c>
      <c r="R159" s="22">
        <f t="shared" si="9"/>
        <v>16</v>
      </c>
      <c r="S159" s="20"/>
      <c r="T159" s="22">
        <f t="shared" si="10"/>
        <v>-5</v>
      </c>
      <c r="U159" s="38">
        <f t="shared" si="11"/>
        <v>1</v>
      </c>
      <c r="V159" s="22">
        <f t="shared" si="12"/>
        <v>25</v>
      </c>
    </row>
    <row r="160">
      <c r="A160" s="2">
        <v>40770.0</v>
      </c>
      <c r="B160" s="5">
        <v>0.0</v>
      </c>
      <c r="C160" s="22">
        <f t="shared" si="2"/>
        <v>4</v>
      </c>
      <c r="D160" s="22">
        <f t="shared" si="3"/>
        <v>4</v>
      </c>
      <c r="E160" s="22">
        <f t="shared" si="1"/>
        <v>2</v>
      </c>
      <c r="F160" s="20"/>
      <c r="G160" s="20"/>
      <c r="H160" s="20"/>
      <c r="I160" s="20"/>
      <c r="J160" s="20"/>
      <c r="K160" s="20"/>
      <c r="L160" s="22">
        <f t="shared" si="4"/>
        <v>-4</v>
      </c>
      <c r="M160" s="38">
        <f t="shared" si="5"/>
        <v>1</v>
      </c>
      <c r="N160" s="22">
        <f t="shared" si="6"/>
        <v>16</v>
      </c>
      <c r="O160" s="20"/>
      <c r="P160" s="22">
        <f t="shared" si="7"/>
        <v>-4</v>
      </c>
      <c r="Q160" s="38">
        <f t="shared" si="8"/>
        <v>1</v>
      </c>
      <c r="R160" s="22">
        <f t="shared" si="9"/>
        <v>16</v>
      </c>
      <c r="S160" s="20"/>
      <c r="T160" s="22">
        <f t="shared" si="10"/>
        <v>-2</v>
      </c>
      <c r="U160" s="38">
        <f t="shared" si="11"/>
        <v>1</v>
      </c>
      <c r="V160" s="22">
        <f t="shared" si="12"/>
        <v>4</v>
      </c>
    </row>
    <row r="161">
      <c r="A161" s="2">
        <v>40771.0</v>
      </c>
      <c r="B161" s="5">
        <v>0.0</v>
      </c>
      <c r="C161" s="22">
        <f t="shared" si="2"/>
        <v>4</v>
      </c>
      <c r="D161" s="22">
        <f t="shared" si="3"/>
        <v>4</v>
      </c>
      <c r="E161" s="22">
        <f t="shared" si="1"/>
        <v>1</v>
      </c>
      <c r="F161" s="20"/>
      <c r="G161" s="20"/>
      <c r="H161" s="20"/>
      <c r="I161" s="20"/>
      <c r="J161" s="20"/>
      <c r="K161" s="20"/>
      <c r="L161" s="22">
        <f t="shared" si="4"/>
        <v>-4</v>
      </c>
      <c r="M161" s="38">
        <f t="shared" si="5"/>
        <v>1</v>
      </c>
      <c r="N161" s="22">
        <f t="shared" si="6"/>
        <v>16</v>
      </c>
      <c r="O161" s="20"/>
      <c r="P161" s="22">
        <f t="shared" si="7"/>
        <v>-4</v>
      </c>
      <c r="Q161" s="38">
        <f t="shared" si="8"/>
        <v>1</v>
      </c>
      <c r="R161" s="22">
        <f t="shared" si="9"/>
        <v>16</v>
      </c>
      <c r="S161" s="20"/>
      <c r="T161" s="22">
        <f t="shared" si="10"/>
        <v>-1</v>
      </c>
      <c r="U161" s="38">
        <f t="shared" si="11"/>
        <v>1</v>
      </c>
      <c r="V161" s="22">
        <f t="shared" si="12"/>
        <v>1</v>
      </c>
    </row>
    <row r="162">
      <c r="A162" s="2">
        <v>40772.0</v>
      </c>
      <c r="B162" s="5">
        <v>21.0</v>
      </c>
      <c r="C162" s="22">
        <f t="shared" si="2"/>
        <v>4</v>
      </c>
      <c r="D162" s="22">
        <f t="shared" si="3"/>
        <v>4</v>
      </c>
      <c r="E162" s="22">
        <f t="shared" si="1"/>
        <v>0</v>
      </c>
      <c r="F162" s="20"/>
      <c r="G162" s="20"/>
      <c r="H162" s="20"/>
      <c r="I162" s="20"/>
      <c r="J162" s="20"/>
      <c r="K162" s="20"/>
      <c r="L162" s="22">
        <f t="shared" si="4"/>
        <v>17</v>
      </c>
      <c r="M162" s="38">
        <f t="shared" si="5"/>
        <v>0.8095238095</v>
      </c>
      <c r="N162" s="22">
        <f t="shared" si="6"/>
        <v>289</v>
      </c>
      <c r="O162" s="20"/>
      <c r="P162" s="22">
        <f t="shared" si="7"/>
        <v>17</v>
      </c>
      <c r="Q162" s="38">
        <f t="shared" si="8"/>
        <v>0.8095238095</v>
      </c>
      <c r="R162" s="22">
        <f t="shared" si="9"/>
        <v>289</v>
      </c>
      <c r="S162" s="20"/>
      <c r="T162" s="22">
        <f t="shared" si="10"/>
        <v>21</v>
      </c>
      <c r="U162" s="38">
        <f t="shared" si="11"/>
        <v>1</v>
      </c>
      <c r="V162" s="22">
        <f t="shared" si="12"/>
        <v>441</v>
      </c>
    </row>
    <row r="163">
      <c r="A163" s="2">
        <v>40773.0</v>
      </c>
      <c r="B163" s="5">
        <v>0.0</v>
      </c>
      <c r="C163" s="22">
        <f t="shared" si="2"/>
        <v>4</v>
      </c>
      <c r="D163" s="22">
        <f t="shared" si="3"/>
        <v>4</v>
      </c>
      <c r="E163" s="22">
        <f t="shared" si="1"/>
        <v>13</v>
      </c>
      <c r="F163" s="20"/>
      <c r="G163" s="20"/>
      <c r="H163" s="20"/>
      <c r="I163" s="20"/>
      <c r="J163" s="20"/>
      <c r="K163" s="20"/>
      <c r="L163" s="22">
        <f t="shared" si="4"/>
        <v>-4</v>
      </c>
      <c r="M163" s="38">
        <f t="shared" si="5"/>
        <v>1</v>
      </c>
      <c r="N163" s="22">
        <f t="shared" si="6"/>
        <v>16</v>
      </c>
      <c r="O163" s="20"/>
      <c r="P163" s="22">
        <f t="shared" si="7"/>
        <v>-4</v>
      </c>
      <c r="Q163" s="38">
        <f t="shared" si="8"/>
        <v>1</v>
      </c>
      <c r="R163" s="22">
        <f t="shared" si="9"/>
        <v>16</v>
      </c>
      <c r="S163" s="20"/>
      <c r="T163" s="22">
        <f t="shared" si="10"/>
        <v>-13</v>
      </c>
      <c r="U163" s="38">
        <f t="shared" si="11"/>
        <v>1</v>
      </c>
      <c r="V163" s="22">
        <f t="shared" si="12"/>
        <v>169</v>
      </c>
    </row>
    <row r="164">
      <c r="A164" s="2">
        <v>40774.0</v>
      </c>
      <c r="B164" s="5">
        <v>0.0</v>
      </c>
      <c r="C164" s="22">
        <f t="shared" si="2"/>
        <v>4</v>
      </c>
      <c r="D164" s="22">
        <f t="shared" si="3"/>
        <v>4</v>
      </c>
      <c r="E164" s="22">
        <f t="shared" si="1"/>
        <v>5</v>
      </c>
      <c r="F164" s="20"/>
      <c r="G164" s="20"/>
      <c r="H164" s="20"/>
      <c r="I164" s="20"/>
      <c r="J164" s="20"/>
      <c r="K164" s="20"/>
      <c r="L164" s="22">
        <f t="shared" si="4"/>
        <v>-4</v>
      </c>
      <c r="M164" s="38">
        <f t="shared" si="5"/>
        <v>1</v>
      </c>
      <c r="N164" s="22">
        <f t="shared" si="6"/>
        <v>16</v>
      </c>
      <c r="O164" s="20"/>
      <c r="P164" s="22">
        <f t="shared" si="7"/>
        <v>-4</v>
      </c>
      <c r="Q164" s="38">
        <f t="shared" si="8"/>
        <v>1</v>
      </c>
      <c r="R164" s="22">
        <f t="shared" si="9"/>
        <v>16</v>
      </c>
      <c r="S164" s="20"/>
      <c r="T164" s="22">
        <f t="shared" si="10"/>
        <v>-5</v>
      </c>
      <c r="U164" s="38">
        <f t="shared" si="11"/>
        <v>1</v>
      </c>
      <c r="V164" s="22">
        <f t="shared" si="12"/>
        <v>25</v>
      </c>
    </row>
    <row r="165">
      <c r="A165" s="2">
        <v>40777.0</v>
      </c>
      <c r="B165" s="5">
        <v>0.0</v>
      </c>
      <c r="C165" s="22">
        <f t="shared" si="2"/>
        <v>4</v>
      </c>
      <c r="D165" s="22">
        <f t="shared" si="3"/>
        <v>4</v>
      </c>
      <c r="E165" s="22">
        <f t="shared" si="1"/>
        <v>2</v>
      </c>
      <c r="F165" s="20"/>
      <c r="G165" s="20"/>
      <c r="H165" s="20"/>
      <c r="I165" s="20"/>
      <c r="J165" s="20"/>
      <c r="K165" s="20"/>
      <c r="L165" s="22">
        <f t="shared" si="4"/>
        <v>-4</v>
      </c>
      <c r="M165" s="38">
        <f t="shared" si="5"/>
        <v>1</v>
      </c>
      <c r="N165" s="22">
        <f t="shared" si="6"/>
        <v>16</v>
      </c>
      <c r="O165" s="20"/>
      <c r="P165" s="22">
        <f t="shared" si="7"/>
        <v>-4</v>
      </c>
      <c r="Q165" s="38">
        <f t="shared" si="8"/>
        <v>1</v>
      </c>
      <c r="R165" s="22">
        <f t="shared" si="9"/>
        <v>16</v>
      </c>
      <c r="S165" s="20"/>
      <c r="T165" s="22">
        <f t="shared" si="10"/>
        <v>-2</v>
      </c>
      <c r="U165" s="38">
        <f t="shared" si="11"/>
        <v>1</v>
      </c>
      <c r="V165" s="22">
        <f t="shared" si="12"/>
        <v>4</v>
      </c>
    </row>
    <row r="166">
      <c r="A166" s="2">
        <v>40778.0</v>
      </c>
      <c r="B166" s="5">
        <v>0.0</v>
      </c>
      <c r="C166" s="22">
        <f t="shared" si="2"/>
        <v>4</v>
      </c>
      <c r="D166" s="22">
        <f t="shared" si="3"/>
        <v>4</v>
      </c>
      <c r="E166" s="22">
        <f t="shared" si="1"/>
        <v>1</v>
      </c>
      <c r="F166" s="20"/>
      <c r="G166" s="20"/>
      <c r="H166" s="20"/>
      <c r="I166" s="20"/>
      <c r="J166" s="20"/>
      <c r="K166" s="20"/>
      <c r="L166" s="22">
        <f t="shared" si="4"/>
        <v>-4</v>
      </c>
      <c r="M166" s="38">
        <f t="shared" si="5"/>
        <v>1</v>
      </c>
      <c r="N166" s="22">
        <f t="shared" si="6"/>
        <v>16</v>
      </c>
      <c r="O166" s="20"/>
      <c r="P166" s="22">
        <f t="shared" si="7"/>
        <v>-4</v>
      </c>
      <c r="Q166" s="38">
        <f t="shared" si="8"/>
        <v>1</v>
      </c>
      <c r="R166" s="22">
        <f t="shared" si="9"/>
        <v>16</v>
      </c>
      <c r="S166" s="20"/>
      <c r="T166" s="22">
        <f t="shared" si="10"/>
        <v>-1</v>
      </c>
      <c r="U166" s="38">
        <f t="shared" si="11"/>
        <v>1</v>
      </c>
      <c r="V166" s="22">
        <f t="shared" si="12"/>
        <v>1</v>
      </c>
    </row>
    <row r="167">
      <c r="A167" s="2">
        <v>40779.0</v>
      </c>
      <c r="B167" s="5">
        <v>20.0</v>
      </c>
      <c r="C167" s="22">
        <f t="shared" si="2"/>
        <v>4</v>
      </c>
      <c r="D167" s="22">
        <f t="shared" si="3"/>
        <v>4</v>
      </c>
      <c r="E167" s="22">
        <f t="shared" si="1"/>
        <v>0</v>
      </c>
      <c r="F167" s="20"/>
      <c r="G167" s="20"/>
      <c r="H167" s="20"/>
      <c r="I167" s="20"/>
      <c r="J167" s="20"/>
      <c r="K167" s="20"/>
      <c r="L167" s="22">
        <f t="shared" si="4"/>
        <v>16</v>
      </c>
      <c r="M167" s="38">
        <f t="shared" si="5"/>
        <v>0.8</v>
      </c>
      <c r="N167" s="22">
        <f t="shared" si="6"/>
        <v>256</v>
      </c>
      <c r="O167" s="20"/>
      <c r="P167" s="22">
        <f t="shared" si="7"/>
        <v>16</v>
      </c>
      <c r="Q167" s="38">
        <f t="shared" si="8"/>
        <v>0.8</v>
      </c>
      <c r="R167" s="22">
        <f t="shared" si="9"/>
        <v>256</v>
      </c>
      <c r="S167" s="20"/>
      <c r="T167" s="22">
        <f t="shared" si="10"/>
        <v>20</v>
      </c>
      <c r="U167" s="38">
        <f t="shared" si="11"/>
        <v>1</v>
      </c>
      <c r="V167" s="22">
        <f t="shared" si="12"/>
        <v>400</v>
      </c>
    </row>
    <row r="168">
      <c r="A168" s="2">
        <v>40780.0</v>
      </c>
      <c r="B168" s="5">
        <v>0.0</v>
      </c>
      <c r="C168" s="22">
        <f t="shared" si="2"/>
        <v>4</v>
      </c>
      <c r="D168" s="22">
        <f t="shared" si="3"/>
        <v>4</v>
      </c>
      <c r="E168" s="22">
        <f t="shared" si="1"/>
        <v>12</v>
      </c>
      <c r="F168" s="20"/>
      <c r="G168" s="20"/>
      <c r="H168" s="20"/>
      <c r="I168" s="20"/>
      <c r="J168" s="20"/>
      <c r="K168" s="20"/>
      <c r="L168" s="22">
        <f t="shared" si="4"/>
        <v>-4</v>
      </c>
      <c r="M168" s="38">
        <f t="shared" si="5"/>
        <v>1</v>
      </c>
      <c r="N168" s="22">
        <f t="shared" si="6"/>
        <v>16</v>
      </c>
      <c r="O168" s="20"/>
      <c r="P168" s="22">
        <f t="shared" si="7"/>
        <v>-4</v>
      </c>
      <c r="Q168" s="38">
        <f t="shared" si="8"/>
        <v>1</v>
      </c>
      <c r="R168" s="22">
        <f t="shared" si="9"/>
        <v>16</v>
      </c>
      <c r="S168" s="20"/>
      <c r="T168" s="22">
        <f t="shared" si="10"/>
        <v>-12</v>
      </c>
      <c r="U168" s="38">
        <f t="shared" si="11"/>
        <v>1</v>
      </c>
      <c r="V168" s="22">
        <f t="shared" si="12"/>
        <v>144</v>
      </c>
    </row>
    <row r="169">
      <c r="A169" s="2">
        <v>40781.0</v>
      </c>
      <c r="B169" s="5">
        <v>0.0</v>
      </c>
      <c r="C169" s="22">
        <f t="shared" si="2"/>
        <v>4</v>
      </c>
      <c r="D169" s="22">
        <f t="shared" si="3"/>
        <v>4</v>
      </c>
      <c r="E169" s="22">
        <f t="shared" si="1"/>
        <v>5</v>
      </c>
      <c r="F169" s="20"/>
      <c r="G169" s="20"/>
      <c r="H169" s="20"/>
      <c r="I169" s="20"/>
      <c r="J169" s="20"/>
      <c r="K169" s="20"/>
      <c r="L169" s="22">
        <f t="shared" si="4"/>
        <v>-4</v>
      </c>
      <c r="M169" s="38">
        <f t="shared" si="5"/>
        <v>1</v>
      </c>
      <c r="N169" s="22">
        <f t="shared" si="6"/>
        <v>16</v>
      </c>
      <c r="O169" s="20"/>
      <c r="P169" s="22">
        <f t="shared" si="7"/>
        <v>-4</v>
      </c>
      <c r="Q169" s="38">
        <f t="shared" si="8"/>
        <v>1</v>
      </c>
      <c r="R169" s="22">
        <f t="shared" si="9"/>
        <v>16</v>
      </c>
      <c r="S169" s="20"/>
      <c r="T169" s="22">
        <f t="shared" si="10"/>
        <v>-5</v>
      </c>
      <c r="U169" s="38">
        <f t="shared" si="11"/>
        <v>1</v>
      </c>
      <c r="V169" s="22">
        <f t="shared" si="12"/>
        <v>25</v>
      </c>
    </row>
    <row r="170">
      <c r="A170" s="2">
        <v>40784.0</v>
      </c>
      <c r="B170" s="5">
        <v>0.0</v>
      </c>
      <c r="C170" s="22">
        <f t="shared" si="2"/>
        <v>4</v>
      </c>
      <c r="D170" s="22">
        <f t="shared" si="3"/>
        <v>4</v>
      </c>
      <c r="E170" s="22">
        <f t="shared" si="1"/>
        <v>2</v>
      </c>
      <c r="F170" s="20"/>
      <c r="G170" s="20"/>
      <c r="H170" s="20"/>
      <c r="I170" s="20"/>
      <c r="J170" s="20"/>
      <c r="K170" s="20"/>
      <c r="L170" s="22">
        <f t="shared" si="4"/>
        <v>-4</v>
      </c>
      <c r="M170" s="38">
        <f t="shared" si="5"/>
        <v>1</v>
      </c>
      <c r="N170" s="22">
        <f t="shared" si="6"/>
        <v>16</v>
      </c>
      <c r="O170" s="20"/>
      <c r="P170" s="22">
        <f t="shared" si="7"/>
        <v>-4</v>
      </c>
      <c r="Q170" s="38">
        <f t="shared" si="8"/>
        <v>1</v>
      </c>
      <c r="R170" s="22">
        <f t="shared" si="9"/>
        <v>16</v>
      </c>
      <c r="S170" s="20"/>
      <c r="T170" s="22">
        <f t="shared" si="10"/>
        <v>-2</v>
      </c>
      <c r="U170" s="38">
        <f t="shared" si="11"/>
        <v>1</v>
      </c>
      <c r="V170" s="22">
        <f t="shared" si="12"/>
        <v>4</v>
      </c>
    </row>
    <row r="171">
      <c r="A171" s="2">
        <v>40785.0</v>
      </c>
      <c r="B171" s="5">
        <v>0.0</v>
      </c>
      <c r="C171" s="22">
        <f t="shared" si="2"/>
        <v>4</v>
      </c>
      <c r="D171" s="22">
        <f t="shared" si="3"/>
        <v>4</v>
      </c>
      <c r="E171" s="22">
        <f t="shared" si="1"/>
        <v>1</v>
      </c>
      <c r="F171" s="20"/>
      <c r="G171" s="20"/>
      <c r="H171" s="20"/>
      <c r="I171" s="20"/>
      <c r="J171" s="20"/>
      <c r="K171" s="20"/>
      <c r="L171" s="22">
        <f t="shared" si="4"/>
        <v>-4</v>
      </c>
      <c r="M171" s="38">
        <f t="shared" si="5"/>
        <v>1</v>
      </c>
      <c r="N171" s="22">
        <f t="shared" si="6"/>
        <v>16</v>
      </c>
      <c r="O171" s="20"/>
      <c r="P171" s="22">
        <f t="shared" si="7"/>
        <v>-4</v>
      </c>
      <c r="Q171" s="38">
        <f t="shared" si="8"/>
        <v>1</v>
      </c>
      <c r="R171" s="22">
        <f t="shared" si="9"/>
        <v>16</v>
      </c>
      <c r="S171" s="20"/>
      <c r="T171" s="22">
        <f t="shared" si="10"/>
        <v>-1</v>
      </c>
      <c r="U171" s="38">
        <f t="shared" si="11"/>
        <v>1</v>
      </c>
      <c r="V171" s="22">
        <f t="shared" si="12"/>
        <v>1</v>
      </c>
    </row>
    <row r="172">
      <c r="A172" s="2">
        <v>40786.0</v>
      </c>
      <c r="B172" s="5">
        <v>20.0</v>
      </c>
      <c r="C172" s="22">
        <f t="shared" si="2"/>
        <v>4</v>
      </c>
      <c r="D172" s="22">
        <f t="shared" si="3"/>
        <v>4</v>
      </c>
      <c r="E172" s="22">
        <f t="shared" si="1"/>
        <v>0</v>
      </c>
      <c r="F172" s="20"/>
      <c r="G172" s="20"/>
      <c r="H172" s="20"/>
      <c r="I172" s="20"/>
      <c r="J172" s="20"/>
      <c r="K172" s="20"/>
      <c r="L172" s="22">
        <f t="shared" si="4"/>
        <v>16</v>
      </c>
      <c r="M172" s="38">
        <f t="shared" si="5"/>
        <v>0.8</v>
      </c>
      <c r="N172" s="22">
        <f t="shared" si="6"/>
        <v>256</v>
      </c>
      <c r="O172" s="20"/>
      <c r="P172" s="22">
        <f t="shared" si="7"/>
        <v>16</v>
      </c>
      <c r="Q172" s="38">
        <f t="shared" si="8"/>
        <v>0.8</v>
      </c>
      <c r="R172" s="22">
        <f t="shared" si="9"/>
        <v>256</v>
      </c>
      <c r="S172" s="20"/>
      <c r="T172" s="22">
        <f t="shared" si="10"/>
        <v>20</v>
      </c>
      <c r="U172" s="38">
        <f t="shared" si="11"/>
        <v>1</v>
      </c>
      <c r="V172" s="22">
        <f t="shared" si="12"/>
        <v>400</v>
      </c>
    </row>
    <row r="173">
      <c r="A173" s="2">
        <v>40787.0</v>
      </c>
      <c r="B173" s="5">
        <v>0.0</v>
      </c>
      <c r="C173" s="22">
        <f t="shared" si="2"/>
        <v>4</v>
      </c>
      <c r="D173" s="22">
        <f t="shared" si="3"/>
        <v>4</v>
      </c>
      <c r="E173" s="22">
        <f t="shared" si="1"/>
        <v>12</v>
      </c>
      <c r="F173" s="20"/>
      <c r="G173" s="20"/>
      <c r="H173" s="20"/>
      <c r="I173" s="20"/>
      <c r="J173" s="20"/>
      <c r="K173" s="20"/>
      <c r="L173" s="22">
        <f t="shared" si="4"/>
        <v>-4</v>
      </c>
      <c r="M173" s="38">
        <f t="shared" si="5"/>
        <v>1</v>
      </c>
      <c r="N173" s="22">
        <f t="shared" si="6"/>
        <v>16</v>
      </c>
      <c r="O173" s="20"/>
      <c r="P173" s="22">
        <f t="shared" si="7"/>
        <v>-4</v>
      </c>
      <c r="Q173" s="38">
        <f t="shared" si="8"/>
        <v>1</v>
      </c>
      <c r="R173" s="22">
        <f t="shared" si="9"/>
        <v>16</v>
      </c>
      <c r="S173" s="20"/>
      <c r="T173" s="22">
        <f t="shared" si="10"/>
        <v>-12</v>
      </c>
      <c r="U173" s="38">
        <f t="shared" si="11"/>
        <v>1</v>
      </c>
      <c r="V173" s="22">
        <f t="shared" si="12"/>
        <v>144</v>
      </c>
    </row>
    <row r="174">
      <c r="A174" s="2">
        <v>40788.0</v>
      </c>
      <c r="B174" s="5">
        <v>0.0</v>
      </c>
      <c r="C174" s="22">
        <f t="shared" si="2"/>
        <v>4</v>
      </c>
      <c r="D174" s="22">
        <f t="shared" si="3"/>
        <v>4</v>
      </c>
      <c r="E174" s="22">
        <f t="shared" si="1"/>
        <v>5</v>
      </c>
      <c r="F174" s="20"/>
      <c r="G174" s="20"/>
      <c r="H174" s="20"/>
      <c r="I174" s="20"/>
      <c r="J174" s="20"/>
      <c r="K174" s="20"/>
      <c r="L174" s="22">
        <f t="shared" si="4"/>
        <v>-4</v>
      </c>
      <c r="M174" s="38">
        <f t="shared" si="5"/>
        <v>1</v>
      </c>
      <c r="N174" s="22">
        <f t="shared" si="6"/>
        <v>16</v>
      </c>
      <c r="O174" s="20"/>
      <c r="P174" s="22">
        <f t="shared" si="7"/>
        <v>-4</v>
      </c>
      <c r="Q174" s="38">
        <f t="shared" si="8"/>
        <v>1</v>
      </c>
      <c r="R174" s="22">
        <f t="shared" si="9"/>
        <v>16</v>
      </c>
      <c r="S174" s="20"/>
      <c r="T174" s="22">
        <f t="shared" si="10"/>
        <v>-5</v>
      </c>
      <c r="U174" s="38">
        <f t="shared" si="11"/>
        <v>1</v>
      </c>
      <c r="V174" s="22">
        <f t="shared" si="12"/>
        <v>25</v>
      </c>
    </row>
    <row r="175">
      <c r="A175" s="2">
        <v>40792.0</v>
      </c>
      <c r="B175" s="5">
        <v>0.0</v>
      </c>
      <c r="C175" s="22">
        <f t="shared" si="2"/>
        <v>4</v>
      </c>
      <c r="D175" s="22">
        <f t="shared" si="3"/>
        <v>4</v>
      </c>
      <c r="E175" s="22">
        <f t="shared" si="1"/>
        <v>2</v>
      </c>
      <c r="F175" s="20"/>
      <c r="G175" s="20"/>
      <c r="H175" s="20"/>
      <c r="I175" s="20"/>
      <c r="J175" s="20"/>
      <c r="K175" s="20"/>
      <c r="L175" s="22">
        <f t="shared" si="4"/>
        <v>-4</v>
      </c>
      <c r="M175" s="38">
        <f t="shared" si="5"/>
        <v>1</v>
      </c>
      <c r="N175" s="22">
        <f t="shared" si="6"/>
        <v>16</v>
      </c>
      <c r="O175" s="20"/>
      <c r="P175" s="22">
        <f t="shared" si="7"/>
        <v>-4</v>
      </c>
      <c r="Q175" s="38">
        <f t="shared" si="8"/>
        <v>1</v>
      </c>
      <c r="R175" s="22">
        <f t="shared" si="9"/>
        <v>16</v>
      </c>
      <c r="S175" s="20"/>
      <c r="T175" s="22">
        <f t="shared" si="10"/>
        <v>-2</v>
      </c>
      <c r="U175" s="38">
        <f t="shared" si="11"/>
        <v>1</v>
      </c>
      <c r="V175" s="22">
        <f t="shared" si="12"/>
        <v>4</v>
      </c>
    </row>
    <row r="176">
      <c r="A176" s="2">
        <v>40793.0</v>
      </c>
      <c r="B176" s="5">
        <v>25.0</v>
      </c>
      <c r="C176" s="22">
        <f t="shared" si="2"/>
        <v>4</v>
      </c>
      <c r="D176" s="22">
        <f t="shared" si="3"/>
        <v>4</v>
      </c>
      <c r="E176" s="22">
        <f t="shared" si="1"/>
        <v>1</v>
      </c>
      <c r="F176" s="20"/>
      <c r="G176" s="20"/>
      <c r="H176" s="20"/>
      <c r="I176" s="20"/>
      <c r="J176" s="20"/>
      <c r="K176" s="20"/>
      <c r="L176" s="22">
        <f t="shared" si="4"/>
        <v>21</v>
      </c>
      <c r="M176" s="38">
        <f t="shared" si="5"/>
        <v>0.84</v>
      </c>
      <c r="N176" s="22">
        <f t="shared" si="6"/>
        <v>441</v>
      </c>
      <c r="O176" s="20"/>
      <c r="P176" s="22">
        <f t="shared" si="7"/>
        <v>21</v>
      </c>
      <c r="Q176" s="38">
        <f t="shared" si="8"/>
        <v>0.84</v>
      </c>
      <c r="R176" s="22">
        <f t="shared" si="9"/>
        <v>441</v>
      </c>
      <c r="S176" s="20"/>
      <c r="T176" s="22">
        <f t="shared" si="10"/>
        <v>24</v>
      </c>
      <c r="U176" s="38">
        <f t="shared" si="11"/>
        <v>0.96</v>
      </c>
      <c r="V176" s="22">
        <f t="shared" si="12"/>
        <v>576</v>
      </c>
    </row>
    <row r="177">
      <c r="A177" s="2">
        <v>40794.0</v>
      </c>
      <c r="B177" s="5">
        <v>0.0</v>
      </c>
      <c r="C177" s="22">
        <f t="shared" si="2"/>
        <v>9</v>
      </c>
      <c r="D177" s="22">
        <f t="shared" si="3"/>
        <v>4</v>
      </c>
      <c r="E177" s="22">
        <f t="shared" si="1"/>
        <v>15</v>
      </c>
      <c r="F177" s="20"/>
      <c r="G177" s="20"/>
      <c r="H177" s="20"/>
      <c r="I177" s="20"/>
      <c r="J177" s="20"/>
      <c r="K177" s="20"/>
      <c r="L177" s="22">
        <f t="shared" si="4"/>
        <v>-9</v>
      </c>
      <c r="M177" s="38">
        <f t="shared" si="5"/>
        <v>1</v>
      </c>
      <c r="N177" s="22">
        <f t="shared" si="6"/>
        <v>81</v>
      </c>
      <c r="O177" s="20"/>
      <c r="P177" s="22">
        <f t="shared" si="7"/>
        <v>-4</v>
      </c>
      <c r="Q177" s="38">
        <f t="shared" si="8"/>
        <v>1</v>
      </c>
      <c r="R177" s="22">
        <f t="shared" si="9"/>
        <v>16</v>
      </c>
      <c r="S177" s="20"/>
      <c r="T177" s="22">
        <f t="shared" si="10"/>
        <v>-15</v>
      </c>
      <c r="U177" s="38">
        <f t="shared" si="11"/>
        <v>1</v>
      </c>
      <c r="V177" s="22">
        <f t="shared" si="12"/>
        <v>225</v>
      </c>
    </row>
    <row r="178">
      <c r="A178" s="2">
        <v>40795.0</v>
      </c>
      <c r="B178" s="5">
        <v>0.0</v>
      </c>
      <c r="C178" s="22">
        <f t="shared" si="2"/>
        <v>5</v>
      </c>
      <c r="D178" s="22">
        <f t="shared" si="3"/>
        <v>4</v>
      </c>
      <c r="E178" s="22">
        <f t="shared" si="1"/>
        <v>6</v>
      </c>
      <c r="F178" s="20"/>
      <c r="G178" s="20"/>
      <c r="H178" s="20"/>
      <c r="I178" s="20"/>
      <c r="J178" s="20"/>
      <c r="K178" s="20"/>
      <c r="L178" s="22">
        <f t="shared" si="4"/>
        <v>-5</v>
      </c>
      <c r="M178" s="38">
        <f t="shared" si="5"/>
        <v>1</v>
      </c>
      <c r="N178" s="22">
        <f t="shared" si="6"/>
        <v>25</v>
      </c>
      <c r="O178" s="20"/>
      <c r="P178" s="22">
        <f t="shared" si="7"/>
        <v>-4</v>
      </c>
      <c r="Q178" s="38">
        <f t="shared" si="8"/>
        <v>1</v>
      </c>
      <c r="R178" s="22">
        <f t="shared" si="9"/>
        <v>16</v>
      </c>
      <c r="S178" s="20"/>
      <c r="T178" s="22">
        <f t="shared" si="10"/>
        <v>-6</v>
      </c>
      <c r="U178" s="38">
        <f t="shared" si="11"/>
        <v>1</v>
      </c>
      <c r="V178" s="22">
        <f t="shared" si="12"/>
        <v>36</v>
      </c>
    </row>
    <row r="179">
      <c r="A179" s="2">
        <v>40798.0</v>
      </c>
      <c r="B179" s="5">
        <v>25.0</v>
      </c>
      <c r="C179" s="22">
        <f t="shared" si="2"/>
        <v>5</v>
      </c>
      <c r="D179" s="22">
        <f t="shared" si="3"/>
        <v>4</v>
      </c>
      <c r="E179" s="22">
        <f t="shared" si="1"/>
        <v>2</v>
      </c>
      <c r="F179" s="20"/>
      <c r="G179" s="20"/>
      <c r="H179" s="20"/>
      <c r="I179" s="20"/>
      <c r="J179" s="20"/>
      <c r="K179" s="20"/>
      <c r="L179" s="22">
        <f t="shared" si="4"/>
        <v>20</v>
      </c>
      <c r="M179" s="38">
        <f t="shared" si="5"/>
        <v>0.8</v>
      </c>
      <c r="N179" s="22">
        <f t="shared" si="6"/>
        <v>400</v>
      </c>
      <c r="O179" s="20"/>
      <c r="P179" s="22">
        <f t="shared" si="7"/>
        <v>21</v>
      </c>
      <c r="Q179" s="38">
        <f t="shared" si="8"/>
        <v>0.84</v>
      </c>
      <c r="R179" s="22">
        <f t="shared" si="9"/>
        <v>441</v>
      </c>
      <c r="S179" s="20"/>
      <c r="T179" s="22">
        <f t="shared" si="10"/>
        <v>23</v>
      </c>
      <c r="U179" s="38">
        <f t="shared" si="11"/>
        <v>0.92</v>
      </c>
      <c r="V179" s="22">
        <f t="shared" si="12"/>
        <v>529</v>
      </c>
    </row>
    <row r="180">
      <c r="A180" s="2">
        <v>40799.0</v>
      </c>
      <c r="B180" s="5">
        <v>0.0</v>
      </c>
      <c r="C180" s="22">
        <f t="shared" si="2"/>
        <v>10</v>
      </c>
      <c r="D180" s="22">
        <f t="shared" si="3"/>
        <v>4</v>
      </c>
      <c r="E180" s="22">
        <f t="shared" si="1"/>
        <v>16</v>
      </c>
      <c r="F180" s="20"/>
      <c r="G180" s="20"/>
      <c r="H180" s="20"/>
      <c r="I180" s="20"/>
      <c r="J180" s="20"/>
      <c r="K180" s="20"/>
      <c r="L180" s="22">
        <f t="shared" si="4"/>
        <v>-10</v>
      </c>
      <c r="M180" s="38">
        <f t="shared" si="5"/>
        <v>1</v>
      </c>
      <c r="N180" s="22">
        <f t="shared" si="6"/>
        <v>100</v>
      </c>
      <c r="O180" s="20"/>
      <c r="P180" s="22">
        <f t="shared" si="7"/>
        <v>-4</v>
      </c>
      <c r="Q180" s="38">
        <f t="shared" si="8"/>
        <v>1</v>
      </c>
      <c r="R180" s="22">
        <f t="shared" si="9"/>
        <v>16</v>
      </c>
      <c r="S180" s="20"/>
      <c r="T180" s="22">
        <f t="shared" si="10"/>
        <v>-16</v>
      </c>
      <c r="U180" s="38">
        <f t="shared" si="11"/>
        <v>1</v>
      </c>
      <c r="V180" s="22">
        <f t="shared" si="12"/>
        <v>256</v>
      </c>
    </row>
    <row r="181">
      <c r="A181" s="2">
        <v>40800.0</v>
      </c>
      <c r="B181" s="5">
        <v>0.0</v>
      </c>
      <c r="C181" s="22">
        <f t="shared" si="2"/>
        <v>10</v>
      </c>
      <c r="D181" s="22">
        <f t="shared" si="3"/>
        <v>4</v>
      </c>
      <c r="E181" s="22">
        <f t="shared" si="1"/>
        <v>6</v>
      </c>
      <c r="F181" s="20"/>
      <c r="G181" s="20"/>
      <c r="H181" s="20"/>
      <c r="I181" s="20"/>
      <c r="J181" s="20"/>
      <c r="K181" s="20"/>
      <c r="L181" s="22">
        <f t="shared" si="4"/>
        <v>-10</v>
      </c>
      <c r="M181" s="38">
        <f t="shared" si="5"/>
        <v>1</v>
      </c>
      <c r="N181" s="22">
        <f t="shared" si="6"/>
        <v>100</v>
      </c>
      <c r="O181" s="20"/>
      <c r="P181" s="22">
        <f t="shared" si="7"/>
        <v>-4</v>
      </c>
      <c r="Q181" s="38">
        <f t="shared" si="8"/>
        <v>1</v>
      </c>
      <c r="R181" s="22">
        <f t="shared" si="9"/>
        <v>16</v>
      </c>
      <c r="S181" s="20"/>
      <c r="T181" s="22">
        <f t="shared" si="10"/>
        <v>-6</v>
      </c>
      <c r="U181" s="38">
        <f t="shared" si="11"/>
        <v>1</v>
      </c>
      <c r="V181" s="22">
        <f t="shared" si="12"/>
        <v>36</v>
      </c>
    </row>
    <row r="182">
      <c r="A182" s="2">
        <v>40801.0</v>
      </c>
      <c r="B182" s="5">
        <v>0.0</v>
      </c>
      <c r="C182" s="22">
        <f t="shared" si="2"/>
        <v>5</v>
      </c>
      <c r="D182" s="22">
        <f t="shared" si="3"/>
        <v>4</v>
      </c>
      <c r="E182" s="22">
        <f t="shared" si="1"/>
        <v>2</v>
      </c>
      <c r="F182" s="20"/>
      <c r="G182" s="20"/>
      <c r="H182" s="20"/>
      <c r="I182" s="20"/>
      <c r="J182" s="20"/>
      <c r="K182" s="20"/>
      <c r="L182" s="22">
        <f t="shared" si="4"/>
        <v>-5</v>
      </c>
      <c r="M182" s="38">
        <f t="shared" si="5"/>
        <v>1</v>
      </c>
      <c r="N182" s="22">
        <f t="shared" si="6"/>
        <v>25</v>
      </c>
      <c r="O182" s="20"/>
      <c r="P182" s="22">
        <f t="shared" si="7"/>
        <v>-4</v>
      </c>
      <c r="Q182" s="38">
        <f t="shared" si="8"/>
        <v>1</v>
      </c>
      <c r="R182" s="22">
        <f t="shared" si="9"/>
        <v>16</v>
      </c>
      <c r="S182" s="20"/>
      <c r="T182" s="22">
        <f t="shared" si="10"/>
        <v>-2</v>
      </c>
      <c r="U182" s="38">
        <f t="shared" si="11"/>
        <v>1</v>
      </c>
      <c r="V182" s="22">
        <f t="shared" si="12"/>
        <v>4</v>
      </c>
    </row>
    <row r="183">
      <c r="A183" s="2">
        <v>40802.0</v>
      </c>
      <c r="B183" s="5">
        <v>0.0</v>
      </c>
      <c r="C183" s="22">
        <f t="shared" si="2"/>
        <v>5</v>
      </c>
      <c r="D183" s="22">
        <f t="shared" si="3"/>
        <v>4</v>
      </c>
      <c r="E183" s="22">
        <f t="shared" si="1"/>
        <v>1</v>
      </c>
      <c r="F183" s="20"/>
      <c r="G183" s="20"/>
      <c r="H183" s="20"/>
      <c r="I183" s="20"/>
      <c r="J183" s="20"/>
      <c r="K183" s="20"/>
      <c r="L183" s="22">
        <f t="shared" si="4"/>
        <v>-5</v>
      </c>
      <c r="M183" s="38">
        <f t="shared" si="5"/>
        <v>1</v>
      </c>
      <c r="N183" s="22">
        <f t="shared" si="6"/>
        <v>25</v>
      </c>
      <c r="O183" s="20"/>
      <c r="P183" s="22">
        <f t="shared" si="7"/>
        <v>-4</v>
      </c>
      <c r="Q183" s="38">
        <f t="shared" si="8"/>
        <v>1</v>
      </c>
      <c r="R183" s="22">
        <f t="shared" si="9"/>
        <v>16</v>
      </c>
      <c r="S183" s="20"/>
      <c r="T183" s="22">
        <f t="shared" si="10"/>
        <v>-1</v>
      </c>
      <c r="U183" s="38">
        <f t="shared" si="11"/>
        <v>1</v>
      </c>
      <c r="V183" s="22">
        <f t="shared" si="12"/>
        <v>1</v>
      </c>
    </row>
    <row r="184">
      <c r="A184" s="2">
        <v>40805.0</v>
      </c>
      <c r="B184" s="5">
        <v>0.0</v>
      </c>
      <c r="C184" s="22">
        <f t="shared" si="2"/>
        <v>5</v>
      </c>
      <c r="D184" s="22">
        <f t="shared" si="3"/>
        <v>4</v>
      </c>
      <c r="E184" s="22">
        <f t="shared" si="1"/>
        <v>0</v>
      </c>
      <c r="F184" s="20"/>
      <c r="G184" s="20"/>
      <c r="H184" s="20"/>
      <c r="I184" s="20"/>
      <c r="J184" s="20"/>
      <c r="K184" s="20"/>
      <c r="L184" s="22">
        <f t="shared" si="4"/>
        <v>-5</v>
      </c>
      <c r="M184" s="38">
        <f t="shared" si="5"/>
        <v>1</v>
      </c>
      <c r="N184" s="22">
        <f t="shared" si="6"/>
        <v>25</v>
      </c>
      <c r="O184" s="20"/>
      <c r="P184" s="22">
        <f t="shared" si="7"/>
        <v>-4</v>
      </c>
      <c r="Q184" s="38">
        <f t="shared" si="8"/>
        <v>1</v>
      </c>
      <c r="R184" s="22">
        <f t="shared" si="9"/>
        <v>16</v>
      </c>
      <c r="S184" s="20"/>
      <c r="T184" s="22">
        <f t="shared" si="10"/>
        <v>0</v>
      </c>
      <c r="U184" s="38">
        <f t="shared" si="11"/>
        <v>0</v>
      </c>
      <c r="V184" s="22">
        <f t="shared" si="12"/>
        <v>0</v>
      </c>
    </row>
    <row r="185">
      <c r="A185" s="2">
        <v>40806.0</v>
      </c>
      <c r="B185" s="5">
        <v>0.0</v>
      </c>
      <c r="C185" s="22">
        <f t="shared" si="2"/>
        <v>0</v>
      </c>
      <c r="D185" s="22">
        <f t="shared" si="3"/>
        <v>4</v>
      </c>
      <c r="E185" s="22">
        <f t="shared" si="1"/>
        <v>0</v>
      </c>
      <c r="F185" s="20"/>
      <c r="G185" s="20"/>
      <c r="H185" s="20"/>
      <c r="I185" s="20"/>
      <c r="J185" s="20"/>
      <c r="K185" s="20"/>
      <c r="L185" s="22">
        <f t="shared" si="4"/>
        <v>0</v>
      </c>
      <c r="M185" s="38">
        <f t="shared" si="5"/>
        <v>0</v>
      </c>
      <c r="N185" s="22">
        <f t="shared" si="6"/>
        <v>0</v>
      </c>
      <c r="O185" s="20"/>
      <c r="P185" s="22">
        <f t="shared" si="7"/>
        <v>-4</v>
      </c>
      <c r="Q185" s="38">
        <f t="shared" si="8"/>
        <v>1</v>
      </c>
      <c r="R185" s="22">
        <f t="shared" si="9"/>
        <v>16</v>
      </c>
      <c r="S185" s="20"/>
      <c r="T185" s="22">
        <f t="shared" si="10"/>
        <v>0</v>
      </c>
      <c r="U185" s="38">
        <f t="shared" si="11"/>
        <v>0</v>
      </c>
      <c r="V185" s="22">
        <f t="shared" si="12"/>
        <v>0</v>
      </c>
    </row>
    <row r="186">
      <c r="A186" s="2">
        <v>40807.0</v>
      </c>
      <c r="B186" s="5">
        <v>25.0</v>
      </c>
      <c r="C186" s="22">
        <f t="shared" si="2"/>
        <v>0</v>
      </c>
      <c r="D186" s="22">
        <f t="shared" si="3"/>
        <v>4</v>
      </c>
      <c r="E186" s="22">
        <f t="shared" si="1"/>
        <v>0</v>
      </c>
      <c r="F186" s="20"/>
      <c r="G186" s="20"/>
      <c r="H186" s="20"/>
      <c r="I186" s="20"/>
      <c r="J186" s="20"/>
      <c r="K186" s="20"/>
      <c r="L186" s="22">
        <f t="shared" si="4"/>
        <v>25</v>
      </c>
      <c r="M186" s="38">
        <f t="shared" si="5"/>
        <v>1</v>
      </c>
      <c r="N186" s="22">
        <f t="shared" si="6"/>
        <v>625</v>
      </c>
      <c r="O186" s="20"/>
      <c r="P186" s="22">
        <f t="shared" si="7"/>
        <v>21</v>
      </c>
      <c r="Q186" s="38">
        <f t="shared" si="8"/>
        <v>0.84</v>
      </c>
      <c r="R186" s="22">
        <f t="shared" si="9"/>
        <v>441</v>
      </c>
      <c r="S186" s="20"/>
      <c r="T186" s="22">
        <f t="shared" si="10"/>
        <v>25</v>
      </c>
      <c r="U186" s="38">
        <f t="shared" si="11"/>
        <v>1</v>
      </c>
      <c r="V186" s="22">
        <f t="shared" si="12"/>
        <v>625</v>
      </c>
    </row>
    <row r="187">
      <c r="A187" s="2">
        <v>40808.0</v>
      </c>
      <c r="B187" s="5">
        <v>0.0</v>
      </c>
      <c r="C187" s="22">
        <f t="shared" si="2"/>
        <v>5</v>
      </c>
      <c r="D187" s="22">
        <f t="shared" si="3"/>
        <v>4</v>
      </c>
      <c r="E187" s="22">
        <f t="shared" si="1"/>
        <v>15</v>
      </c>
      <c r="F187" s="20"/>
      <c r="G187" s="20"/>
      <c r="H187" s="20"/>
      <c r="I187" s="20"/>
      <c r="J187" s="20"/>
      <c r="K187" s="20"/>
      <c r="L187" s="22">
        <f t="shared" si="4"/>
        <v>-5</v>
      </c>
      <c r="M187" s="38">
        <f t="shared" si="5"/>
        <v>1</v>
      </c>
      <c r="N187" s="22">
        <f t="shared" si="6"/>
        <v>25</v>
      </c>
      <c r="O187" s="20"/>
      <c r="P187" s="22">
        <f t="shared" si="7"/>
        <v>-4</v>
      </c>
      <c r="Q187" s="38">
        <f t="shared" si="8"/>
        <v>1</v>
      </c>
      <c r="R187" s="22">
        <f t="shared" si="9"/>
        <v>16</v>
      </c>
      <c r="S187" s="20"/>
      <c r="T187" s="22">
        <f t="shared" si="10"/>
        <v>-15</v>
      </c>
      <c r="U187" s="38">
        <f t="shared" si="11"/>
        <v>1</v>
      </c>
      <c r="V187" s="22">
        <f t="shared" si="12"/>
        <v>225</v>
      </c>
    </row>
    <row r="188">
      <c r="A188" s="2">
        <v>40809.0</v>
      </c>
      <c r="B188" s="5">
        <v>0.0</v>
      </c>
      <c r="C188" s="22">
        <f t="shared" si="2"/>
        <v>5</v>
      </c>
      <c r="D188" s="22">
        <f t="shared" si="3"/>
        <v>4</v>
      </c>
      <c r="E188" s="22">
        <f t="shared" si="1"/>
        <v>6</v>
      </c>
      <c r="F188" s="20"/>
      <c r="G188" s="20"/>
      <c r="H188" s="20"/>
      <c r="I188" s="20"/>
      <c r="J188" s="20"/>
      <c r="K188" s="20"/>
      <c r="L188" s="22">
        <f t="shared" si="4"/>
        <v>-5</v>
      </c>
      <c r="M188" s="38">
        <f t="shared" si="5"/>
        <v>1</v>
      </c>
      <c r="N188" s="22">
        <f t="shared" si="6"/>
        <v>25</v>
      </c>
      <c r="O188" s="20"/>
      <c r="P188" s="22">
        <f t="shared" si="7"/>
        <v>-4</v>
      </c>
      <c r="Q188" s="38">
        <f t="shared" si="8"/>
        <v>1</v>
      </c>
      <c r="R188" s="22">
        <f t="shared" si="9"/>
        <v>16</v>
      </c>
      <c r="S188" s="20"/>
      <c r="T188" s="22">
        <f t="shared" si="10"/>
        <v>-6</v>
      </c>
      <c r="U188" s="38">
        <f t="shared" si="11"/>
        <v>1</v>
      </c>
      <c r="V188" s="22">
        <f t="shared" si="12"/>
        <v>36</v>
      </c>
    </row>
    <row r="189">
      <c r="A189" s="2">
        <v>40812.0</v>
      </c>
      <c r="B189" s="5">
        <v>0.0</v>
      </c>
      <c r="C189" s="22">
        <f t="shared" si="2"/>
        <v>5</v>
      </c>
      <c r="D189" s="22">
        <f t="shared" si="3"/>
        <v>4</v>
      </c>
      <c r="E189" s="22">
        <f t="shared" si="1"/>
        <v>2</v>
      </c>
      <c r="F189" s="20"/>
      <c r="G189" s="20"/>
      <c r="H189" s="20"/>
      <c r="I189" s="20"/>
      <c r="J189" s="20"/>
      <c r="K189" s="20"/>
      <c r="L189" s="22">
        <f t="shared" si="4"/>
        <v>-5</v>
      </c>
      <c r="M189" s="38">
        <f t="shared" si="5"/>
        <v>1</v>
      </c>
      <c r="N189" s="22">
        <f t="shared" si="6"/>
        <v>25</v>
      </c>
      <c r="O189" s="20"/>
      <c r="P189" s="22">
        <f t="shared" si="7"/>
        <v>-4</v>
      </c>
      <c r="Q189" s="38">
        <f t="shared" si="8"/>
        <v>1</v>
      </c>
      <c r="R189" s="22">
        <f t="shared" si="9"/>
        <v>16</v>
      </c>
      <c r="S189" s="20"/>
      <c r="T189" s="22">
        <f t="shared" si="10"/>
        <v>-2</v>
      </c>
      <c r="U189" s="38">
        <f t="shared" si="11"/>
        <v>1</v>
      </c>
      <c r="V189" s="22">
        <f t="shared" si="12"/>
        <v>4</v>
      </c>
    </row>
    <row r="190">
      <c r="A190" s="2">
        <v>40813.0</v>
      </c>
      <c r="B190" s="5">
        <v>0.0</v>
      </c>
      <c r="C190" s="22">
        <f t="shared" si="2"/>
        <v>5</v>
      </c>
      <c r="D190" s="22">
        <f t="shared" si="3"/>
        <v>4</v>
      </c>
      <c r="E190" s="22">
        <f t="shared" si="1"/>
        <v>1</v>
      </c>
      <c r="F190" s="20"/>
      <c r="G190" s="20"/>
      <c r="H190" s="20"/>
      <c r="I190" s="20"/>
      <c r="J190" s="20"/>
      <c r="K190" s="20"/>
      <c r="L190" s="22">
        <f t="shared" si="4"/>
        <v>-5</v>
      </c>
      <c r="M190" s="38">
        <f t="shared" si="5"/>
        <v>1</v>
      </c>
      <c r="N190" s="22">
        <f t="shared" si="6"/>
        <v>25</v>
      </c>
      <c r="O190" s="20"/>
      <c r="P190" s="22">
        <f t="shared" si="7"/>
        <v>-4</v>
      </c>
      <c r="Q190" s="38">
        <f t="shared" si="8"/>
        <v>1</v>
      </c>
      <c r="R190" s="22">
        <f t="shared" si="9"/>
        <v>16</v>
      </c>
      <c r="S190" s="20"/>
      <c r="T190" s="22">
        <f t="shared" si="10"/>
        <v>-1</v>
      </c>
      <c r="U190" s="38">
        <f t="shared" si="11"/>
        <v>1</v>
      </c>
      <c r="V190" s="22">
        <f t="shared" si="12"/>
        <v>1</v>
      </c>
    </row>
    <row r="191">
      <c r="A191" s="2">
        <v>40814.0</v>
      </c>
      <c r="B191" s="5">
        <v>25.0</v>
      </c>
      <c r="C191" s="22">
        <f t="shared" si="2"/>
        <v>5</v>
      </c>
      <c r="D191" s="22">
        <f t="shared" si="3"/>
        <v>4</v>
      </c>
      <c r="E191" s="22">
        <f t="shared" si="1"/>
        <v>0</v>
      </c>
      <c r="F191" s="20"/>
      <c r="G191" s="20"/>
      <c r="H191" s="20"/>
      <c r="I191" s="20"/>
      <c r="J191" s="20"/>
      <c r="K191" s="20"/>
      <c r="L191" s="22">
        <f t="shared" si="4"/>
        <v>20</v>
      </c>
      <c r="M191" s="38">
        <f t="shared" si="5"/>
        <v>0.8</v>
      </c>
      <c r="N191" s="22">
        <f t="shared" si="6"/>
        <v>400</v>
      </c>
      <c r="O191" s="20"/>
      <c r="P191" s="22">
        <f t="shared" si="7"/>
        <v>21</v>
      </c>
      <c r="Q191" s="38">
        <f t="shared" si="8"/>
        <v>0.84</v>
      </c>
      <c r="R191" s="22">
        <f t="shared" si="9"/>
        <v>441</v>
      </c>
      <c r="S191" s="20"/>
      <c r="T191" s="22">
        <f t="shared" si="10"/>
        <v>25</v>
      </c>
      <c r="U191" s="38">
        <f t="shared" si="11"/>
        <v>1</v>
      </c>
      <c r="V191" s="22">
        <f t="shared" si="12"/>
        <v>625</v>
      </c>
    </row>
    <row r="192">
      <c r="A192" s="2">
        <v>40815.0</v>
      </c>
      <c r="B192" s="5">
        <v>0.0</v>
      </c>
      <c r="C192" s="22">
        <f t="shared" si="2"/>
        <v>5</v>
      </c>
      <c r="D192" s="22">
        <f t="shared" si="3"/>
        <v>4</v>
      </c>
      <c r="E192" s="22">
        <f t="shared" si="1"/>
        <v>15</v>
      </c>
      <c r="F192" s="20"/>
      <c r="G192" s="20"/>
      <c r="H192" s="20"/>
      <c r="I192" s="20"/>
      <c r="J192" s="20"/>
      <c r="K192" s="20"/>
      <c r="L192" s="22">
        <f t="shared" si="4"/>
        <v>-5</v>
      </c>
      <c r="M192" s="38">
        <f t="shared" si="5"/>
        <v>1</v>
      </c>
      <c r="N192" s="22">
        <f t="shared" si="6"/>
        <v>25</v>
      </c>
      <c r="O192" s="20"/>
      <c r="P192" s="22">
        <f t="shared" si="7"/>
        <v>-4</v>
      </c>
      <c r="Q192" s="38">
        <f t="shared" si="8"/>
        <v>1</v>
      </c>
      <c r="R192" s="22">
        <f t="shared" si="9"/>
        <v>16</v>
      </c>
      <c r="S192" s="20"/>
      <c r="T192" s="22">
        <f t="shared" si="10"/>
        <v>-15</v>
      </c>
      <c r="U192" s="38">
        <f t="shared" si="11"/>
        <v>1</v>
      </c>
      <c r="V192" s="22">
        <f t="shared" si="12"/>
        <v>225</v>
      </c>
    </row>
    <row r="193">
      <c r="A193" s="2">
        <v>40816.0</v>
      </c>
      <c r="B193" s="5">
        <v>0.0</v>
      </c>
      <c r="C193" s="22">
        <f t="shared" si="2"/>
        <v>5</v>
      </c>
      <c r="D193" s="22">
        <f t="shared" si="3"/>
        <v>4</v>
      </c>
      <c r="E193" s="22">
        <f t="shared" si="1"/>
        <v>6</v>
      </c>
      <c r="F193" s="20"/>
      <c r="G193" s="20"/>
      <c r="H193" s="20"/>
      <c r="I193" s="20"/>
      <c r="J193" s="20"/>
      <c r="K193" s="20"/>
      <c r="L193" s="22">
        <f t="shared" si="4"/>
        <v>-5</v>
      </c>
      <c r="M193" s="38">
        <f t="shared" si="5"/>
        <v>1</v>
      </c>
      <c r="N193" s="22">
        <f t="shared" si="6"/>
        <v>25</v>
      </c>
      <c r="O193" s="20"/>
      <c r="P193" s="22">
        <f t="shared" si="7"/>
        <v>-4</v>
      </c>
      <c r="Q193" s="38">
        <f t="shared" si="8"/>
        <v>1</v>
      </c>
      <c r="R193" s="22">
        <f t="shared" si="9"/>
        <v>16</v>
      </c>
      <c r="S193" s="20"/>
      <c r="T193" s="22">
        <f t="shared" si="10"/>
        <v>-6</v>
      </c>
      <c r="U193" s="38">
        <f t="shared" si="11"/>
        <v>1</v>
      </c>
      <c r="V193" s="22">
        <f t="shared" si="12"/>
        <v>36</v>
      </c>
    </row>
    <row r="194">
      <c r="A194" s="2">
        <v>40819.0</v>
      </c>
      <c r="B194" s="5">
        <v>0.0</v>
      </c>
      <c r="C194" s="22">
        <f t="shared" si="2"/>
        <v>5</v>
      </c>
      <c r="D194" s="22">
        <f t="shared" si="3"/>
        <v>4</v>
      </c>
      <c r="E194" s="22">
        <f t="shared" si="1"/>
        <v>2</v>
      </c>
      <c r="F194" s="20"/>
      <c r="G194" s="20"/>
      <c r="H194" s="20"/>
      <c r="I194" s="20"/>
      <c r="J194" s="20"/>
      <c r="K194" s="20"/>
      <c r="L194" s="22">
        <f t="shared" si="4"/>
        <v>-5</v>
      </c>
      <c r="M194" s="38">
        <f t="shared" si="5"/>
        <v>1</v>
      </c>
      <c r="N194" s="22">
        <f t="shared" si="6"/>
        <v>25</v>
      </c>
      <c r="O194" s="20"/>
      <c r="P194" s="22">
        <f t="shared" si="7"/>
        <v>-4</v>
      </c>
      <c r="Q194" s="38">
        <f t="shared" si="8"/>
        <v>1</v>
      </c>
      <c r="R194" s="22">
        <f t="shared" si="9"/>
        <v>16</v>
      </c>
      <c r="S194" s="20"/>
      <c r="T194" s="22">
        <f t="shared" si="10"/>
        <v>-2</v>
      </c>
      <c r="U194" s="38">
        <f t="shared" si="11"/>
        <v>1</v>
      </c>
      <c r="V194" s="22">
        <f t="shared" si="12"/>
        <v>4</v>
      </c>
    </row>
    <row r="195">
      <c r="A195" s="2">
        <v>40820.0</v>
      </c>
      <c r="B195" s="5">
        <v>0.0</v>
      </c>
      <c r="C195" s="22">
        <f t="shared" si="2"/>
        <v>5</v>
      </c>
      <c r="D195" s="22">
        <f t="shared" si="3"/>
        <v>4</v>
      </c>
      <c r="E195" s="22">
        <f t="shared" si="1"/>
        <v>1</v>
      </c>
      <c r="F195" s="20"/>
      <c r="G195" s="20"/>
      <c r="H195" s="20"/>
      <c r="I195" s="20"/>
      <c r="J195" s="20"/>
      <c r="K195" s="20"/>
      <c r="L195" s="22">
        <f t="shared" si="4"/>
        <v>-5</v>
      </c>
      <c r="M195" s="38">
        <f t="shared" si="5"/>
        <v>1</v>
      </c>
      <c r="N195" s="22">
        <f t="shared" si="6"/>
        <v>25</v>
      </c>
      <c r="O195" s="20"/>
      <c r="P195" s="22">
        <f t="shared" si="7"/>
        <v>-4</v>
      </c>
      <c r="Q195" s="38">
        <f t="shared" si="8"/>
        <v>1</v>
      </c>
      <c r="R195" s="22">
        <f t="shared" si="9"/>
        <v>16</v>
      </c>
      <c r="S195" s="20"/>
      <c r="T195" s="22">
        <f t="shared" si="10"/>
        <v>-1</v>
      </c>
      <c r="U195" s="38">
        <f t="shared" si="11"/>
        <v>1</v>
      </c>
      <c r="V195" s="22">
        <f t="shared" si="12"/>
        <v>1</v>
      </c>
    </row>
    <row r="196">
      <c r="A196" s="2">
        <v>40821.0</v>
      </c>
      <c r="B196" s="5">
        <v>23.0</v>
      </c>
      <c r="C196" s="22">
        <f t="shared" si="2"/>
        <v>5</v>
      </c>
      <c r="D196" s="22">
        <f t="shared" si="3"/>
        <v>4</v>
      </c>
      <c r="E196" s="22">
        <f t="shared" si="1"/>
        <v>0</v>
      </c>
      <c r="F196" s="20"/>
      <c r="G196" s="20"/>
      <c r="H196" s="20"/>
      <c r="I196" s="20"/>
      <c r="J196" s="20"/>
      <c r="K196" s="20"/>
      <c r="L196" s="22">
        <f t="shared" si="4"/>
        <v>18</v>
      </c>
      <c r="M196" s="38">
        <f t="shared" si="5"/>
        <v>0.7826086957</v>
      </c>
      <c r="N196" s="22">
        <f t="shared" si="6"/>
        <v>324</v>
      </c>
      <c r="O196" s="20"/>
      <c r="P196" s="22">
        <f t="shared" si="7"/>
        <v>19</v>
      </c>
      <c r="Q196" s="38">
        <f t="shared" si="8"/>
        <v>0.8260869565</v>
      </c>
      <c r="R196" s="22">
        <f t="shared" si="9"/>
        <v>361</v>
      </c>
      <c r="S196" s="20"/>
      <c r="T196" s="22">
        <f t="shared" si="10"/>
        <v>23</v>
      </c>
      <c r="U196" s="38">
        <f t="shared" si="11"/>
        <v>1</v>
      </c>
      <c r="V196" s="22">
        <f t="shared" si="12"/>
        <v>529</v>
      </c>
    </row>
    <row r="197">
      <c r="A197" s="2">
        <v>40822.0</v>
      </c>
      <c r="B197" s="5">
        <v>0.0</v>
      </c>
      <c r="C197" s="22">
        <f t="shared" si="2"/>
        <v>5</v>
      </c>
      <c r="D197" s="22">
        <f t="shared" si="3"/>
        <v>4</v>
      </c>
      <c r="E197" s="22">
        <f t="shared" si="1"/>
        <v>14</v>
      </c>
      <c r="F197" s="20"/>
      <c r="G197" s="20"/>
      <c r="H197" s="20"/>
      <c r="I197" s="20"/>
      <c r="J197" s="20"/>
      <c r="K197" s="20"/>
      <c r="L197" s="22">
        <f t="shared" si="4"/>
        <v>-5</v>
      </c>
      <c r="M197" s="38">
        <f t="shared" si="5"/>
        <v>1</v>
      </c>
      <c r="N197" s="22">
        <f t="shared" si="6"/>
        <v>25</v>
      </c>
      <c r="O197" s="20"/>
      <c r="P197" s="22">
        <f t="shared" si="7"/>
        <v>-4</v>
      </c>
      <c r="Q197" s="38">
        <f t="shared" si="8"/>
        <v>1</v>
      </c>
      <c r="R197" s="22">
        <f t="shared" si="9"/>
        <v>16</v>
      </c>
      <c r="S197" s="20"/>
      <c r="T197" s="22">
        <f t="shared" si="10"/>
        <v>-14</v>
      </c>
      <c r="U197" s="38">
        <f t="shared" si="11"/>
        <v>1</v>
      </c>
      <c r="V197" s="22">
        <f t="shared" si="12"/>
        <v>196</v>
      </c>
    </row>
    <row r="198">
      <c r="A198" s="2">
        <v>40823.0</v>
      </c>
      <c r="B198" s="5">
        <v>0.0</v>
      </c>
      <c r="C198" s="22">
        <f t="shared" si="2"/>
        <v>5</v>
      </c>
      <c r="D198" s="22">
        <f t="shared" si="3"/>
        <v>4</v>
      </c>
      <c r="E198" s="22">
        <f t="shared" si="1"/>
        <v>6</v>
      </c>
      <c r="F198" s="20"/>
      <c r="G198" s="20"/>
      <c r="H198" s="20"/>
      <c r="I198" s="20"/>
      <c r="J198" s="20"/>
      <c r="K198" s="20"/>
      <c r="L198" s="22">
        <f t="shared" si="4"/>
        <v>-5</v>
      </c>
      <c r="M198" s="38">
        <f t="shared" si="5"/>
        <v>1</v>
      </c>
      <c r="N198" s="22">
        <f t="shared" si="6"/>
        <v>25</v>
      </c>
      <c r="O198" s="20"/>
      <c r="P198" s="22">
        <f t="shared" si="7"/>
        <v>-4</v>
      </c>
      <c r="Q198" s="38">
        <f t="shared" si="8"/>
        <v>1</v>
      </c>
      <c r="R198" s="22">
        <f t="shared" si="9"/>
        <v>16</v>
      </c>
      <c r="S198" s="20"/>
      <c r="T198" s="22">
        <f t="shared" si="10"/>
        <v>-6</v>
      </c>
      <c r="U198" s="38">
        <f t="shared" si="11"/>
        <v>1</v>
      </c>
      <c r="V198" s="22">
        <f t="shared" si="12"/>
        <v>36</v>
      </c>
    </row>
    <row r="199">
      <c r="A199" s="2">
        <v>40826.0</v>
      </c>
      <c r="B199" s="5">
        <v>0.0</v>
      </c>
      <c r="C199" s="22">
        <f t="shared" si="2"/>
        <v>5</v>
      </c>
      <c r="D199" s="22">
        <f t="shared" si="3"/>
        <v>4</v>
      </c>
      <c r="E199" s="22">
        <f t="shared" si="1"/>
        <v>2</v>
      </c>
      <c r="F199" s="20"/>
      <c r="G199" s="20"/>
      <c r="H199" s="20"/>
      <c r="I199" s="20"/>
      <c r="J199" s="20"/>
      <c r="K199" s="20"/>
      <c r="L199" s="22">
        <f t="shared" si="4"/>
        <v>-5</v>
      </c>
      <c r="M199" s="38">
        <f t="shared" si="5"/>
        <v>1</v>
      </c>
      <c r="N199" s="22">
        <f t="shared" si="6"/>
        <v>25</v>
      </c>
      <c r="O199" s="20"/>
      <c r="P199" s="22">
        <f t="shared" si="7"/>
        <v>-4</v>
      </c>
      <c r="Q199" s="38">
        <f t="shared" si="8"/>
        <v>1</v>
      </c>
      <c r="R199" s="22">
        <f t="shared" si="9"/>
        <v>16</v>
      </c>
      <c r="S199" s="20"/>
      <c r="T199" s="22">
        <f t="shared" si="10"/>
        <v>-2</v>
      </c>
      <c r="U199" s="38">
        <f t="shared" si="11"/>
        <v>1</v>
      </c>
      <c r="V199" s="22">
        <f t="shared" si="12"/>
        <v>4</v>
      </c>
    </row>
    <row r="200">
      <c r="A200" s="2">
        <v>40827.0</v>
      </c>
      <c r="B200" s="5">
        <v>0.0</v>
      </c>
      <c r="C200" s="22">
        <f t="shared" si="2"/>
        <v>5</v>
      </c>
      <c r="D200" s="22">
        <f t="shared" si="3"/>
        <v>4</v>
      </c>
      <c r="E200" s="22">
        <f t="shared" si="1"/>
        <v>1</v>
      </c>
      <c r="F200" s="20"/>
      <c r="G200" s="20"/>
      <c r="H200" s="20"/>
      <c r="I200" s="20"/>
      <c r="J200" s="20"/>
      <c r="K200" s="20"/>
      <c r="L200" s="22">
        <f t="shared" si="4"/>
        <v>-5</v>
      </c>
      <c r="M200" s="38">
        <f t="shared" si="5"/>
        <v>1</v>
      </c>
      <c r="N200" s="22">
        <f t="shared" si="6"/>
        <v>25</v>
      </c>
      <c r="O200" s="20"/>
      <c r="P200" s="22">
        <f t="shared" si="7"/>
        <v>-4</v>
      </c>
      <c r="Q200" s="38">
        <f t="shared" si="8"/>
        <v>1</v>
      </c>
      <c r="R200" s="22">
        <f t="shared" si="9"/>
        <v>16</v>
      </c>
      <c r="S200" s="20"/>
      <c r="T200" s="22">
        <f t="shared" si="10"/>
        <v>-1</v>
      </c>
      <c r="U200" s="38">
        <f t="shared" si="11"/>
        <v>1</v>
      </c>
      <c r="V200" s="22">
        <f t="shared" si="12"/>
        <v>1</v>
      </c>
    </row>
    <row r="201">
      <c r="A201" s="2">
        <v>40828.0</v>
      </c>
      <c r="B201" s="5">
        <v>25.0</v>
      </c>
      <c r="C201" s="22">
        <f t="shared" si="2"/>
        <v>5</v>
      </c>
      <c r="D201" s="22">
        <f t="shared" si="3"/>
        <v>4</v>
      </c>
      <c r="E201" s="22">
        <f t="shared" si="1"/>
        <v>0</v>
      </c>
      <c r="F201" s="20"/>
      <c r="G201" s="20"/>
      <c r="H201" s="20"/>
      <c r="I201" s="20"/>
      <c r="J201" s="20"/>
      <c r="K201" s="20"/>
      <c r="L201" s="22">
        <f t="shared" si="4"/>
        <v>20</v>
      </c>
      <c r="M201" s="38">
        <f t="shared" si="5"/>
        <v>0.8</v>
      </c>
      <c r="N201" s="22">
        <f t="shared" si="6"/>
        <v>400</v>
      </c>
      <c r="O201" s="20"/>
      <c r="P201" s="22">
        <f t="shared" si="7"/>
        <v>21</v>
      </c>
      <c r="Q201" s="38">
        <f t="shared" si="8"/>
        <v>0.84</v>
      </c>
      <c r="R201" s="22">
        <f t="shared" si="9"/>
        <v>441</v>
      </c>
      <c r="S201" s="20"/>
      <c r="T201" s="22">
        <f t="shared" si="10"/>
        <v>25</v>
      </c>
      <c r="U201" s="38">
        <f t="shared" si="11"/>
        <v>1</v>
      </c>
      <c r="V201" s="22">
        <f t="shared" si="12"/>
        <v>625</v>
      </c>
    </row>
    <row r="202">
      <c r="A202" s="2">
        <v>40829.0</v>
      </c>
      <c r="B202" s="5">
        <v>0.0</v>
      </c>
      <c r="C202" s="22">
        <f t="shared" si="2"/>
        <v>5</v>
      </c>
      <c r="D202" s="22">
        <f t="shared" si="3"/>
        <v>4</v>
      </c>
      <c r="E202" s="22">
        <f t="shared" si="1"/>
        <v>15</v>
      </c>
      <c r="F202" s="20"/>
      <c r="G202" s="20"/>
      <c r="H202" s="20"/>
      <c r="I202" s="20"/>
      <c r="J202" s="20"/>
      <c r="K202" s="20"/>
      <c r="L202" s="22">
        <f t="shared" si="4"/>
        <v>-5</v>
      </c>
      <c r="M202" s="38">
        <f t="shared" si="5"/>
        <v>1</v>
      </c>
      <c r="N202" s="22">
        <f t="shared" si="6"/>
        <v>25</v>
      </c>
      <c r="O202" s="20"/>
      <c r="P202" s="22">
        <f t="shared" si="7"/>
        <v>-4</v>
      </c>
      <c r="Q202" s="38">
        <f t="shared" si="8"/>
        <v>1</v>
      </c>
      <c r="R202" s="22">
        <f t="shared" si="9"/>
        <v>16</v>
      </c>
      <c r="S202" s="20"/>
      <c r="T202" s="22">
        <f t="shared" si="10"/>
        <v>-15</v>
      </c>
      <c r="U202" s="38">
        <f t="shared" si="11"/>
        <v>1</v>
      </c>
      <c r="V202" s="22">
        <f t="shared" si="12"/>
        <v>225</v>
      </c>
    </row>
    <row r="203">
      <c r="A203" s="2">
        <v>40830.0</v>
      </c>
      <c r="B203" s="5">
        <v>0.0</v>
      </c>
      <c r="C203" s="22">
        <f t="shared" si="2"/>
        <v>5</v>
      </c>
      <c r="D203" s="22">
        <f t="shared" si="3"/>
        <v>4</v>
      </c>
      <c r="E203" s="22">
        <f t="shared" si="1"/>
        <v>6</v>
      </c>
      <c r="F203" s="20"/>
      <c r="G203" s="20"/>
      <c r="H203" s="20"/>
      <c r="I203" s="20"/>
      <c r="J203" s="20"/>
      <c r="K203" s="20"/>
      <c r="L203" s="22">
        <f t="shared" si="4"/>
        <v>-5</v>
      </c>
      <c r="M203" s="38">
        <f t="shared" si="5"/>
        <v>1</v>
      </c>
      <c r="N203" s="22">
        <f t="shared" si="6"/>
        <v>25</v>
      </c>
      <c r="O203" s="20"/>
      <c r="P203" s="22">
        <f t="shared" si="7"/>
        <v>-4</v>
      </c>
      <c r="Q203" s="38">
        <f t="shared" si="8"/>
        <v>1</v>
      </c>
      <c r="R203" s="22">
        <f t="shared" si="9"/>
        <v>16</v>
      </c>
      <c r="S203" s="20"/>
      <c r="T203" s="22">
        <f t="shared" si="10"/>
        <v>-6</v>
      </c>
      <c r="U203" s="38">
        <f t="shared" si="11"/>
        <v>1</v>
      </c>
      <c r="V203" s="22">
        <f t="shared" si="12"/>
        <v>36</v>
      </c>
    </row>
    <row r="204">
      <c r="A204" s="2">
        <v>40833.0</v>
      </c>
      <c r="B204" s="5">
        <v>0.0</v>
      </c>
      <c r="C204" s="22">
        <f t="shared" si="2"/>
        <v>5</v>
      </c>
      <c r="D204" s="22">
        <f t="shared" si="3"/>
        <v>4</v>
      </c>
      <c r="E204" s="22">
        <f t="shared" si="1"/>
        <v>2</v>
      </c>
      <c r="F204" s="20"/>
      <c r="G204" s="20"/>
      <c r="H204" s="20"/>
      <c r="I204" s="20"/>
      <c r="J204" s="20"/>
      <c r="K204" s="20"/>
      <c r="L204" s="22">
        <f t="shared" si="4"/>
        <v>-5</v>
      </c>
      <c r="M204" s="38">
        <f t="shared" si="5"/>
        <v>1</v>
      </c>
      <c r="N204" s="22">
        <f t="shared" si="6"/>
        <v>25</v>
      </c>
      <c r="O204" s="20"/>
      <c r="P204" s="22">
        <f t="shared" si="7"/>
        <v>-4</v>
      </c>
      <c r="Q204" s="38">
        <f t="shared" si="8"/>
        <v>1</v>
      </c>
      <c r="R204" s="22">
        <f t="shared" si="9"/>
        <v>16</v>
      </c>
      <c r="S204" s="20"/>
      <c r="T204" s="22">
        <f t="shared" si="10"/>
        <v>-2</v>
      </c>
      <c r="U204" s="38">
        <f t="shared" si="11"/>
        <v>1</v>
      </c>
      <c r="V204" s="22">
        <f t="shared" si="12"/>
        <v>4</v>
      </c>
    </row>
    <row r="205">
      <c r="A205" s="2">
        <v>40834.0</v>
      </c>
      <c r="B205" s="5">
        <v>0.0</v>
      </c>
      <c r="C205" s="22">
        <f t="shared" si="2"/>
        <v>5</v>
      </c>
      <c r="D205" s="22">
        <f t="shared" si="3"/>
        <v>4</v>
      </c>
      <c r="E205" s="22">
        <f t="shared" si="1"/>
        <v>1</v>
      </c>
      <c r="F205" s="20"/>
      <c r="G205" s="20"/>
      <c r="H205" s="20"/>
      <c r="I205" s="20"/>
      <c r="J205" s="20"/>
      <c r="K205" s="20"/>
      <c r="L205" s="22">
        <f t="shared" si="4"/>
        <v>-5</v>
      </c>
      <c r="M205" s="38">
        <f t="shared" si="5"/>
        <v>1</v>
      </c>
      <c r="N205" s="22">
        <f t="shared" si="6"/>
        <v>25</v>
      </c>
      <c r="O205" s="20"/>
      <c r="P205" s="22">
        <f t="shared" si="7"/>
        <v>-4</v>
      </c>
      <c r="Q205" s="38">
        <f t="shared" si="8"/>
        <v>1</v>
      </c>
      <c r="R205" s="22">
        <f t="shared" si="9"/>
        <v>16</v>
      </c>
      <c r="S205" s="20"/>
      <c r="T205" s="22">
        <f t="shared" si="10"/>
        <v>-1</v>
      </c>
      <c r="U205" s="38">
        <f t="shared" si="11"/>
        <v>1</v>
      </c>
      <c r="V205" s="22">
        <f t="shared" si="12"/>
        <v>1</v>
      </c>
    </row>
    <row r="206">
      <c r="A206" s="2">
        <v>40835.0</v>
      </c>
      <c r="B206" s="5">
        <v>1.0</v>
      </c>
      <c r="C206" s="22">
        <f t="shared" si="2"/>
        <v>5</v>
      </c>
      <c r="D206" s="22">
        <f t="shared" si="3"/>
        <v>4</v>
      </c>
      <c r="E206" s="22">
        <f t="shared" si="1"/>
        <v>0</v>
      </c>
      <c r="F206" s="20"/>
      <c r="G206" s="20"/>
      <c r="H206" s="20"/>
      <c r="I206" s="20"/>
      <c r="J206" s="20"/>
      <c r="K206" s="20"/>
      <c r="L206" s="22">
        <f t="shared" si="4"/>
        <v>-4</v>
      </c>
      <c r="M206" s="38">
        <f t="shared" si="5"/>
        <v>4</v>
      </c>
      <c r="N206" s="22">
        <f t="shared" si="6"/>
        <v>16</v>
      </c>
      <c r="O206" s="20"/>
      <c r="P206" s="22">
        <f t="shared" si="7"/>
        <v>-3</v>
      </c>
      <c r="Q206" s="38">
        <f t="shared" si="8"/>
        <v>3</v>
      </c>
      <c r="R206" s="22">
        <f t="shared" si="9"/>
        <v>9</v>
      </c>
      <c r="S206" s="20"/>
      <c r="T206" s="22">
        <f t="shared" si="10"/>
        <v>1</v>
      </c>
      <c r="U206" s="38">
        <f t="shared" si="11"/>
        <v>1</v>
      </c>
      <c r="V206" s="22">
        <f t="shared" si="12"/>
        <v>1</v>
      </c>
    </row>
    <row r="207">
      <c r="A207" s="2">
        <v>40836.0</v>
      </c>
      <c r="B207" s="5">
        <v>22.0</v>
      </c>
      <c r="C207" s="22">
        <f t="shared" si="2"/>
        <v>0</v>
      </c>
      <c r="D207" s="22">
        <f t="shared" si="3"/>
        <v>4</v>
      </c>
      <c r="E207" s="22">
        <f t="shared" si="1"/>
        <v>1</v>
      </c>
      <c r="F207" s="20"/>
      <c r="G207" s="20"/>
      <c r="H207" s="20"/>
      <c r="I207" s="20"/>
      <c r="J207" s="20"/>
      <c r="K207" s="20"/>
      <c r="L207" s="22">
        <f t="shared" si="4"/>
        <v>22</v>
      </c>
      <c r="M207" s="38">
        <f t="shared" si="5"/>
        <v>1</v>
      </c>
      <c r="N207" s="22">
        <f t="shared" si="6"/>
        <v>484</v>
      </c>
      <c r="O207" s="20"/>
      <c r="P207" s="22">
        <f t="shared" si="7"/>
        <v>18</v>
      </c>
      <c r="Q207" s="38">
        <f t="shared" si="8"/>
        <v>0.8181818182</v>
      </c>
      <c r="R207" s="22">
        <f t="shared" si="9"/>
        <v>324</v>
      </c>
      <c r="S207" s="20"/>
      <c r="T207" s="22">
        <f t="shared" si="10"/>
        <v>21</v>
      </c>
      <c r="U207" s="38">
        <f t="shared" si="11"/>
        <v>0.9545454545</v>
      </c>
      <c r="V207" s="22">
        <f t="shared" si="12"/>
        <v>441</v>
      </c>
    </row>
    <row r="208">
      <c r="A208" s="2">
        <v>40837.0</v>
      </c>
      <c r="B208" s="5">
        <v>0.0</v>
      </c>
      <c r="C208" s="22">
        <f t="shared" si="2"/>
        <v>5</v>
      </c>
      <c r="D208" s="22">
        <f t="shared" si="3"/>
        <v>4</v>
      </c>
      <c r="E208" s="22">
        <f t="shared" si="1"/>
        <v>14</v>
      </c>
      <c r="F208" s="20"/>
      <c r="G208" s="20"/>
      <c r="H208" s="20"/>
      <c r="I208" s="20"/>
      <c r="J208" s="20"/>
      <c r="K208" s="20"/>
      <c r="L208" s="22">
        <f t="shared" si="4"/>
        <v>-5</v>
      </c>
      <c r="M208" s="38">
        <f t="shared" si="5"/>
        <v>1</v>
      </c>
      <c r="N208" s="22">
        <f t="shared" si="6"/>
        <v>25</v>
      </c>
      <c r="O208" s="20"/>
      <c r="P208" s="22">
        <f t="shared" si="7"/>
        <v>-4</v>
      </c>
      <c r="Q208" s="38">
        <f t="shared" si="8"/>
        <v>1</v>
      </c>
      <c r="R208" s="22">
        <f t="shared" si="9"/>
        <v>16</v>
      </c>
      <c r="S208" s="20"/>
      <c r="T208" s="22">
        <f t="shared" si="10"/>
        <v>-14</v>
      </c>
      <c r="U208" s="38">
        <f t="shared" si="11"/>
        <v>1</v>
      </c>
      <c r="V208" s="22">
        <f t="shared" si="12"/>
        <v>196</v>
      </c>
    </row>
    <row r="209">
      <c r="A209" s="2">
        <v>40840.0</v>
      </c>
      <c r="B209" s="5">
        <v>0.0</v>
      </c>
      <c r="C209" s="22">
        <f t="shared" si="2"/>
        <v>5</v>
      </c>
      <c r="D209" s="22">
        <f t="shared" si="3"/>
        <v>4</v>
      </c>
      <c r="E209" s="22">
        <f t="shared" si="1"/>
        <v>6</v>
      </c>
      <c r="F209" s="20"/>
      <c r="G209" s="20"/>
      <c r="H209" s="20"/>
      <c r="I209" s="20"/>
      <c r="J209" s="20"/>
      <c r="K209" s="20"/>
      <c r="L209" s="22">
        <f t="shared" si="4"/>
        <v>-5</v>
      </c>
      <c r="M209" s="38">
        <f t="shared" si="5"/>
        <v>1</v>
      </c>
      <c r="N209" s="22">
        <f t="shared" si="6"/>
        <v>25</v>
      </c>
      <c r="O209" s="20"/>
      <c r="P209" s="22">
        <f t="shared" si="7"/>
        <v>-4</v>
      </c>
      <c r="Q209" s="38">
        <f t="shared" si="8"/>
        <v>1</v>
      </c>
      <c r="R209" s="22">
        <f t="shared" si="9"/>
        <v>16</v>
      </c>
      <c r="S209" s="20"/>
      <c r="T209" s="22">
        <f t="shared" si="10"/>
        <v>-6</v>
      </c>
      <c r="U209" s="38">
        <f t="shared" si="11"/>
        <v>1</v>
      </c>
      <c r="V209" s="22">
        <f t="shared" si="12"/>
        <v>36</v>
      </c>
    </row>
    <row r="210">
      <c r="A210" s="2">
        <v>40841.0</v>
      </c>
      <c r="B210" s="5">
        <v>0.0</v>
      </c>
      <c r="C210" s="22">
        <f t="shared" si="2"/>
        <v>5</v>
      </c>
      <c r="D210" s="22">
        <f t="shared" si="3"/>
        <v>4</v>
      </c>
      <c r="E210" s="22">
        <f t="shared" si="1"/>
        <v>2</v>
      </c>
      <c r="F210" s="20"/>
      <c r="G210" s="20"/>
      <c r="H210" s="20"/>
      <c r="I210" s="20"/>
      <c r="J210" s="20"/>
      <c r="K210" s="20"/>
      <c r="L210" s="22">
        <f t="shared" si="4"/>
        <v>-5</v>
      </c>
      <c r="M210" s="38">
        <f t="shared" si="5"/>
        <v>1</v>
      </c>
      <c r="N210" s="22">
        <f t="shared" si="6"/>
        <v>25</v>
      </c>
      <c r="O210" s="20"/>
      <c r="P210" s="22">
        <f t="shared" si="7"/>
        <v>-4</v>
      </c>
      <c r="Q210" s="38">
        <f t="shared" si="8"/>
        <v>1</v>
      </c>
      <c r="R210" s="22">
        <f t="shared" si="9"/>
        <v>16</v>
      </c>
      <c r="S210" s="20"/>
      <c r="T210" s="22">
        <f t="shared" si="10"/>
        <v>-2</v>
      </c>
      <c r="U210" s="38">
        <f t="shared" si="11"/>
        <v>1</v>
      </c>
      <c r="V210" s="22">
        <f t="shared" si="12"/>
        <v>4</v>
      </c>
    </row>
    <row r="211">
      <c r="A211" s="2">
        <v>40842.0</v>
      </c>
      <c r="B211" s="5">
        <v>2.0</v>
      </c>
      <c r="C211" s="22">
        <f t="shared" si="2"/>
        <v>5</v>
      </c>
      <c r="D211" s="22">
        <f t="shared" si="3"/>
        <v>4</v>
      </c>
      <c r="E211" s="22">
        <f t="shared" si="1"/>
        <v>1</v>
      </c>
      <c r="F211" s="20"/>
      <c r="G211" s="20"/>
      <c r="H211" s="20"/>
      <c r="I211" s="20"/>
      <c r="J211" s="20"/>
      <c r="K211" s="20"/>
      <c r="L211" s="22">
        <f t="shared" si="4"/>
        <v>-3</v>
      </c>
      <c r="M211" s="38">
        <f t="shared" si="5"/>
        <v>1.5</v>
      </c>
      <c r="N211" s="22">
        <f t="shared" si="6"/>
        <v>9</v>
      </c>
      <c r="O211" s="20"/>
      <c r="P211" s="22">
        <f t="shared" si="7"/>
        <v>-2</v>
      </c>
      <c r="Q211" s="38">
        <f t="shared" si="8"/>
        <v>1</v>
      </c>
      <c r="R211" s="22">
        <f t="shared" si="9"/>
        <v>4</v>
      </c>
      <c r="S211" s="20"/>
      <c r="T211" s="22">
        <f t="shared" si="10"/>
        <v>1</v>
      </c>
      <c r="U211" s="38">
        <f t="shared" si="11"/>
        <v>0.5</v>
      </c>
      <c r="V211" s="22">
        <f t="shared" si="12"/>
        <v>1</v>
      </c>
    </row>
    <row r="212">
      <c r="A212" s="2">
        <v>40843.0</v>
      </c>
      <c r="B212" s="5">
        <v>24.0</v>
      </c>
      <c r="C212" s="22">
        <f t="shared" si="2"/>
        <v>5</v>
      </c>
      <c r="D212" s="22">
        <f t="shared" si="3"/>
        <v>4</v>
      </c>
      <c r="E212" s="22">
        <f t="shared" si="1"/>
        <v>2</v>
      </c>
      <c r="F212" s="20"/>
      <c r="G212" s="20"/>
      <c r="H212" s="20"/>
      <c r="I212" s="20"/>
      <c r="J212" s="20"/>
      <c r="K212" s="20"/>
      <c r="L212" s="22">
        <f t="shared" si="4"/>
        <v>19</v>
      </c>
      <c r="M212" s="38">
        <f t="shared" si="5"/>
        <v>0.7916666667</v>
      </c>
      <c r="N212" s="22">
        <f t="shared" si="6"/>
        <v>361</v>
      </c>
      <c r="O212" s="20"/>
      <c r="P212" s="22">
        <f t="shared" si="7"/>
        <v>20</v>
      </c>
      <c r="Q212" s="38">
        <f t="shared" si="8"/>
        <v>0.8333333333</v>
      </c>
      <c r="R212" s="22">
        <f t="shared" si="9"/>
        <v>400</v>
      </c>
      <c r="S212" s="20"/>
      <c r="T212" s="22">
        <f t="shared" si="10"/>
        <v>22</v>
      </c>
      <c r="U212" s="38">
        <f t="shared" si="11"/>
        <v>0.9166666667</v>
      </c>
      <c r="V212" s="22">
        <f t="shared" si="12"/>
        <v>484</v>
      </c>
    </row>
    <row r="213">
      <c r="A213" s="2">
        <v>40844.0</v>
      </c>
      <c r="B213" s="5">
        <v>0.0</v>
      </c>
      <c r="C213" s="22">
        <f t="shared" si="2"/>
        <v>5</v>
      </c>
      <c r="D213" s="22">
        <f t="shared" si="3"/>
        <v>4</v>
      </c>
      <c r="E213" s="22">
        <f t="shared" si="1"/>
        <v>15</v>
      </c>
      <c r="F213" s="20"/>
      <c r="G213" s="20"/>
      <c r="H213" s="20"/>
      <c r="I213" s="20"/>
      <c r="J213" s="20"/>
      <c r="K213" s="20"/>
      <c r="L213" s="22">
        <f t="shared" si="4"/>
        <v>-5</v>
      </c>
      <c r="M213" s="38">
        <f t="shared" si="5"/>
        <v>1</v>
      </c>
      <c r="N213" s="22">
        <f t="shared" si="6"/>
        <v>25</v>
      </c>
      <c r="O213" s="20"/>
      <c r="P213" s="22">
        <f t="shared" si="7"/>
        <v>-4</v>
      </c>
      <c r="Q213" s="38">
        <f t="shared" si="8"/>
        <v>1</v>
      </c>
      <c r="R213" s="22">
        <f t="shared" si="9"/>
        <v>16</v>
      </c>
      <c r="S213" s="20"/>
      <c r="T213" s="22">
        <f t="shared" si="10"/>
        <v>-15</v>
      </c>
      <c r="U213" s="38">
        <f t="shared" si="11"/>
        <v>1</v>
      </c>
      <c r="V213" s="22">
        <f t="shared" si="12"/>
        <v>225</v>
      </c>
    </row>
    <row r="214">
      <c r="A214" s="2">
        <v>40847.0</v>
      </c>
      <c r="B214" s="5">
        <v>0.0</v>
      </c>
      <c r="C214" s="22">
        <f t="shared" si="2"/>
        <v>5</v>
      </c>
      <c r="D214" s="22">
        <f t="shared" si="3"/>
        <v>4</v>
      </c>
      <c r="E214" s="22">
        <f t="shared" si="1"/>
        <v>6</v>
      </c>
      <c r="F214" s="20"/>
      <c r="G214" s="20"/>
      <c r="H214" s="20"/>
      <c r="I214" s="20"/>
      <c r="J214" s="20"/>
      <c r="K214" s="20"/>
      <c r="L214" s="22">
        <f t="shared" si="4"/>
        <v>-5</v>
      </c>
      <c r="M214" s="38">
        <f t="shared" si="5"/>
        <v>1</v>
      </c>
      <c r="N214" s="22">
        <f t="shared" si="6"/>
        <v>25</v>
      </c>
      <c r="O214" s="20"/>
      <c r="P214" s="22">
        <f t="shared" si="7"/>
        <v>-4</v>
      </c>
      <c r="Q214" s="38">
        <f t="shared" si="8"/>
        <v>1</v>
      </c>
      <c r="R214" s="22">
        <f t="shared" si="9"/>
        <v>16</v>
      </c>
      <c r="S214" s="20"/>
      <c r="T214" s="22">
        <f t="shared" si="10"/>
        <v>-6</v>
      </c>
      <c r="U214" s="38">
        <f t="shared" si="11"/>
        <v>1</v>
      </c>
      <c r="V214" s="22">
        <f t="shared" si="12"/>
        <v>36</v>
      </c>
    </row>
    <row r="215">
      <c r="A215" s="2">
        <v>40848.0</v>
      </c>
      <c r="B215" s="5">
        <v>0.0</v>
      </c>
      <c r="C215" s="22">
        <f t="shared" si="2"/>
        <v>5</v>
      </c>
      <c r="D215" s="22">
        <f t="shared" si="3"/>
        <v>4</v>
      </c>
      <c r="E215" s="22">
        <f t="shared" si="1"/>
        <v>2</v>
      </c>
      <c r="F215" s="20"/>
      <c r="G215" s="20"/>
      <c r="H215" s="20"/>
      <c r="I215" s="20"/>
      <c r="J215" s="20"/>
      <c r="K215" s="20"/>
      <c r="L215" s="22">
        <f t="shared" si="4"/>
        <v>-5</v>
      </c>
      <c r="M215" s="38">
        <f t="shared" si="5"/>
        <v>1</v>
      </c>
      <c r="N215" s="22">
        <f t="shared" si="6"/>
        <v>25</v>
      </c>
      <c r="O215" s="20"/>
      <c r="P215" s="22">
        <f t="shared" si="7"/>
        <v>-4</v>
      </c>
      <c r="Q215" s="38">
        <f t="shared" si="8"/>
        <v>1</v>
      </c>
      <c r="R215" s="22">
        <f t="shared" si="9"/>
        <v>16</v>
      </c>
      <c r="S215" s="20"/>
      <c r="T215" s="22">
        <f t="shared" si="10"/>
        <v>-2</v>
      </c>
      <c r="U215" s="38">
        <f t="shared" si="11"/>
        <v>1</v>
      </c>
      <c r="V215" s="22">
        <f t="shared" si="12"/>
        <v>4</v>
      </c>
    </row>
    <row r="216">
      <c r="A216" s="2">
        <v>40849.0</v>
      </c>
      <c r="B216" s="5">
        <v>0.0</v>
      </c>
      <c r="C216" s="22">
        <f t="shared" si="2"/>
        <v>5</v>
      </c>
      <c r="D216" s="22">
        <f t="shared" si="3"/>
        <v>4</v>
      </c>
      <c r="E216" s="22">
        <f t="shared" si="1"/>
        <v>1</v>
      </c>
      <c r="F216" s="20"/>
      <c r="G216" s="20"/>
      <c r="H216" s="20"/>
      <c r="I216" s="20"/>
      <c r="J216" s="20"/>
      <c r="K216" s="20"/>
      <c r="L216" s="22">
        <f t="shared" si="4"/>
        <v>-5</v>
      </c>
      <c r="M216" s="38">
        <f t="shared" si="5"/>
        <v>1</v>
      </c>
      <c r="N216" s="22">
        <f t="shared" si="6"/>
        <v>25</v>
      </c>
      <c r="O216" s="20"/>
      <c r="P216" s="22">
        <f t="shared" si="7"/>
        <v>-4</v>
      </c>
      <c r="Q216" s="38">
        <f t="shared" si="8"/>
        <v>1</v>
      </c>
      <c r="R216" s="22">
        <f t="shared" si="9"/>
        <v>16</v>
      </c>
      <c r="S216" s="20"/>
      <c r="T216" s="22">
        <f t="shared" si="10"/>
        <v>-1</v>
      </c>
      <c r="U216" s="38">
        <f t="shared" si="11"/>
        <v>1</v>
      </c>
      <c r="V216" s="22">
        <f t="shared" si="12"/>
        <v>1</v>
      </c>
    </row>
    <row r="217">
      <c r="A217" s="2">
        <v>40850.0</v>
      </c>
      <c r="B217" s="5">
        <v>25.0</v>
      </c>
      <c r="C217" s="22">
        <f t="shared" si="2"/>
        <v>5</v>
      </c>
      <c r="D217" s="22">
        <f t="shared" si="3"/>
        <v>4</v>
      </c>
      <c r="E217" s="22">
        <f t="shared" si="1"/>
        <v>0</v>
      </c>
      <c r="F217" s="20"/>
      <c r="G217" s="20"/>
      <c r="H217" s="20"/>
      <c r="I217" s="20"/>
      <c r="J217" s="20"/>
      <c r="K217" s="20"/>
      <c r="L217" s="22">
        <f t="shared" si="4"/>
        <v>20</v>
      </c>
      <c r="M217" s="38">
        <f t="shared" si="5"/>
        <v>0.8</v>
      </c>
      <c r="N217" s="22">
        <f t="shared" si="6"/>
        <v>400</v>
      </c>
      <c r="O217" s="20"/>
      <c r="P217" s="22">
        <f t="shared" si="7"/>
        <v>21</v>
      </c>
      <c r="Q217" s="38">
        <f t="shared" si="8"/>
        <v>0.84</v>
      </c>
      <c r="R217" s="22">
        <f t="shared" si="9"/>
        <v>441</v>
      </c>
      <c r="S217" s="20"/>
      <c r="T217" s="22">
        <f t="shared" si="10"/>
        <v>25</v>
      </c>
      <c r="U217" s="38">
        <f t="shared" si="11"/>
        <v>1</v>
      </c>
      <c r="V217" s="22">
        <f t="shared" si="12"/>
        <v>625</v>
      </c>
    </row>
    <row r="218">
      <c r="A218" s="2">
        <v>40851.0</v>
      </c>
      <c r="B218" s="5">
        <v>0.0</v>
      </c>
      <c r="C218" s="22">
        <f t="shared" si="2"/>
        <v>5</v>
      </c>
      <c r="D218" s="22">
        <f t="shared" si="3"/>
        <v>4</v>
      </c>
      <c r="E218" s="22">
        <f t="shared" si="1"/>
        <v>15</v>
      </c>
      <c r="F218" s="20"/>
      <c r="G218" s="20"/>
      <c r="H218" s="20"/>
      <c r="I218" s="20"/>
      <c r="J218" s="20"/>
      <c r="K218" s="20"/>
      <c r="L218" s="22">
        <f t="shared" si="4"/>
        <v>-5</v>
      </c>
      <c r="M218" s="38">
        <f t="shared" si="5"/>
        <v>1</v>
      </c>
      <c r="N218" s="22">
        <f t="shared" si="6"/>
        <v>25</v>
      </c>
      <c r="O218" s="20"/>
      <c r="P218" s="22">
        <f t="shared" si="7"/>
        <v>-4</v>
      </c>
      <c r="Q218" s="38">
        <f t="shared" si="8"/>
        <v>1</v>
      </c>
      <c r="R218" s="22">
        <f t="shared" si="9"/>
        <v>16</v>
      </c>
      <c r="S218" s="20"/>
      <c r="T218" s="22">
        <f t="shared" si="10"/>
        <v>-15</v>
      </c>
      <c r="U218" s="38">
        <f t="shared" si="11"/>
        <v>1</v>
      </c>
      <c r="V218" s="22">
        <f t="shared" si="12"/>
        <v>225</v>
      </c>
    </row>
    <row r="219">
      <c r="A219" s="2">
        <v>40854.0</v>
      </c>
      <c r="B219" s="5">
        <v>0.0</v>
      </c>
      <c r="C219" s="22">
        <f t="shared" si="2"/>
        <v>5</v>
      </c>
      <c r="D219" s="22">
        <f t="shared" si="3"/>
        <v>4</v>
      </c>
      <c r="E219" s="22">
        <f t="shared" si="1"/>
        <v>6</v>
      </c>
      <c r="F219" s="20"/>
      <c r="G219" s="20"/>
      <c r="H219" s="20"/>
      <c r="I219" s="20"/>
      <c r="J219" s="20"/>
      <c r="K219" s="20"/>
      <c r="L219" s="22">
        <f t="shared" si="4"/>
        <v>-5</v>
      </c>
      <c r="M219" s="38">
        <f t="shared" si="5"/>
        <v>1</v>
      </c>
      <c r="N219" s="22">
        <f t="shared" si="6"/>
        <v>25</v>
      </c>
      <c r="O219" s="20"/>
      <c r="P219" s="22">
        <f t="shared" si="7"/>
        <v>-4</v>
      </c>
      <c r="Q219" s="38">
        <f t="shared" si="8"/>
        <v>1</v>
      </c>
      <c r="R219" s="22">
        <f t="shared" si="9"/>
        <v>16</v>
      </c>
      <c r="S219" s="20"/>
      <c r="T219" s="22">
        <f t="shared" si="10"/>
        <v>-6</v>
      </c>
      <c r="U219" s="38">
        <f t="shared" si="11"/>
        <v>1</v>
      </c>
      <c r="V219" s="22">
        <f t="shared" si="12"/>
        <v>36</v>
      </c>
    </row>
    <row r="220">
      <c r="A220" s="2">
        <v>40855.0</v>
      </c>
      <c r="B220" s="5">
        <v>0.0</v>
      </c>
      <c r="C220" s="22">
        <f t="shared" si="2"/>
        <v>5</v>
      </c>
      <c r="D220" s="22">
        <f t="shared" si="3"/>
        <v>4</v>
      </c>
      <c r="E220" s="22">
        <f t="shared" si="1"/>
        <v>2</v>
      </c>
      <c r="F220" s="20"/>
      <c r="G220" s="20"/>
      <c r="H220" s="20"/>
      <c r="I220" s="20"/>
      <c r="J220" s="20"/>
      <c r="K220" s="20"/>
      <c r="L220" s="22">
        <f t="shared" si="4"/>
        <v>-5</v>
      </c>
      <c r="M220" s="38">
        <f t="shared" si="5"/>
        <v>1</v>
      </c>
      <c r="N220" s="22">
        <f t="shared" si="6"/>
        <v>25</v>
      </c>
      <c r="O220" s="20"/>
      <c r="P220" s="22">
        <f t="shared" si="7"/>
        <v>-4</v>
      </c>
      <c r="Q220" s="38">
        <f t="shared" si="8"/>
        <v>1</v>
      </c>
      <c r="R220" s="22">
        <f t="shared" si="9"/>
        <v>16</v>
      </c>
      <c r="S220" s="20"/>
      <c r="T220" s="22">
        <f t="shared" si="10"/>
        <v>-2</v>
      </c>
      <c r="U220" s="38">
        <f t="shared" si="11"/>
        <v>1</v>
      </c>
      <c r="V220" s="22">
        <f t="shared" si="12"/>
        <v>4</v>
      </c>
    </row>
    <row r="221">
      <c r="A221" s="2">
        <v>40856.0</v>
      </c>
      <c r="B221" s="5">
        <v>0.0</v>
      </c>
      <c r="C221" s="22">
        <f t="shared" si="2"/>
        <v>5</v>
      </c>
      <c r="D221" s="22">
        <f t="shared" si="3"/>
        <v>4</v>
      </c>
      <c r="E221" s="22">
        <f t="shared" si="1"/>
        <v>1</v>
      </c>
      <c r="F221" s="20"/>
      <c r="G221" s="20"/>
      <c r="H221" s="20"/>
      <c r="I221" s="20"/>
      <c r="J221" s="20"/>
      <c r="K221" s="20"/>
      <c r="L221" s="22">
        <f t="shared" si="4"/>
        <v>-5</v>
      </c>
      <c r="M221" s="38">
        <f t="shared" si="5"/>
        <v>1</v>
      </c>
      <c r="N221" s="22">
        <f t="shared" si="6"/>
        <v>25</v>
      </c>
      <c r="O221" s="20"/>
      <c r="P221" s="22">
        <f t="shared" si="7"/>
        <v>-4</v>
      </c>
      <c r="Q221" s="38">
        <f t="shared" si="8"/>
        <v>1</v>
      </c>
      <c r="R221" s="22">
        <f t="shared" si="9"/>
        <v>16</v>
      </c>
      <c r="S221" s="20"/>
      <c r="T221" s="22">
        <f t="shared" si="10"/>
        <v>-1</v>
      </c>
      <c r="U221" s="38">
        <f t="shared" si="11"/>
        <v>1</v>
      </c>
      <c r="V221" s="22">
        <f t="shared" si="12"/>
        <v>1</v>
      </c>
    </row>
    <row r="222">
      <c r="A222" s="2">
        <v>40857.0</v>
      </c>
      <c r="B222" s="5">
        <v>31.0</v>
      </c>
      <c r="C222" s="22">
        <f t="shared" si="2"/>
        <v>5</v>
      </c>
      <c r="D222" s="22">
        <f t="shared" si="3"/>
        <v>4</v>
      </c>
      <c r="E222" s="22">
        <f t="shared" si="1"/>
        <v>0</v>
      </c>
      <c r="F222" s="20"/>
      <c r="G222" s="20"/>
      <c r="H222" s="20"/>
      <c r="I222" s="20"/>
      <c r="J222" s="20"/>
      <c r="K222" s="20"/>
      <c r="L222" s="22">
        <f t="shared" si="4"/>
        <v>26</v>
      </c>
      <c r="M222" s="38">
        <f t="shared" si="5"/>
        <v>0.8387096774</v>
      </c>
      <c r="N222" s="22">
        <f t="shared" si="6"/>
        <v>676</v>
      </c>
      <c r="O222" s="20"/>
      <c r="P222" s="22">
        <f t="shared" si="7"/>
        <v>27</v>
      </c>
      <c r="Q222" s="38">
        <f t="shared" si="8"/>
        <v>0.8709677419</v>
      </c>
      <c r="R222" s="22">
        <f t="shared" si="9"/>
        <v>729</v>
      </c>
      <c r="S222" s="20"/>
      <c r="T222" s="22">
        <f t="shared" si="10"/>
        <v>31</v>
      </c>
      <c r="U222" s="38">
        <f t="shared" si="11"/>
        <v>1</v>
      </c>
      <c r="V222" s="22">
        <f t="shared" si="12"/>
        <v>961</v>
      </c>
    </row>
    <row r="223">
      <c r="A223" s="2">
        <v>40858.0</v>
      </c>
      <c r="B223" s="5">
        <v>0.0</v>
      </c>
      <c r="C223" s="22">
        <f t="shared" si="2"/>
        <v>6</v>
      </c>
      <c r="D223" s="22">
        <f t="shared" si="3"/>
        <v>4</v>
      </c>
      <c r="E223" s="22">
        <f t="shared" si="1"/>
        <v>19</v>
      </c>
      <c r="F223" s="20"/>
      <c r="G223" s="20"/>
      <c r="H223" s="20"/>
      <c r="I223" s="20"/>
      <c r="J223" s="20"/>
      <c r="K223" s="20"/>
      <c r="L223" s="22">
        <f t="shared" si="4"/>
        <v>-6</v>
      </c>
      <c r="M223" s="38">
        <f t="shared" si="5"/>
        <v>1</v>
      </c>
      <c r="N223" s="22">
        <f t="shared" si="6"/>
        <v>36</v>
      </c>
      <c r="O223" s="20"/>
      <c r="P223" s="22">
        <f t="shared" si="7"/>
        <v>-4</v>
      </c>
      <c r="Q223" s="38">
        <f t="shared" si="8"/>
        <v>1</v>
      </c>
      <c r="R223" s="22">
        <f t="shared" si="9"/>
        <v>16</v>
      </c>
      <c r="S223" s="20"/>
      <c r="T223" s="22">
        <f t="shared" si="10"/>
        <v>-19</v>
      </c>
      <c r="U223" s="38">
        <f t="shared" si="11"/>
        <v>1</v>
      </c>
      <c r="V223" s="22">
        <f t="shared" si="12"/>
        <v>361</v>
      </c>
    </row>
    <row r="224">
      <c r="A224" s="2">
        <v>40861.0</v>
      </c>
      <c r="B224" s="5">
        <v>0.0</v>
      </c>
      <c r="C224" s="22">
        <f t="shared" si="2"/>
        <v>6</v>
      </c>
      <c r="D224" s="22">
        <f t="shared" si="3"/>
        <v>4</v>
      </c>
      <c r="E224" s="22">
        <f t="shared" si="1"/>
        <v>8</v>
      </c>
      <c r="F224" s="20"/>
      <c r="G224" s="20"/>
      <c r="H224" s="20"/>
      <c r="I224" s="20"/>
      <c r="J224" s="20"/>
      <c r="K224" s="20"/>
      <c r="L224" s="22">
        <f t="shared" si="4"/>
        <v>-6</v>
      </c>
      <c r="M224" s="38">
        <f t="shared" si="5"/>
        <v>1</v>
      </c>
      <c r="N224" s="22">
        <f t="shared" si="6"/>
        <v>36</v>
      </c>
      <c r="O224" s="20"/>
      <c r="P224" s="22">
        <f t="shared" si="7"/>
        <v>-4</v>
      </c>
      <c r="Q224" s="38">
        <f t="shared" si="8"/>
        <v>1</v>
      </c>
      <c r="R224" s="22">
        <f t="shared" si="9"/>
        <v>16</v>
      </c>
      <c r="S224" s="20"/>
      <c r="T224" s="22">
        <f t="shared" si="10"/>
        <v>-8</v>
      </c>
      <c r="U224" s="38">
        <f t="shared" si="11"/>
        <v>1</v>
      </c>
      <c r="V224" s="22">
        <f t="shared" si="12"/>
        <v>64</v>
      </c>
    </row>
    <row r="225">
      <c r="A225" s="2">
        <v>40862.0</v>
      </c>
      <c r="B225" s="5">
        <v>0.0</v>
      </c>
      <c r="C225" s="22">
        <f t="shared" si="2"/>
        <v>6</v>
      </c>
      <c r="D225" s="22">
        <f t="shared" si="3"/>
        <v>4</v>
      </c>
      <c r="E225" s="22">
        <f t="shared" si="1"/>
        <v>3</v>
      </c>
      <c r="F225" s="20"/>
      <c r="G225" s="20"/>
      <c r="H225" s="20"/>
      <c r="I225" s="20"/>
      <c r="J225" s="20"/>
      <c r="K225" s="20"/>
      <c r="L225" s="22">
        <f t="shared" si="4"/>
        <v>-6</v>
      </c>
      <c r="M225" s="38">
        <f t="shared" si="5"/>
        <v>1</v>
      </c>
      <c r="N225" s="22">
        <f t="shared" si="6"/>
        <v>36</v>
      </c>
      <c r="O225" s="20"/>
      <c r="P225" s="22">
        <f t="shared" si="7"/>
        <v>-4</v>
      </c>
      <c r="Q225" s="38">
        <f t="shared" si="8"/>
        <v>1</v>
      </c>
      <c r="R225" s="22">
        <f t="shared" si="9"/>
        <v>16</v>
      </c>
      <c r="S225" s="20"/>
      <c r="T225" s="22">
        <f t="shared" si="10"/>
        <v>-3</v>
      </c>
      <c r="U225" s="38">
        <f t="shared" si="11"/>
        <v>1</v>
      </c>
      <c r="V225" s="22">
        <f t="shared" si="12"/>
        <v>9</v>
      </c>
    </row>
    <row r="226">
      <c r="A226" s="2">
        <v>40863.0</v>
      </c>
      <c r="B226" s="5">
        <v>1.0</v>
      </c>
      <c r="C226" s="22">
        <f t="shared" si="2"/>
        <v>6</v>
      </c>
      <c r="D226" s="22">
        <f t="shared" si="3"/>
        <v>4</v>
      </c>
      <c r="E226" s="22">
        <f t="shared" si="1"/>
        <v>1</v>
      </c>
      <c r="F226" s="20"/>
      <c r="G226" s="20"/>
      <c r="H226" s="20"/>
      <c r="I226" s="20"/>
      <c r="J226" s="20"/>
      <c r="K226" s="20"/>
      <c r="L226" s="22">
        <f t="shared" si="4"/>
        <v>-5</v>
      </c>
      <c r="M226" s="38">
        <f t="shared" si="5"/>
        <v>5</v>
      </c>
      <c r="N226" s="22">
        <f t="shared" si="6"/>
        <v>25</v>
      </c>
      <c r="O226" s="20"/>
      <c r="P226" s="22">
        <f t="shared" si="7"/>
        <v>-3</v>
      </c>
      <c r="Q226" s="38">
        <f t="shared" si="8"/>
        <v>3</v>
      </c>
      <c r="R226" s="22">
        <f t="shared" si="9"/>
        <v>9</v>
      </c>
      <c r="S226" s="20"/>
      <c r="T226" s="22">
        <f t="shared" si="10"/>
        <v>0</v>
      </c>
      <c r="U226" s="38">
        <f t="shared" si="11"/>
        <v>0</v>
      </c>
      <c r="V226" s="22">
        <f t="shared" si="12"/>
        <v>0</v>
      </c>
    </row>
    <row r="227">
      <c r="A227" s="2">
        <v>40864.0</v>
      </c>
      <c r="B227" s="5">
        <v>29.0</v>
      </c>
      <c r="C227" s="22">
        <f t="shared" si="2"/>
        <v>6</v>
      </c>
      <c r="D227" s="22">
        <f t="shared" si="3"/>
        <v>4</v>
      </c>
      <c r="E227" s="22">
        <f t="shared" si="1"/>
        <v>1</v>
      </c>
      <c r="F227" s="20"/>
      <c r="G227" s="20"/>
      <c r="H227" s="20"/>
      <c r="I227" s="20"/>
      <c r="J227" s="20"/>
      <c r="K227" s="20"/>
      <c r="L227" s="22">
        <f t="shared" si="4"/>
        <v>23</v>
      </c>
      <c r="M227" s="38">
        <f t="shared" si="5"/>
        <v>0.7931034483</v>
      </c>
      <c r="N227" s="22">
        <f t="shared" si="6"/>
        <v>529</v>
      </c>
      <c r="O227" s="20"/>
      <c r="P227" s="22">
        <f t="shared" si="7"/>
        <v>25</v>
      </c>
      <c r="Q227" s="38">
        <f t="shared" si="8"/>
        <v>0.8620689655</v>
      </c>
      <c r="R227" s="22">
        <f t="shared" si="9"/>
        <v>625</v>
      </c>
      <c r="S227" s="20"/>
      <c r="T227" s="22">
        <f t="shared" si="10"/>
        <v>28</v>
      </c>
      <c r="U227" s="38">
        <f t="shared" si="11"/>
        <v>0.9655172414</v>
      </c>
      <c r="V227" s="22">
        <f t="shared" si="12"/>
        <v>784</v>
      </c>
    </row>
    <row r="228">
      <c r="A228" s="2">
        <v>40865.0</v>
      </c>
      <c r="B228" s="5">
        <v>0.0</v>
      </c>
      <c r="C228" s="22">
        <f t="shared" si="2"/>
        <v>6</v>
      </c>
      <c r="D228" s="22">
        <f t="shared" si="3"/>
        <v>4</v>
      </c>
      <c r="E228" s="22">
        <f t="shared" si="1"/>
        <v>18</v>
      </c>
      <c r="F228" s="20"/>
      <c r="G228" s="20"/>
      <c r="H228" s="20"/>
      <c r="I228" s="20"/>
      <c r="J228" s="20"/>
      <c r="K228" s="20"/>
      <c r="L228" s="22">
        <f t="shared" si="4"/>
        <v>-6</v>
      </c>
      <c r="M228" s="38">
        <f t="shared" si="5"/>
        <v>1</v>
      </c>
      <c r="N228" s="22">
        <f t="shared" si="6"/>
        <v>36</v>
      </c>
      <c r="O228" s="20"/>
      <c r="P228" s="22">
        <f t="shared" si="7"/>
        <v>-4</v>
      </c>
      <c r="Q228" s="38">
        <f t="shared" si="8"/>
        <v>1</v>
      </c>
      <c r="R228" s="22">
        <f t="shared" si="9"/>
        <v>16</v>
      </c>
      <c r="S228" s="20"/>
      <c r="T228" s="22">
        <f t="shared" si="10"/>
        <v>-18</v>
      </c>
      <c r="U228" s="38">
        <f t="shared" si="11"/>
        <v>1</v>
      </c>
      <c r="V228" s="22">
        <f t="shared" si="12"/>
        <v>324</v>
      </c>
    </row>
    <row r="229">
      <c r="A229" s="2">
        <v>40868.0</v>
      </c>
      <c r="B229" s="5">
        <v>0.0</v>
      </c>
      <c r="C229" s="22">
        <f t="shared" si="2"/>
        <v>6</v>
      </c>
      <c r="D229" s="22">
        <f t="shared" si="3"/>
        <v>4</v>
      </c>
      <c r="E229" s="22">
        <f t="shared" si="1"/>
        <v>7</v>
      </c>
      <c r="F229" s="20"/>
      <c r="G229" s="20"/>
      <c r="H229" s="20"/>
      <c r="I229" s="20"/>
      <c r="J229" s="20"/>
      <c r="K229" s="20"/>
      <c r="L229" s="22">
        <f t="shared" si="4"/>
        <v>-6</v>
      </c>
      <c r="M229" s="38">
        <f t="shared" si="5"/>
        <v>1</v>
      </c>
      <c r="N229" s="22">
        <f t="shared" si="6"/>
        <v>36</v>
      </c>
      <c r="O229" s="20"/>
      <c r="P229" s="22">
        <f t="shared" si="7"/>
        <v>-4</v>
      </c>
      <c r="Q229" s="38">
        <f t="shared" si="8"/>
        <v>1</v>
      </c>
      <c r="R229" s="22">
        <f t="shared" si="9"/>
        <v>16</v>
      </c>
      <c r="S229" s="20"/>
      <c r="T229" s="22">
        <f t="shared" si="10"/>
        <v>-7</v>
      </c>
      <c r="U229" s="38">
        <f t="shared" si="11"/>
        <v>1</v>
      </c>
      <c r="V229" s="22">
        <f t="shared" si="12"/>
        <v>49</v>
      </c>
    </row>
    <row r="230">
      <c r="A230" s="2">
        <v>40869.0</v>
      </c>
      <c r="B230" s="5">
        <v>0.0</v>
      </c>
      <c r="C230" s="22">
        <f t="shared" si="2"/>
        <v>6</v>
      </c>
      <c r="D230" s="22">
        <f t="shared" si="3"/>
        <v>4</v>
      </c>
      <c r="E230" s="22">
        <f t="shared" si="1"/>
        <v>3</v>
      </c>
      <c r="F230" s="20"/>
      <c r="G230" s="20"/>
      <c r="H230" s="20"/>
      <c r="I230" s="20"/>
      <c r="J230" s="20"/>
      <c r="K230" s="20"/>
      <c r="L230" s="22">
        <f t="shared" si="4"/>
        <v>-6</v>
      </c>
      <c r="M230" s="38">
        <f t="shared" si="5"/>
        <v>1</v>
      </c>
      <c r="N230" s="22">
        <f t="shared" si="6"/>
        <v>36</v>
      </c>
      <c r="O230" s="20"/>
      <c r="P230" s="22">
        <f t="shared" si="7"/>
        <v>-4</v>
      </c>
      <c r="Q230" s="38">
        <f t="shared" si="8"/>
        <v>1</v>
      </c>
      <c r="R230" s="22">
        <f t="shared" si="9"/>
        <v>16</v>
      </c>
      <c r="S230" s="20"/>
      <c r="T230" s="22">
        <f t="shared" si="10"/>
        <v>-3</v>
      </c>
      <c r="U230" s="38">
        <f t="shared" si="11"/>
        <v>1</v>
      </c>
      <c r="V230" s="22">
        <f t="shared" si="12"/>
        <v>9</v>
      </c>
    </row>
    <row r="231">
      <c r="A231" s="2">
        <v>40870.0</v>
      </c>
      <c r="B231" s="5">
        <v>0.0</v>
      </c>
      <c r="C231" s="22">
        <f t="shared" si="2"/>
        <v>6</v>
      </c>
      <c r="D231" s="22">
        <f t="shared" si="3"/>
        <v>4</v>
      </c>
      <c r="E231" s="22">
        <f t="shared" si="1"/>
        <v>1</v>
      </c>
      <c r="F231" s="20"/>
      <c r="G231" s="20"/>
      <c r="H231" s="20"/>
      <c r="I231" s="20"/>
      <c r="J231" s="20"/>
      <c r="K231" s="20"/>
      <c r="L231" s="22">
        <f t="shared" si="4"/>
        <v>-6</v>
      </c>
      <c r="M231" s="38">
        <f t="shared" si="5"/>
        <v>1</v>
      </c>
      <c r="N231" s="22">
        <f t="shared" si="6"/>
        <v>36</v>
      </c>
      <c r="O231" s="20"/>
      <c r="P231" s="22">
        <f t="shared" si="7"/>
        <v>-4</v>
      </c>
      <c r="Q231" s="38">
        <f t="shared" si="8"/>
        <v>1</v>
      </c>
      <c r="R231" s="22">
        <f t="shared" si="9"/>
        <v>16</v>
      </c>
      <c r="S231" s="20"/>
      <c r="T231" s="22">
        <f t="shared" si="10"/>
        <v>-1</v>
      </c>
      <c r="U231" s="38">
        <f t="shared" si="11"/>
        <v>1</v>
      </c>
      <c r="V231" s="22">
        <f t="shared" si="12"/>
        <v>1</v>
      </c>
    </row>
    <row r="232">
      <c r="A232" s="2">
        <v>40875.0</v>
      </c>
      <c r="B232" s="5">
        <v>0.0</v>
      </c>
      <c r="C232" s="22">
        <f t="shared" si="2"/>
        <v>6</v>
      </c>
      <c r="D232" s="22">
        <f t="shared" si="3"/>
        <v>4</v>
      </c>
      <c r="E232" s="22">
        <f t="shared" si="1"/>
        <v>0</v>
      </c>
      <c r="F232" s="20"/>
      <c r="G232" s="20"/>
      <c r="H232" s="20"/>
      <c r="I232" s="20"/>
      <c r="J232" s="20"/>
      <c r="K232" s="20"/>
      <c r="L232" s="22">
        <f t="shared" si="4"/>
        <v>-6</v>
      </c>
      <c r="M232" s="38">
        <f t="shared" si="5"/>
        <v>1</v>
      </c>
      <c r="N232" s="22">
        <f t="shared" si="6"/>
        <v>36</v>
      </c>
      <c r="O232" s="20"/>
      <c r="P232" s="22">
        <f t="shared" si="7"/>
        <v>-4</v>
      </c>
      <c r="Q232" s="38">
        <f t="shared" si="8"/>
        <v>1</v>
      </c>
      <c r="R232" s="22">
        <f t="shared" si="9"/>
        <v>16</v>
      </c>
      <c r="S232" s="20"/>
      <c r="T232" s="22">
        <f t="shared" si="10"/>
        <v>0</v>
      </c>
      <c r="U232" s="38">
        <f t="shared" si="11"/>
        <v>0</v>
      </c>
      <c r="V232" s="22">
        <f t="shared" si="12"/>
        <v>0</v>
      </c>
    </row>
    <row r="233">
      <c r="A233" s="2">
        <v>40876.0</v>
      </c>
      <c r="B233" s="5">
        <v>29.0</v>
      </c>
      <c r="C233" s="22">
        <f t="shared" si="2"/>
        <v>0</v>
      </c>
      <c r="D233" s="22">
        <f t="shared" si="3"/>
        <v>4</v>
      </c>
      <c r="E233" s="22">
        <f t="shared" si="1"/>
        <v>0</v>
      </c>
      <c r="F233" s="20"/>
      <c r="G233" s="20"/>
      <c r="H233" s="20"/>
      <c r="I233" s="20"/>
      <c r="J233" s="20"/>
      <c r="K233" s="20"/>
      <c r="L233" s="22">
        <f t="shared" si="4"/>
        <v>29</v>
      </c>
      <c r="M233" s="38">
        <f t="shared" si="5"/>
        <v>1</v>
      </c>
      <c r="N233" s="22">
        <f t="shared" si="6"/>
        <v>841</v>
      </c>
      <c r="O233" s="20"/>
      <c r="P233" s="22">
        <f t="shared" si="7"/>
        <v>25</v>
      </c>
      <c r="Q233" s="38">
        <f t="shared" si="8"/>
        <v>0.8620689655</v>
      </c>
      <c r="R233" s="22">
        <f t="shared" si="9"/>
        <v>625</v>
      </c>
      <c r="S233" s="20"/>
      <c r="T233" s="22">
        <f t="shared" si="10"/>
        <v>29</v>
      </c>
      <c r="U233" s="38">
        <f t="shared" si="11"/>
        <v>1</v>
      </c>
      <c r="V233" s="22">
        <f t="shared" si="12"/>
        <v>841</v>
      </c>
    </row>
    <row r="234">
      <c r="A234" s="2">
        <v>40877.0</v>
      </c>
      <c r="B234" s="5">
        <v>0.0</v>
      </c>
      <c r="C234" s="22">
        <f t="shared" si="2"/>
        <v>6</v>
      </c>
      <c r="D234" s="22">
        <f t="shared" si="3"/>
        <v>4</v>
      </c>
      <c r="E234" s="22">
        <f t="shared" si="1"/>
        <v>17</v>
      </c>
      <c r="F234" s="20"/>
      <c r="G234" s="20"/>
      <c r="H234" s="20"/>
      <c r="I234" s="20"/>
      <c r="J234" s="20"/>
      <c r="K234" s="20"/>
      <c r="L234" s="22">
        <f t="shared" si="4"/>
        <v>-6</v>
      </c>
      <c r="M234" s="38">
        <f t="shared" si="5"/>
        <v>1</v>
      </c>
      <c r="N234" s="22">
        <f t="shared" si="6"/>
        <v>36</v>
      </c>
      <c r="O234" s="20"/>
      <c r="P234" s="22">
        <f t="shared" si="7"/>
        <v>-4</v>
      </c>
      <c r="Q234" s="38">
        <f t="shared" si="8"/>
        <v>1</v>
      </c>
      <c r="R234" s="22">
        <f t="shared" si="9"/>
        <v>16</v>
      </c>
      <c r="S234" s="20"/>
      <c r="T234" s="22">
        <f t="shared" si="10"/>
        <v>-17</v>
      </c>
      <c r="U234" s="38">
        <f t="shared" si="11"/>
        <v>1</v>
      </c>
      <c r="V234" s="22">
        <f t="shared" si="12"/>
        <v>289</v>
      </c>
    </row>
    <row r="235">
      <c r="A235" s="2">
        <v>40878.0</v>
      </c>
      <c r="B235" s="5">
        <v>0.0</v>
      </c>
      <c r="C235" s="22">
        <f t="shared" si="2"/>
        <v>6</v>
      </c>
      <c r="D235" s="22">
        <f t="shared" si="3"/>
        <v>4</v>
      </c>
      <c r="E235" s="22">
        <f t="shared" si="1"/>
        <v>7</v>
      </c>
      <c r="F235" s="20"/>
      <c r="G235" s="20"/>
      <c r="H235" s="20"/>
      <c r="I235" s="20"/>
      <c r="J235" s="20"/>
      <c r="K235" s="20"/>
      <c r="L235" s="22">
        <f t="shared" si="4"/>
        <v>-6</v>
      </c>
      <c r="M235" s="38">
        <f t="shared" si="5"/>
        <v>1</v>
      </c>
      <c r="N235" s="22">
        <f t="shared" si="6"/>
        <v>36</v>
      </c>
      <c r="O235" s="20"/>
      <c r="P235" s="22">
        <f t="shared" si="7"/>
        <v>-4</v>
      </c>
      <c r="Q235" s="38">
        <f t="shared" si="8"/>
        <v>1</v>
      </c>
      <c r="R235" s="22">
        <f t="shared" si="9"/>
        <v>16</v>
      </c>
      <c r="S235" s="20"/>
      <c r="T235" s="22">
        <f t="shared" si="10"/>
        <v>-7</v>
      </c>
      <c r="U235" s="38">
        <f t="shared" si="11"/>
        <v>1</v>
      </c>
      <c r="V235" s="22">
        <f t="shared" si="12"/>
        <v>49</v>
      </c>
    </row>
    <row r="236">
      <c r="A236" s="2">
        <v>40879.0</v>
      </c>
      <c r="B236" s="5">
        <v>0.0</v>
      </c>
      <c r="C236" s="22">
        <f t="shared" si="2"/>
        <v>6</v>
      </c>
      <c r="D236" s="22">
        <f t="shared" si="3"/>
        <v>4</v>
      </c>
      <c r="E236" s="22">
        <f t="shared" si="1"/>
        <v>3</v>
      </c>
      <c r="F236" s="20"/>
      <c r="G236" s="20"/>
      <c r="H236" s="20"/>
      <c r="I236" s="20"/>
      <c r="J236" s="20"/>
      <c r="K236" s="20"/>
      <c r="L236" s="22">
        <f t="shared" si="4"/>
        <v>-6</v>
      </c>
      <c r="M236" s="38">
        <f t="shared" si="5"/>
        <v>1</v>
      </c>
      <c r="N236" s="22">
        <f t="shared" si="6"/>
        <v>36</v>
      </c>
      <c r="O236" s="20"/>
      <c r="P236" s="22">
        <f t="shared" si="7"/>
        <v>-4</v>
      </c>
      <c r="Q236" s="38">
        <f t="shared" si="8"/>
        <v>1</v>
      </c>
      <c r="R236" s="22">
        <f t="shared" si="9"/>
        <v>16</v>
      </c>
      <c r="S236" s="20"/>
      <c r="T236" s="22">
        <f t="shared" si="10"/>
        <v>-3</v>
      </c>
      <c r="U236" s="38">
        <f t="shared" si="11"/>
        <v>1</v>
      </c>
      <c r="V236" s="22">
        <f t="shared" si="12"/>
        <v>9</v>
      </c>
    </row>
    <row r="237">
      <c r="A237" s="2">
        <v>40882.0</v>
      </c>
      <c r="B237" s="5">
        <v>0.0</v>
      </c>
      <c r="C237" s="22">
        <f t="shared" si="2"/>
        <v>6</v>
      </c>
      <c r="D237" s="22">
        <f t="shared" si="3"/>
        <v>4</v>
      </c>
      <c r="E237" s="22">
        <f t="shared" si="1"/>
        <v>1</v>
      </c>
      <c r="F237" s="20"/>
      <c r="G237" s="20"/>
      <c r="H237" s="20"/>
      <c r="I237" s="20"/>
      <c r="J237" s="20"/>
      <c r="K237" s="20"/>
      <c r="L237" s="22">
        <f t="shared" si="4"/>
        <v>-6</v>
      </c>
      <c r="M237" s="38">
        <f t="shared" si="5"/>
        <v>1</v>
      </c>
      <c r="N237" s="22">
        <f t="shared" si="6"/>
        <v>36</v>
      </c>
      <c r="O237" s="20"/>
      <c r="P237" s="22">
        <f t="shared" si="7"/>
        <v>-4</v>
      </c>
      <c r="Q237" s="38">
        <f t="shared" si="8"/>
        <v>1</v>
      </c>
      <c r="R237" s="22">
        <f t="shared" si="9"/>
        <v>16</v>
      </c>
      <c r="S237" s="20"/>
      <c r="T237" s="22">
        <f t="shared" si="10"/>
        <v>-1</v>
      </c>
      <c r="U237" s="38">
        <f t="shared" si="11"/>
        <v>1</v>
      </c>
      <c r="V237" s="22">
        <f t="shared" si="12"/>
        <v>1</v>
      </c>
    </row>
    <row r="238">
      <c r="A238" s="2">
        <v>40883.0</v>
      </c>
      <c r="B238" s="5">
        <v>0.0</v>
      </c>
      <c r="C238" s="22">
        <f t="shared" si="2"/>
        <v>6</v>
      </c>
      <c r="D238" s="22">
        <f t="shared" si="3"/>
        <v>4</v>
      </c>
      <c r="E238" s="22">
        <f t="shared" si="1"/>
        <v>0</v>
      </c>
      <c r="F238" s="20"/>
      <c r="G238" s="20"/>
      <c r="H238" s="20"/>
      <c r="I238" s="20"/>
      <c r="J238" s="20"/>
      <c r="K238" s="20"/>
      <c r="L238" s="22">
        <f t="shared" si="4"/>
        <v>-6</v>
      </c>
      <c r="M238" s="38">
        <f t="shared" si="5"/>
        <v>1</v>
      </c>
      <c r="N238" s="22">
        <f t="shared" si="6"/>
        <v>36</v>
      </c>
      <c r="O238" s="20"/>
      <c r="P238" s="22">
        <f t="shared" si="7"/>
        <v>-4</v>
      </c>
      <c r="Q238" s="38">
        <f t="shared" si="8"/>
        <v>1</v>
      </c>
      <c r="R238" s="22">
        <f t="shared" si="9"/>
        <v>16</v>
      </c>
      <c r="S238" s="20"/>
      <c r="T238" s="22">
        <f t="shared" si="10"/>
        <v>0</v>
      </c>
      <c r="U238" s="38">
        <f t="shared" si="11"/>
        <v>0</v>
      </c>
      <c r="V238" s="22">
        <f t="shared" si="12"/>
        <v>0</v>
      </c>
    </row>
    <row r="239">
      <c r="A239" s="2">
        <v>40884.0</v>
      </c>
      <c r="B239" s="5">
        <v>0.0</v>
      </c>
      <c r="C239" s="22">
        <f t="shared" si="2"/>
        <v>0</v>
      </c>
      <c r="D239" s="22">
        <f t="shared" si="3"/>
        <v>4</v>
      </c>
      <c r="E239" s="22">
        <f t="shared" si="1"/>
        <v>0</v>
      </c>
      <c r="F239" s="20"/>
      <c r="G239" s="20"/>
      <c r="H239" s="20"/>
      <c r="I239" s="20"/>
      <c r="J239" s="20"/>
      <c r="K239" s="20"/>
      <c r="L239" s="22">
        <f t="shared" si="4"/>
        <v>0</v>
      </c>
      <c r="M239" s="38">
        <f t="shared" si="5"/>
        <v>0</v>
      </c>
      <c r="N239" s="22">
        <f t="shared" si="6"/>
        <v>0</v>
      </c>
      <c r="O239" s="20"/>
      <c r="P239" s="22">
        <f t="shared" si="7"/>
        <v>-4</v>
      </c>
      <c r="Q239" s="38">
        <f t="shared" si="8"/>
        <v>1</v>
      </c>
      <c r="R239" s="22">
        <f t="shared" si="9"/>
        <v>16</v>
      </c>
      <c r="S239" s="20"/>
      <c r="T239" s="22">
        <f t="shared" si="10"/>
        <v>0</v>
      </c>
      <c r="U239" s="38">
        <f t="shared" si="11"/>
        <v>0</v>
      </c>
      <c r="V239" s="22">
        <f t="shared" si="12"/>
        <v>0</v>
      </c>
    </row>
    <row r="240">
      <c r="A240" s="2">
        <v>40885.0</v>
      </c>
      <c r="B240" s="5">
        <v>38.0</v>
      </c>
      <c r="C240" s="22">
        <f t="shared" si="2"/>
        <v>0</v>
      </c>
      <c r="D240" s="22">
        <f t="shared" si="3"/>
        <v>4</v>
      </c>
      <c r="E240" s="22">
        <f t="shared" si="1"/>
        <v>0</v>
      </c>
      <c r="F240" s="20"/>
      <c r="G240" s="20"/>
      <c r="H240" s="20"/>
      <c r="I240" s="20"/>
      <c r="J240" s="20"/>
      <c r="K240" s="20"/>
      <c r="L240" s="22">
        <f t="shared" si="4"/>
        <v>38</v>
      </c>
      <c r="M240" s="38">
        <f t="shared" si="5"/>
        <v>1</v>
      </c>
      <c r="N240" s="22">
        <f t="shared" si="6"/>
        <v>1444</v>
      </c>
      <c r="O240" s="20"/>
      <c r="P240" s="22">
        <f t="shared" si="7"/>
        <v>34</v>
      </c>
      <c r="Q240" s="38">
        <f t="shared" si="8"/>
        <v>0.8947368421</v>
      </c>
      <c r="R240" s="22">
        <f t="shared" si="9"/>
        <v>1156</v>
      </c>
      <c r="S240" s="20"/>
      <c r="T240" s="22">
        <f t="shared" si="10"/>
        <v>38</v>
      </c>
      <c r="U240" s="38">
        <f t="shared" si="11"/>
        <v>1</v>
      </c>
      <c r="V240" s="22">
        <f t="shared" si="12"/>
        <v>1444</v>
      </c>
    </row>
    <row r="241">
      <c r="A241" s="2">
        <v>40886.0</v>
      </c>
      <c r="B241" s="5">
        <v>0.0</v>
      </c>
      <c r="C241" s="22">
        <f t="shared" si="2"/>
        <v>8</v>
      </c>
      <c r="D241" s="22">
        <f t="shared" si="3"/>
        <v>4</v>
      </c>
      <c r="E241" s="22">
        <f t="shared" si="1"/>
        <v>23</v>
      </c>
      <c r="F241" s="20"/>
      <c r="G241" s="20"/>
      <c r="H241" s="20"/>
      <c r="I241" s="20"/>
      <c r="J241" s="20"/>
      <c r="K241" s="20"/>
      <c r="L241" s="22">
        <f t="shared" si="4"/>
        <v>-8</v>
      </c>
      <c r="M241" s="38">
        <f t="shared" si="5"/>
        <v>1</v>
      </c>
      <c r="N241" s="22">
        <f t="shared" si="6"/>
        <v>64</v>
      </c>
      <c r="O241" s="20"/>
      <c r="P241" s="22">
        <f t="shared" si="7"/>
        <v>-4</v>
      </c>
      <c r="Q241" s="38">
        <f t="shared" si="8"/>
        <v>1</v>
      </c>
      <c r="R241" s="22">
        <f t="shared" si="9"/>
        <v>16</v>
      </c>
      <c r="S241" s="20"/>
      <c r="T241" s="22">
        <f t="shared" si="10"/>
        <v>-23</v>
      </c>
      <c r="U241" s="38">
        <f t="shared" si="11"/>
        <v>1</v>
      </c>
      <c r="V241" s="22">
        <f t="shared" si="12"/>
        <v>529</v>
      </c>
    </row>
    <row r="242">
      <c r="A242" s="2">
        <v>40889.0</v>
      </c>
      <c r="B242" s="5">
        <v>0.0</v>
      </c>
      <c r="C242" s="22">
        <f t="shared" si="2"/>
        <v>8</v>
      </c>
      <c r="D242" s="22">
        <f t="shared" si="3"/>
        <v>4</v>
      </c>
      <c r="E242" s="22">
        <f t="shared" si="1"/>
        <v>9</v>
      </c>
      <c r="F242" s="20"/>
      <c r="G242" s="20"/>
      <c r="H242" s="20"/>
      <c r="I242" s="20"/>
      <c r="J242" s="20"/>
      <c r="K242" s="20"/>
      <c r="L242" s="22">
        <f t="shared" si="4"/>
        <v>-8</v>
      </c>
      <c r="M242" s="38">
        <f t="shared" si="5"/>
        <v>1</v>
      </c>
      <c r="N242" s="22">
        <f t="shared" si="6"/>
        <v>64</v>
      </c>
      <c r="O242" s="20"/>
      <c r="P242" s="22">
        <f t="shared" si="7"/>
        <v>-4</v>
      </c>
      <c r="Q242" s="38">
        <f t="shared" si="8"/>
        <v>1</v>
      </c>
      <c r="R242" s="22">
        <f t="shared" si="9"/>
        <v>16</v>
      </c>
      <c r="S242" s="20"/>
      <c r="T242" s="22">
        <f t="shared" si="10"/>
        <v>-9</v>
      </c>
      <c r="U242" s="38">
        <f t="shared" si="11"/>
        <v>1</v>
      </c>
      <c r="V242" s="22">
        <f t="shared" si="12"/>
        <v>81</v>
      </c>
    </row>
    <row r="243">
      <c r="A243" s="2">
        <v>40890.0</v>
      </c>
      <c r="B243" s="5">
        <v>0.0</v>
      </c>
      <c r="C243" s="22">
        <f t="shared" si="2"/>
        <v>8</v>
      </c>
      <c r="D243" s="22">
        <f t="shared" si="3"/>
        <v>4</v>
      </c>
      <c r="E243" s="22">
        <f t="shared" si="1"/>
        <v>4</v>
      </c>
      <c r="F243" s="20"/>
      <c r="G243" s="20"/>
      <c r="H243" s="20"/>
      <c r="I243" s="20"/>
      <c r="J243" s="20"/>
      <c r="K243" s="20"/>
      <c r="L243" s="22">
        <f t="shared" si="4"/>
        <v>-8</v>
      </c>
      <c r="M243" s="38">
        <f t="shared" si="5"/>
        <v>1</v>
      </c>
      <c r="N243" s="22">
        <f t="shared" si="6"/>
        <v>64</v>
      </c>
      <c r="O243" s="20"/>
      <c r="P243" s="22">
        <f t="shared" si="7"/>
        <v>-4</v>
      </c>
      <c r="Q243" s="38">
        <f t="shared" si="8"/>
        <v>1</v>
      </c>
      <c r="R243" s="22">
        <f t="shared" si="9"/>
        <v>16</v>
      </c>
      <c r="S243" s="20"/>
      <c r="T243" s="22">
        <f t="shared" si="10"/>
        <v>-4</v>
      </c>
      <c r="U243" s="38">
        <f t="shared" si="11"/>
        <v>1</v>
      </c>
      <c r="V243" s="22">
        <f t="shared" si="12"/>
        <v>16</v>
      </c>
    </row>
    <row r="244">
      <c r="A244" s="2">
        <v>40891.0</v>
      </c>
      <c r="B244" s="5">
        <v>5.0</v>
      </c>
      <c r="C244" s="22">
        <f t="shared" si="2"/>
        <v>8</v>
      </c>
      <c r="D244" s="22">
        <f t="shared" si="3"/>
        <v>4</v>
      </c>
      <c r="E244" s="22">
        <f t="shared" si="1"/>
        <v>2</v>
      </c>
      <c r="F244" s="20"/>
      <c r="G244" s="20"/>
      <c r="H244" s="20"/>
      <c r="I244" s="20"/>
      <c r="J244" s="20"/>
      <c r="K244" s="20"/>
      <c r="L244" s="22">
        <f t="shared" si="4"/>
        <v>-3</v>
      </c>
      <c r="M244" s="38">
        <f t="shared" si="5"/>
        <v>0.6</v>
      </c>
      <c r="N244" s="22">
        <f t="shared" si="6"/>
        <v>9</v>
      </c>
      <c r="O244" s="20"/>
      <c r="P244" s="22">
        <f t="shared" si="7"/>
        <v>1</v>
      </c>
      <c r="Q244" s="38">
        <f t="shared" si="8"/>
        <v>0.2</v>
      </c>
      <c r="R244" s="22">
        <f t="shared" si="9"/>
        <v>1</v>
      </c>
      <c r="S244" s="20"/>
      <c r="T244" s="22">
        <f t="shared" si="10"/>
        <v>3</v>
      </c>
      <c r="U244" s="38">
        <f t="shared" si="11"/>
        <v>0.6</v>
      </c>
      <c r="V244" s="22">
        <f t="shared" si="12"/>
        <v>9</v>
      </c>
    </row>
    <row r="245">
      <c r="A245" s="2">
        <v>40892.0</v>
      </c>
      <c r="B245" s="5">
        <v>30.0</v>
      </c>
      <c r="C245" s="22">
        <f t="shared" si="2"/>
        <v>9</v>
      </c>
      <c r="D245" s="22">
        <f t="shared" si="3"/>
        <v>4</v>
      </c>
      <c r="E245" s="22">
        <f t="shared" si="1"/>
        <v>4</v>
      </c>
      <c r="F245" s="20"/>
      <c r="G245" s="20"/>
      <c r="H245" s="20"/>
      <c r="I245" s="20"/>
      <c r="J245" s="20"/>
      <c r="K245" s="20"/>
      <c r="L245" s="22">
        <f t="shared" si="4"/>
        <v>21</v>
      </c>
      <c r="M245" s="38">
        <f t="shared" si="5"/>
        <v>0.7</v>
      </c>
      <c r="N245" s="22">
        <f t="shared" si="6"/>
        <v>441</v>
      </c>
      <c r="O245" s="20"/>
      <c r="P245" s="22">
        <f t="shared" si="7"/>
        <v>26</v>
      </c>
      <c r="Q245" s="38">
        <f t="shared" si="8"/>
        <v>0.8666666667</v>
      </c>
      <c r="R245" s="22">
        <f t="shared" si="9"/>
        <v>676</v>
      </c>
      <c r="S245" s="20"/>
      <c r="T245" s="22">
        <f t="shared" si="10"/>
        <v>26</v>
      </c>
      <c r="U245" s="38">
        <f t="shared" si="11"/>
        <v>0.8666666667</v>
      </c>
      <c r="V245" s="22">
        <f t="shared" si="12"/>
        <v>676</v>
      </c>
    </row>
    <row r="246">
      <c r="A246" s="2">
        <v>40893.0</v>
      </c>
      <c r="B246" s="5">
        <v>0.0</v>
      </c>
      <c r="C246" s="22">
        <f t="shared" si="2"/>
        <v>7</v>
      </c>
      <c r="D246" s="22">
        <f t="shared" si="3"/>
        <v>4</v>
      </c>
      <c r="E246" s="22">
        <f t="shared" si="1"/>
        <v>20</v>
      </c>
      <c r="F246" s="20"/>
      <c r="G246" s="20"/>
      <c r="H246" s="20"/>
      <c r="I246" s="20"/>
      <c r="J246" s="20"/>
      <c r="K246" s="20"/>
      <c r="L246" s="22">
        <f t="shared" si="4"/>
        <v>-7</v>
      </c>
      <c r="M246" s="38">
        <f t="shared" si="5"/>
        <v>1</v>
      </c>
      <c r="N246" s="22">
        <f t="shared" si="6"/>
        <v>49</v>
      </c>
      <c r="O246" s="20"/>
      <c r="P246" s="22">
        <f t="shared" si="7"/>
        <v>-4</v>
      </c>
      <c r="Q246" s="38">
        <f t="shared" si="8"/>
        <v>1</v>
      </c>
      <c r="R246" s="22">
        <f t="shared" si="9"/>
        <v>16</v>
      </c>
      <c r="S246" s="20"/>
      <c r="T246" s="22">
        <f t="shared" si="10"/>
        <v>-20</v>
      </c>
      <c r="U246" s="38">
        <f t="shared" si="11"/>
        <v>1</v>
      </c>
      <c r="V246" s="22">
        <f t="shared" si="12"/>
        <v>400</v>
      </c>
    </row>
    <row r="247">
      <c r="A247" s="2">
        <v>40896.0</v>
      </c>
      <c r="B247" s="5">
        <v>36.0</v>
      </c>
      <c r="C247" s="22">
        <f t="shared" si="2"/>
        <v>7</v>
      </c>
      <c r="D247" s="22">
        <f t="shared" si="3"/>
        <v>4</v>
      </c>
      <c r="E247" s="22">
        <f t="shared" si="1"/>
        <v>8</v>
      </c>
      <c r="F247" s="20"/>
      <c r="G247" s="20"/>
      <c r="H247" s="20"/>
      <c r="I247" s="20"/>
      <c r="J247" s="20"/>
      <c r="K247" s="20"/>
      <c r="L247" s="22">
        <f t="shared" si="4"/>
        <v>29</v>
      </c>
      <c r="M247" s="38">
        <f t="shared" si="5"/>
        <v>0.8055555556</v>
      </c>
      <c r="N247" s="22">
        <f t="shared" si="6"/>
        <v>841</v>
      </c>
      <c r="O247" s="20"/>
      <c r="P247" s="22">
        <f t="shared" si="7"/>
        <v>32</v>
      </c>
      <c r="Q247" s="38">
        <f t="shared" si="8"/>
        <v>0.8888888889</v>
      </c>
      <c r="R247" s="22">
        <f t="shared" si="9"/>
        <v>1024</v>
      </c>
      <c r="S247" s="20"/>
      <c r="T247" s="22">
        <f t="shared" si="10"/>
        <v>28</v>
      </c>
      <c r="U247" s="38">
        <f t="shared" si="11"/>
        <v>0.7777777778</v>
      </c>
      <c r="V247" s="22">
        <f t="shared" si="12"/>
        <v>784</v>
      </c>
    </row>
    <row r="248">
      <c r="A248" s="2">
        <v>40897.0</v>
      </c>
      <c r="B248" s="5">
        <v>0.0</v>
      </c>
      <c r="C248" s="22">
        <f t="shared" si="2"/>
        <v>14</v>
      </c>
      <c r="D248" s="22">
        <f t="shared" si="3"/>
        <v>4</v>
      </c>
      <c r="E248" s="22">
        <f t="shared" si="1"/>
        <v>25</v>
      </c>
      <c r="F248" s="20"/>
      <c r="G248" s="20"/>
      <c r="H248" s="20"/>
      <c r="I248" s="20"/>
      <c r="J248" s="20"/>
      <c r="K248" s="20"/>
      <c r="L248" s="22">
        <f t="shared" si="4"/>
        <v>-14</v>
      </c>
      <c r="M248" s="38">
        <f t="shared" si="5"/>
        <v>1</v>
      </c>
      <c r="N248" s="22">
        <f t="shared" si="6"/>
        <v>196</v>
      </c>
      <c r="O248" s="20"/>
      <c r="P248" s="22">
        <f t="shared" si="7"/>
        <v>-4</v>
      </c>
      <c r="Q248" s="38">
        <f t="shared" si="8"/>
        <v>1</v>
      </c>
      <c r="R248" s="22">
        <f t="shared" si="9"/>
        <v>16</v>
      </c>
      <c r="S248" s="20"/>
      <c r="T248" s="22">
        <f t="shared" si="10"/>
        <v>-25</v>
      </c>
      <c r="U248" s="38">
        <f t="shared" si="11"/>
        <v>1</v>
      </c>
      <c r="V248" s="22">
        <f t="shared" si="12"/>
        <v>625</v>
      </c>
    </row>
    <row r="249">
      <c r="A249" s="2">
        <v>40898.0</v>
      </c>
      <c r="B249" s="5">
        <v>0.0</v>
      </c>
      <c r="C249" s="22">
        <f t="shared" si="2"/>
        <v>14</v>
      </c>
      <c r="D249" s="22">
        <f t="shared" si="3"/>
        <v>4</v>
      </c>
      <c r="E249" s="22">
        <f t="shared" si="1"/>
        <v>10</v>
      </c>
      <c r="F249" s="20"/>
      <c r="G249" s="20"/>
      <c r="H249" s="20"/>
      <c r="I249" s="20"/>
      <c r="J249" s="20"/>
      <c r="K249" s="20"/>
      <c r="L249" s="22">
        <f t="shared" si="4"/>
        <v>-14</v>
      </c>
      <c r="M249" s="38">
        <f t="shared" si="5"/>
        <v>1</v>
      </c>
      <c r="N249" s="22">
        <f t="shared" si="6"/>
        <v>196</v>
      </c>
      <c r="O249" s="20"/>
      <c r="P249" s="22">
        <f t="shared" si="7"/>
        <v>-4</v>
      </c>
      <c r="Q249" s="38">
        <f t="shared" si="8"/>
        <v>1</v>
      </c>
      <c r="R249" s="22">
        <f t="shared" si="9"/>
        <v>16</v>
      </c>
      <c r="S249" s="20"/>
      <c r="T249" s="22">
        <f t="shared" si="10"/>
        <v>-10</v>
      </c>
      <c r="U249" s="38">
        <f t="shared" si="11"/>
        <v>1</v>
      </c>
      <c r="V249" s="22">
        <f t="shared" si="12"/>
        <v>100</v>
      </c>
    </row>
    <row r="250">
      <c r="A250" s="2">
        <v>40899.0</v>
      </c>
      <c r="B250" s="5">
        <v>0.0</v>
      </c>
      <c r="C250" s="22">
        <f t="shared" si="2"/>
        <v>13</v>
      </c>
      <c r="D250" s="22">
        <f t="shared" si="3"/>
        <v>4</v>
      </c>
      <c r="E250" s="22">
        <f t="shared" si="1"/>
        <v>4</v>
      </c>
      <c r="F250" s="20"/>
      <c r="G250" s="20"/>
      <c r="H250" s="20"/>
      <c r="I250" s="20"/>
      <c r="J250" s="20"/>
      <c r="K250" s="20"/>
      <c r="L250" s="22">
        <f t="shared" si="4"/>
        <v>-13</v>
      </c>
      <c r="M250" s="38">
        <f t="shared" si="5"/>
        <v>1</v>
      </c>
      <c r="N250" s="22">
        <f t="shared" si="6"/>
        <v>169</v>
      </c>
      <c r="O250" s="20"/>
      <c r="P250" s="22">
        <f t="shared" si="7"/>
        <v>-4</v>
      </c>
      <c r="Q250" s="38">
        <f t="shared" si="8"/>
        <v>1</v>
      </c>
      <c r="R250" s="22">
        <f t="shared" si="9"/>
        <v>16</v>
      </c>
      <c r="S250" s="20"/>
      <c r="T250" s="22">
        <f t="shared" si="10"/>
        <v>-4</v>
      </c>
      <c r="U250" s="38">
        <f t="shared" si="11"/>
        <v>1</v>
      </c>
      <c r="V250" s="22">
        <f t="shared" si="12"/>
        <v>16</v>
      </c>
    </row>
    <row r="251">
      <c r="A251" s="2">
        <v>40900.0</v>
      </c>
      <c r="B251" s="5">
        <v>0.0</v>
      </c>
      <c r="C251" s="22">
        <f t="shared" si="2"/>
        <v>7</v>
      </c>
      <c r="D251" s="22">
        <f t="shared" si="3"/>
        <v>4</v>
      </c>
      <c r="E251" s="22">
        <f t="shared" si="1"/>
        <v>2</v>
      </c>
      <c r="F251" s="20"/>
      <c r="G251" s="20"/>
      <c r="H251" s="20"/>
      <c r="I251" s="20"/>
      <c r="J251" s="20"/>
      <c r="K251" s="20"/>
      <c r="L251" s="22">
        <f t="shared" si="4"/>
        <v>-7</v>
      </c>
      <c r="M251" s="38">
        <f t="shared" si="5"/>
        <v>1</v>
      </c>
      <c r="N251" s="22">
        <f t="shared" si="6"/>
        <v>49</v>
      </c>
      <c r="O251" s="20"/>
      <c r="P251" s="22">
        <f t="shared" si="7"/>
        <v>-4</v>
      </c>
      <c r="Q251" s="38">
        <f t="shared" si="8"/>
        <v>1</v>
      </c>
      <c r="R251" s="22">
        <f t="shared" si="9"/>
        <v>16</v>
      </c>
      <c r="S251" s="20"/>
      <c r="T251" s="22">
        <f t="shared" si="10"/>
        <v>-2</v>
      </c>
      <c r="U251" s="38">
        <f t="shared" si="11"/>
        <v>1</v>
      </c>
      <c r="V251" s="22">
        <f t="shared" si="12"/>
        <v>4</v>
      </c>
    </row>
    <row r="252">
      <c r="A252" s="2">
        <v>40904.0</v>
      </c>
      <c r="B252" s="5">
        <v>5.0</v>
      </c>
      <c r="C252" s="22">
        <f t="shared" si="2"/>
        <v>7</v>
      </c>
      <c r="D252" s="22">
        <f t="shared" si="3"/>
        <v>4</v>
      </c>
      <c r="E252" s="22">
        <f t="shared" si="1"/>
        <v>1</v>
      </c>
      <c r="F252" s="20"/>
      <c r="G252" s="20"/>
      <c r="H252" s="20"/>
      <c r="I252" s="20"/>
      <c r="J252" s="20"/>
      <c r="K252" s="20"/>
      <c r="L252" s="22">
        <f t="shared" si="4"/>
        <v>-2</v>
      </c>
      <c r="M252" s="38">
        <f t="shared" si="5"/>
        <v>0.4</v>
      </c>
      <c r="N252" s="22">
        <f t="shared" si="6"/>
        <v>4</v>
      </c>
      <c r="O252" s="20"/>
      <c r="P252" s="22">
        <f t="shared" si="7"/>
        <v>1</v>
      </c>
      <c r="Q252" s="38">
        <f t="shared" si="8"/>
        <v>0.2</v>
      </c>
      <c r="R252" s="22">
        <f t="shared" si="9"/>
        <v>1</v>
      </c>
      <c r="S252" s="20"/>
      <c r="T252" s="22">
        <f t="shared" si="10"/>
        <v>4</v>
      </c>
      <c r="U252" s="38">
        <f t="shared" si="11"/>
        <v>0.8</v>
      </c>
      <c r="V252" s="22">
        <f t="shared" si="12"/>
        <v>16</v>
      </c>
    </row>
    <row r="253">
      <c r="A253" s="2">
        <v>40905.0</v>
      </c>
      <c r="B253" s="5">
        <v>0.0</v>
      </c>
      <c r="C253" s="22">
        <f t="shared" si="2"/>
        <v>1</v>
      </c>
      <c r="D253" s="22">
        <f t="shared" si="3"/>
        <v>4</v>
      </c>
      <c r="E253" s="22">
        <f t="shared" si="1"/>
        <v>3</v>
      </c>
      <c r="F253" s="20"/>
      <c r="G253" s="20"/>
      <c r="H253" s="20"/>
      <c r="I253" s="20"/>
      <c r="J253" s="20"/>
      <c r="K253" s="20"/>
      <c r="L253" s="22">
        <f t="shared" si="4"/>
        <v>-1</v>
      </c>
      <c r="M253" s="38">
        <f t="shared" si="5"/>
        <v>1</v>
      </c>
      <c r="N253" s="22">
        <f t="shared" si="6"/>
        <v>1</v>
      </c>
      <c r="O253" s="20"/>
      <c r="P253" s="22">
        <f t="shared" si="7"/>
        <v>-4</v>
      </c>
      <c r="Q253" s="38">
        <f t="shared" si="8"/>
        <v>1</v>
      </c>
      <c r="R253" s="22">
        <f t="shared" si="9"/>
        <v>16</v>
      </c>
      <c r="S253" s="20"/>
      <c r="T253" s="22">
        <f t="shared" si="10"/>
        <v>-3</v>
      </c>
      <c r="U253" s="38">
        <f t="shared" si="11"/>
        <v>1</v>
      </c>
      <c r="V253" s="22">
        <f t="shared" si="12"/>
        <v>9</v>
      </c>
    </row>
    <row r="254">
      <c r="A254" s="2">
        <v>40906.0</v>
      </c>
      <c r="B254" s="5">
        <v>6.0</v>
      </c>
      <c r="C254" s="22">
        <f t="shared" si="2"/>
        <v>1</v>
      </c>
      <c r="D254" s="22">
        <f t="shared" si="3"/>
        <v>4</v>
      </c>
      <c r="E254" s="22">
        <f t="shared" si="1"/>
        <v>1</v>
      </c>
      <c r="F254" s="20"/>
      <c r="G254" s="20"/>
      <c r="H254" s="20"/>
      <c r="I254" s="20"/>
      <c r="J254" s="20"/>
      <c r="K254" s="20"/>
      <c r="L254" s="22">
        <f t="shared" si="4"/>
        <v>5</v>
      </c>
      <c r="M254" s="38">
        <f t="shared" si="5"/>
        <v>0.8333333333</v>
      </c>
      <c r="N254" s="22">
        <f t="shared" si="6"/>
        <v>25</v>
      </c>
      <c r="O254" s="20"/>
      <c r="P254" s="22">
        <f t="shared" si="7"/>
        <v>2</v>
      </c>
      <c r="Q254" s="38">
        <f t="shared" si="8"/>
        <v>0.3333333333</v>
      </c>
      <c r="R254" s="22">
        <f t="shared" si="9"/>
        <v>4</v>
      </c>
      <c r="S254" s="20"/>
      <c r="T254" s="22">
        <f t="shared" si="10"/>
        <v>5</v>
      </c>
      <c r="U254" s="38">
        <f t="shared" si="11"/>
        <v>0.8333333333</v>
      </c>
      <c r="V254" s="22">
        <f t="shared" si="12"/>
        <v>25</v>
      </c>
    </row>
    <row r="255">
      <c r="A255" s="2">
        <v>40907.0</v>
      </c>
      <c r="B255" s="5">
        <v>0.0</v>
      </c>
      <c r="C255" s="22">
        <f t="shared" si="2"/>
        <v>2</v>
      </c>
      <c r="D255" s="22">
        <f t="shared" si="3"/>
        <v>4</v>
      </c>
      <c r="E255" s="22">
        <f t="shared" si="1"/>
        <v>4</v>
      </c>
      <c r="F255" s="20"/>
      <c r="G255" s="20"/>
      <c r="H255" s="20"/>
      <c r="I255" s="20"/>
      <c r="J255" s="20"/>
      <c r="K255" s="20"/>
      <c r="L255" s="22">
        <f t="shared" si="4"/>
        <v>-2</v>
      </c>
      <c r="M255" s="38">
        <f t="shared" si="5"/>
        <v>1</v>
      </c>
      <c r="N255" s="22">
        <f t="shared" si="6"/>
        <v>4</v>
      </c>
      <c r="O255" s="20"/>
      <c r="P255" s="22">
        <f t="shared" si="7"/>
        <v>-4</v>
      </c>
      <c r="Q255" s="38">
        <f t="shared" si="8"/>
        <v>1</v>
      </c>
      <c r="R255" s="22">
        <f t="shared" si="9"/>
        <v>16</v>
      </c>
      <c r="S255" s="20"/>
      <c r="T255" s="22">
        <f t="shared" si="10"/>
        <v>-4</v>
      </c>
      <c r="U255" s="38">
        <f t="shared" si="11"/>
        <v>1</v>
      </c>
      <c r="V255" s="22">
        <f t="shared" si="12"/>
        <v>16</v>
      </c>
    </row>
    <row r="256">
      <c r="A256" s="2">
        <v>40911.0</v>
      </c>
      <c r="B256" s="5">
        <v>62.0</v>
      </c>
      <c r="C256" s="22">
        <f t="shared" si="2"/>
        <v>2</v>
      </c>
      <c r="D256" s="22">
        <f t="shared" si="3"/>
        <v>4</v>
      </c>
      <c r="E256" s="22">
        <f t="shared" si="1"/>
        <v>2</v>
      </c>
      <c r="F256" s="20"/>
      <c r="G256" s="20"/>
      <c r="H256" s="20"/>
      <c r="I256" s="20"/>
      <c r="J256" s="20"/>
      <c r="K256" s="20"/>
      <c r="L256" s="22">
        <f t="shared" si="4"/>
        <v>60</v>
      </c>
      <c r="M256" s="38">
        <f t="shared" si="5"/>
        <v>0.9677419355</v>
      </c>
      <c r="N256" s="22">
        <f t="shared" si="6"/>
        <v>3600</v>
      </c>
      <c r="O256" s="20"/>
      <c r="P256" s="22">
        <f t="shared" si="7"/>
        <v>58</v>
      </c>
      <c r="Q256" s="38">
        <f t="shared" si="8"/>
        <v>0.935483871</v>
      </c>
      <c r="R256" s="22">
        <f t="shared" si="9"/>
        <v>3364</v>
      </c>
      <c r="S256" s="20"/>
      <c r="T256" s="22">
        <f t="shared" si="10"/>
        <v>60</v>
      </c>
      <c r="U256" s="38">
        <f t="shared" si="11"/>
        <v>0.9677419355</v>
      </c>
      <c r="V256" s="22">
        <f t="shared" si="12"/>
        <v>3600</v>
      </c>
    </row>
    <row r="257">
      <c r="A257" s="2">
        <v>40912.0</v>
      </c>
      <c r="B257" s="5">
        <v>0.0</v>
      </c>
      <c r="C257" s="22">
        <f t="shared" si="2"/>
        <v>15</v>
      </c>
      <c r="D257" s="22">
        <f t="shared" si="3"/>
        <v>5</v>
      </c>
      <c r="E257" s="22">
        <f t="shared" si="1"/>
        <v>38</v>
      </c>
      <c r="F257" s="20"/>
      <c r="G257" s="20"/>
      <c r="H257" s="20"/>
      <c r="I257" s="20"/>
      <c r="J257" s="20"/>
      <c r="K257" s="20"/>
      <c r="L257" s="22">
        <f t="shared" si="4"/>
        <v>-15</v>
      </c>
      <c r="M257" s="38">
        <f t="shared" si="5"/>
        <v>1</v>
      </c>
      <c r="N257" s="22">
        <f t="shared" si="6"/>
        <v>225</v>
      </c>
      <c r="O257" s="20"/>
      <c r="P257" s="22">
        <f t="shared" si="7"/>
        <v>-5</v>
      </c>
      <c r="Q257" s="38">
        <f t="shared" si="8"/>
        <v>1</v>
      </c>
      <c r="R257" s="22">
        <f t="shared" si="9"/>
        <v>25</v>
      </c>
      <c r="S257" s="20"/>
      <c r="T257" s="22">
        <f t="shared" si="10"/>
        <v>-38</v>
      </c>
      <c r="U257" s="38">
        <f t="shared" si="11"/>
        <v>1</v>
      </c>
      <c r="V257" s="22">
        <f t="shared" si="12"/>
        <v>1444</v>
      </c>
    </row>
    <row r="258">
      <c r="A258" s="2">
        <v>40913.0</v>
      </c>
      <c r="B258" s="5">
        <v>0.0</v>
      </c>
      <c r="C258" s="22">
        <f t="shared" si="2"/>
        <v>14</v>
      </c>
      <c r="D258" s="22">
        <f t="shared" si="3"/>
        <v>5</v>
      </c>
      <c r="E258" s="22">
        <f t="shared" si="1"/>
        <v>15</v>
      </c>
      <c r="F258" s="20"/>
      <c r="G258" s="20"/>
      <c r="H258" s="20"/>
      <c r="I258" s="20"/>
      <c r="J258" s="20"/>
      <c r="K258" s="20"/>
      <c r="L258" s="22">
        <f t="shared" si="4"/>
        <v>-14</v>
      </c>
      <c r="M258" s="38">
        <f t="shared" si="5"/>
        <v>1</v>
      </c>
      <c r="N258" s="22">
        <f t="shared" si="6"/>
        <v>196</v>
      </c>
      <c r="O258" s="20"/>
      <c r="P258" s="22">
        <f t="shared" si="7"/>
        <v>-5</v>
      </c>
      <c r="Q258" s="38">
        <f t="shared" si="8"/>
        <v>1</v>
      </c>
      <c r="R258" s="22">
        <f t="shared" si="9"/>
        <v>25</v>
      </c>
      <c r="S258" s="20"/>
      <c r="T258" s="22">
        <f t="shared" si="10"/>
        <v>-15</v>
      </c>
      <c r="U258" s="38">
        <f t="shared" si="11"/>
        <v>1</v>
      </c>
      <c r="V258" s="22">
        <f t="shared" si="12"/>
        <v>225</v>
      </c>
    </row>
    <row r="259">
      <c r="A259" s="2">
        <v>40914.0</v>
      </c>
      <c r="B259" s="5">
        <v>0.0</v>
      </c>
      <c r="C259" s="22">
        <f t="shared" si="2"/>
        <v>14</v>
      </c>
      <c r="D259" s="22">
        <f t="shared" si="3"/>
        <v>5</v>
      </c>
      <c r="E259" s="22">
        <f t="shared" si="1"/>
        <v>6</v>
      </c>
      <c r="F259" s="20"/>
      <c r="G259" s="20"/>
      <c r="H259" s="20"/>
      <c r="I259" s="20"/>
      <c r="J259" s="20"/>
      <c r="K259" s="20"/>
      <c r="L259" s="22">
        <f t="shared" si="4"/>
        <v>-14</v>
      </c>
      <c r="M259" s="38">
        <f t="shared" si="5"/>
        <v>1</v>
      </c>
      <c r="N259" s="22">
        <f t="shared" si="6"/>
        <v>196</v>
      </c>
      <c r="O259" s="20"/>
      <c r="P259" s="22">
        <f t="shared" si="7"/>
        <v>-5</v>
      </c>
      <c r="Q259" s="38">
        <f t="shared" si="8"/>
        <v>1</v>
      </c>
      <c r="R259" s="22">
        <f t="shared" si="9"/>
        <v>25</v>
      </c>
      <c r="S259" s="20"/>
      <c r="T259" s="22">
        <f t="shared" si="10"/>
        <v>-6</v>
      </c>
      <c r="U259" s="38">
        <f t="shared" si="11"/>
        <v>1</v>
      </c>
      <c r="V259" s="22">
        <f t="shared" si="12"/>
        <v>36</v>
      </c>
    </row>
    <row r="260">
      <c r="A260" s="2">
        <v>40917.0</v>
      </c>
      <c r="B260" s="5">
        <v>0.0</v>
      </c>
      <c r="C260" s="22">
        <f t="shared" si="2"/>
        <v>12</v>
      </c>
      <c r="D260" s="22">
        <f t="shared" si="3"/>
        <v>4</v>
      </c>
      <c r="E260" s="22">
        <f t="shared" si="1"/>
        <v>2</v>
      </c>
      <c r="F260" s="20"/>
      <c r="G260" s="20"/>
      <c r="H260" s="20"/>
      <c r="I260" s="20"/>
      <c r="J260" s="20"/>
      <c r="K260" s="20"/>
      <c r="L260" s="22">
        <f t="shared" si="4"/>
        <v>-12</v>
      </c>
      <c r="M260" s="38">
        <f t="shared" si="5"/>
        <v>1</v>
      </c>
      <c r="N260" s="22">
        <f t="shared" si="6"/>
        <v>144</v>
      </c>
      <c r="O260" s="20"/>
      <c r="P260" s="22">
        <f t="shared" si="7"/>
        <v>-4</v>
      </c>
      <c r="Q260" s="38">
        <f t="shared" si="8"/>
        <v>1</v>
      </c>
      <c r="R260" s="22">
        <f t="shared" si="9"/>
        <v>16</v>
      </c>
      <c r="S260" s="20"/>
      <c r="T260" s="22">
        <f t="shared" si="10"/>
        <v>-2</v>
      </c>
      <c r="U260" s="38">
        <f t="shared" si="11"/>
        <v>1</v>
      </c>
      <c r="V260" s="22">
        <f t="shared" si="12"/>
        <v>4</v>
      </c>
    </row>
    <row r="261">
      <c r="A261" s="2">
        <v>40918.0</v>
      </c>
      <c r="B261" s="5">
        <v>0.0</v>
      </c>
      <c r="C261" s="22">
        <f t="shared" si="2"/>
        <v>12</v>
      </c>
      <c r="D261" s="22">
        <f t="shared" si="3"/>
        <v>4</v>
      </c>
      <c r="E261" s="22">
        <f t="shared" si="1"/>
        <v>1</v>
      </c>
      <c r="F261" s="20"/>
      <c r="G261" s="20"/>
      <c r="H261" s="20"/>
      <c r="I261" s="20"/>
      <c r="J261" s="20"/>
      <c r="K261" s="20"/>
      <c r="L261" s="22">
        <f t="shared" si="4"/>
        <v>-12</v>
      </c>
      <c r="M261" s="38">
        <f t="shared" si="5"/>
        <v>1</v>
      </c>
      <c r="N261" s="22">
        <f t="shared" si="6"/>
        <v>144</v>
      </c>
      <c r="O261" s="20"/>
      <c r="P261" s="22">
        <f t="shared" si="7"/>
        <v>-4</v>
      </c>
      <c r="Q261" s="38">
        <f t="shared" si="8"/>
        <v>1</v>
      </c>
      <c r="R261" s="22">
        <f t="shared" si="9"/>
        <v>16</v>
      </c>
      <c r="S261" s="20"/>
      <c r="T261" s="22">
        <f t="shared" si="10"/>
        <v>-1</v>
      </c>
      <c r="U261" s="38">
        <f t="shared" si="11"/>
        <v>1</v>
      </c>
      <c r="V261" s="22">
        <f t="shared" si="12"/>
        <v>1</v>
      </c>
    </row>
    <row r="262">
      <c r="A262" s="2">
        <v>40919.0</v>
      </c>
      <c r="B262" s="5">
        <v>0.0</v>
      </c>
      <c r="C262" s="22">
        <f t="shared" si="2"/>
        <v>0</v>
      </c>
      <c r="D262" s="22">
        <f t="shared" si="3"/>
        <v>4</v>
      </c>
      <c r="E262" s="22">
        <f t="shared" si="1"/>
        <v>0</v>
      </c>
      <c r="F262" s="20"/>
      <c r="G262" s="20"/>
      <c r="H262" s="20"/>
      <c r="I262" s="20"/>
      <c r="J262" s="20"/>
      <c r="K262" s="20"/>
      <c r="L262" s="22">
        <f t="shared" si="4"/>
        <v>0</v>
      </c>
      <c r="M262" s="38">
        <f t="shared" si="5"/>
        <v>0</v>
      </c>
      <c r="N262" s="22">
        <f t="shared" si="6"/>
        <v>0</v>
      </c>
      <c r="O262" s="20"/>
      <c r="P262" s="22">
        <f t="shared" si="7"/>
        <v>-4</v>
      </c>
      <c r="Q262" s="38">
        <f t="shared" si="8"/>
        <v>1</v>
      </c>
      <c r="R262" s="22">
        <f t="shared" si="9"/>
        <v>16</v>
      </c>
      <c r="S262" s="20"/>
      <c r="T262" s="22">
        <f t="shared" si="10"/>
        <v>0</v>
      </c>
      <c r="U262" s="38">
        <f t="shared" si="11"/>
        <v>0</v>
      </c>
      <c r="V262" s="22">
        <f t="shared" si="12"/>
        <v>0</v>
      </c>
    </row>
    <row r="263">
      <c r="A263" s="2">
        <v>40920.0</v>
      </c>
      <c r="B263" s="5">
        <v>0.0</v>
      </c>
      <c r="C263" s="22">
        <f t="shared" si="2"/>
        <v>0</v>
      </c>
      <c r="D263" s="22">
        <f t="shared" si="3"/>
        <v>4</v>
      </c>
      <c r="E263" s="22">
        <f t="shared" si="1"/>
        <v>0</v>
      </c>
      <c r="F263" s="20"/>
      <c r="G263" s="20"/>
      <c r="H263" s="20"/>
      <c r="I263" s="20"/>
      <c r="J263" s="20"/>
      <c r="K263" s="20"/>
      <c r="L263" s="22">
        <f t="shared" si="4"/>
        <v>0</v>
      </c>
      <c r="M263" s="38">
        <f t="shared" si="5"/>
        <v>0</v>
      </c>
      <c r="N263" s="22">
        <f t="shared" si="6"/>
        <v>0</v>
      </c>
      <c r="O263" s="20"/>
      <c r="P263" s="22">
        <f t="shared" si="7"/>
        <v>-4</v>
      </c>
      <c r="Q263" s="38">
        <f t="shared" si="8"/>
        <v>1</v>
      </c>
      <c r="R263" s="22">
        <f t="shared" si="9"/>
        <v>16</v>
      </c>
      <c r="S263" s="20"/>
      <c r="T263" s="22">
        <f t="shared" si="10"/>
        <v>0</v>
      </c>
      <c r="U263" s="38">
        <f t="shared" si="11"/>
        <v>0</v>
      </c>
      <c r="V263" s="22">
        <f t="shared" si="12"/>
        <v>0</v>
      </c>
    </row>
    <row r="264">
      <c r="A264" s="2">
        <v>40921.0</v>
      </c>
      <c r="B264" s="5">
        <v>0.0</v>
      </c>
      <c r="C264" s="22">
        <f t="shared" si="2"/>
        <v>0</v>
      </c>
      <c r="D264" s="22">
        <f t="shared" si="3"/>
        <v>4</v>
      </c>
      <c r="E264" s="22">
        <f t="shared" si="1"/>
        <v>0</v>
      </c>
      <c r="F264" s="20"/>
      <c r="G264" s="20"/>
      <c r="H264" s="20"/>
      <c r="I264" s="20"/>
      <c r="J264" s="20"/>
      <c r="K264" s="20"/>
      <c r="L264" s="22">
        <f t="shared" si="4"/>
        <v>0</v>
      </c>
      <c r="M264" s="38">
        <f t="shared" si="5"/>
        <v>0</v>
      </c>
      <c r="N264" s="22">
        <f t="shared" si="6"/>
        <v>0</v>
      </c>
      <c r="O264" s="20"/>
      <c r="P264" s="22">
        <f t="shared" si="7"/>
        <v>-4</v>
      </c>
      <c r="Q264" s="38">
        <f t="shared" si="8"/>
        <v>1</v>
      </c>
      <c r="R264" s="22">
        <f t="shared" si="9"/>
        <v>16</v>
      </c>
      <c r="S264" s="20"/>
      <c r="T264" s="22">
        <f t="shared" si="10"/>
        <v>0</v>
      </c>
      <c r="U264" s="38">
        <f t="shared" si="11"/>
        <v>0</v>
      </c>
      <c r="V264" s="22">
        <f t="shared" si="12"/>
        <v>0</v>
      </c>
    </row>
    <row r="265">
      <c r="A265" s="2">
        <v>40924.0</v>
      </c>
      <c r="B265" s="5">
        <v>0.0</v>
      </c>
      <c r="C265" s="22">
        <f t="shared" si="2"/>
        <v>0</v>
      </c>
      <c r="D265" s="22">
        <f t="shared" si="3"/>
        <v>4</v>
      </c>
      <c r="E265" s="22">
        <f t="shared" si="1"/>
        <v>0</v>
      </c>
      <c r="F265" s="20"/>
      <c r="G265" s="20"/>
      <c r="H265" s="20"/>
      <c r="I265" s="20"/>
      <c r="J265" s="20"/>
      <c r="K265" s="20"/>
      <c r="L265" s="22">
        <f t="shared" si="4"/>
        <v>0</v>
      </c>
      <c r="M265" s="38">
        <f t="shared" si="5"/>
        <v>0</v>
      </c>
      <c r="N265" s="22">
        <f t="shared" si="6"/>
        <v>0</v>
      </c>
      <c r="O265" s="20"/>
      <c r="P265" s="22">
        <f t="shared" si="7"/>
        <v>-4</v>
      </c>
      <c r="Q265" s="38">
        <f t="shared" si="8"/>
        <v>1</v>
      </c>
      <c r="R265" s="22">
        <f t="shared" si="9"/>
        <v>16</v>
      </c>
      <c r="S265" s="20"/>
      <c r="T265" s="22">
        <f t="shared" si="10"/>
        <v>0</v>
      </c>
      <c r="U265" s="38">
        <f t="shared" si="11"/>
        <v>0</v>
      </c>
      <c r="V265" s="22">
        <f t="shared" si="12"/>
        <v>0</v>
      </c>
    </row>
    <row r="266">
      <c r="A266" s="2">
        <v>40925.0</v>
      </c>
      <c r="B266" s="5">
        <v>0.0</v>
      </c>
      <c r="C266" s="22">
        <f t="shared" si="2"/>
        <v>0</v>
      </c>
      <c r="D266" s="22">
        <f t="shared" si="3"/>
        <v>4</v>
      </c>
      <c r="E266" s="22">
        <f t="shared" si="1"/>
        <v>0</v>
      </c>
      <c r="F266" s="20"/>
      <c r="G266" s="20"/>
      <c r="H266" s="20"/>
      <c r="I266" s="20"/>
      <c r="J266" s="20"/>
      <c r="K266" s="20"/>
      <c r="L266" s="22">
        <f t="shared" si="4"/>
        <v>0</v>
      </c>
      <c r="M266" s="38">
        <f t="shared" si="5"/>
        <v>0</v>
      </c>
      <c r="N266" s="22">
        <f t="shared" si="6"/>
        <v>0</v>
      </c>
      <c r="O266" s="20"/>
      <c r="P266" s="22">
        <f t="shared" si="7"/>
        <v>-4</v>
      </c>
      <c r="Q266" s="38">
        <f t="shared" si="8"/>
        <v>1</v>
      </c>
      <c r="R266" s="22">
        <f t="shared" si="9"/>
        <v>16</v>
      </c>
      <c r="S266" s="20"/>
      <c r="T266" s="22">
        <f t="shared" si="10"/>
        <v>0</v>
      </c>
      <c r="U266" s="38">
        <f t="shared" si="11"/>
        <v>0</v>
      </c>
      <c r="V266" s="22">
        <f t="shared" si="12"/>
        <v>0</v>
      </c>
    </row>
    <row r="267">
      <c r="A267" s="2">
        <v>40926.0</v>
      </c>
      <c r="B267" s="5">
        <v>2.0</v>
      </c>
      <c r="C267" s="22">
        <f t="shared" si="2"/>
        <v>0</v>
      </c>
      <c r="D267" s="22">
        <f t="shared" si="3"/>
        <v>4</v>
      </c>
      <c r="E267" s="22">
        <f t="shared" si="1"/>
        <v>0</v>
      </c>
      <c r="F267" s="20"/>
      <c r="G267" s="20"/>
      <c r="H267" s="20"/>
      <c r="I267" s="20"/>
      <c r="J267" s="20"/>
      <c r="K267" s="20"/>
      <c r="L267" s="22">
        <f t="shared" si="4"/>
        <v>2</v>
      </c>
      <c r="M267" s="38">
        <f t="shared" si="5"/>
        <v>1</v>
      </c>
      <c r="N267" s="22">
        <f t="shared" si="6"/>
        <v>4</v>
      </c>
      <c r="O267" s="20"/>
      <c r="P267" s="22">
        <f t="shared" si="7"/>
        <v>-2</v>
      </c>
      <c r="Q267" s="38">
        <f t="shared" si="8"/>
        <v>1</v>
      </c>
      <c r="R267" s="22">
        <f t="shared" si="9"/>
        <v>4</v>
      </c>
      <c r="S267" s="20"/>
      <c r="T267" s="22">
        <f t="shared" si="10"/>
        <v>2</v>
      </c>
      <c r="U267" s="38">
        <f t="shared" si="11"/>
        <v>1</v>
      </c>
      <c r="V267" s="22">
        <f t="shared" si="12"/>
        <v>4</v>
      </c>
    </row>
    <row r="268">
      <c r="A268" s="2">
        <v>40927.0</v>
      </c>
      <c r="B268" s="5">
        <v>23.0</v>
      </c>
      <c r="C268" s="22">
        <f t="shared" si="2"/>
        <v>0</v>
      </c>
      <c r="D268" s="22">
        <f t="shared" si="3"/>
        <v>4</v>
      </c>
      <c r="E268" s="22">
        <f t="shared" si="1"/>
        <v>1</v>
      </c>
      <c r="F268" s="20"/>
      <c r="G268" s="20"/>
      <c r="H268" s="20"/>
      <c r="I268" s="20"/>
      <c r="J268" s="20"/>
      <c r="K268" s="20"/>
      <c r="L268" s="22">
        <f t="shared" si="4"/>
        <v>23</v>
      </c>
      <c r="M268" s="38">
        <f t="shared" si="5"/>
        <v>1</v>
      </c>
      <c r="N268" s="22">
        <f t="shared" si="6"/>
        <v>529</v>
      </c>
      <c r="O268" s="20"/>
      <c r="P268" s="22">
        <f t="shared" si="7"/>
        <v>19</v>
      </c>
      <c r="Q268" s="38">
        <f t="shared" si="8"/>
        <v>0.8260869565</v>
      </c>
      <c r="R268" s="22">
        <f t="shared" si="9"/>
        <v>361</v>
      </c>
      <c r="S268" s="20"/>
      <c r="T268" s="22">
        <f t="shared" si="10"/>
        <v>22</v>
      </c>
      <c r="U268" s="38">
        <f t="shared" si="11"/>
        <v>0.9565217391</v>
      </c>
      <c r="V268" s="22">
        <f t="shared" si="12"/>
        <v>484</v>
      </c>
    </row>
    <row r="269">
      <c r="A269" s="2">
        <v>40928.0</v>
      </c>
      <c r="B269" s="5">
        <v>0.0</v>
      </c>
      <c r="C269" s="22">
        <f t="shared" si="2"/>
        <v>5</v>
      </c>
      <c r="D269" s="22">
        <f t="shared" si="3"/>
        <v>4</v>
      </c>
      <c r="E269" s="22">
        <f t="shared" si="1"/>
        <v>14</v>
      </c>
      <c r="F269" s="20"/>
      <c r="G269" s="20"/>
      <c r="H269" s="20"/>
      <c r="I269" s="20"/>
      <c r="J269" s="20"/>
      <c r="K269" s="20"/>
      <c r="L269" s="22">
        <f t="shared" si="4"/>
        <v>-5</v>
      </c>
      <c r="M269" s="38">
        <f t="shared" si="5"/>
        <v>1</v>
      </c>
      <c r="N269" s="22">
        <f t="shared" si="6"/>
        <v>25</v>
      </c>
      <c r="O269" s="20"/>
      <c r="P269" s="22">
        <f t="shared" si="7"/>
        <v>-4</v>
      </c>
      <c r="Q269" s="38">
        <f t="shared" si="8"/>
        <v>1</v>
      </c>
      <c r="R269" s="22">
        <f t="shared" si="9"/>
        <v>16</v>
      </c>
      <c r="S269" s="20"/>
      <c r="T269" s="22">
        <f t="shared" si="10"/>
        <v>-14</v>
      </c>
      <c r="U269" s="38">
        <f t="shared" si="11"/>
        <v>1</v>
      </c>
      <c r="V269" s="22">
        <f t="shared" si="12"/>
        <v>196</v>
      </c>
    </row>
    <row r="270">
      <c r="A270" s="2">
        <v>40931.0</v>
      </c>
      <c r="B270" s="5">
        <v>0.0</v>
      </c>
      <c r="C270" s="22">
        <f t="shared" si="2"/>
        <v>5</v>
      </c>
      <c r="D270" s="22">
        <f t="shared" si="3"/>
        <v>4</v>
      </c>
      <c r="E270" s="22">
        <f t="shared" si="1"/>
        <v>6</v>
      </c>
      <c r="F270" s="20"/>
      <c r="G270" s="20"/>
      <c r="H270" s="20"/>
      <c r="I270" s="20"/>
      <c r="J270" s="20"/>
      <c r="K270" s="20"/>
      <c r="L270" s="22">
        <f t="shared" si="4"/>
        <v>-5</v>
      </c>
      <c r="M270" s="38">
        <f t="shared" si="5"/>
        <v>1</v>
      </c>
      <c r="N270" s="22">
        <f t="shared" si="6"/>
        <v>25</v>
      </c>
      <c r="O270" s="20"/>
      <c r="P270" s="22">
        <f t="shared" si="7"/>
        <v>-4</v>
      </c>
      <c r="Q270" s="38">
        <f t="shared" si="8"/>
        <v>1</v>
      </c>
      <c r="R270" s="22">
        <f t="shared" si="9"/>
        <v>16</v>
      </c>
      <c r="S270" s="20"/>
      <c r="T270" s="22">
        <f t="shared" si="10"/>
        <v>-6</v>
      </c>
      <c r="U270" s="38">
        <f t="shared" si="11"/>
        <v>1</v>
      </c>
      <c r="V270" s="22">
        <f t="shared" si="12"/>
        <v>36</v>
      </c>
    </row>
    <row r="271">
      <c r="A271" s="2">
        <v>40932.0</v>
      </c>
      <c r="B271" s="5">
        <v>0.0</v>
      </c>
      <c r="C271" s="22">
        <f t="shared" si="2"/>
        <v>5</v>
      </c>
      <c r="D271" s="22">
        <f t="shared" si="3"/>
        <v>4</v>
      </c>
      <c r="E271" s="22">
        <f t="shared" si="1"/>
        <v>2</v>
      </c>
      <c r="F271" s="20"/>
      <c r="G271" s="20"/>
      <c r="H271" s="20"/>
      <c r="I271" s="20"/>
      <c r="J271" s="20"/>
      <c r="K271" s="20"/>
      <c r="L271" s="22">
        <f t="shared" si="4"/>
        <v>-5</v>
      </c>
      <c r="M271" s="38">
        <f t="shared" si="5"/>
        <v>1</v>
      </c>
      <c r="N271" s="22">
        <f t="shared" si="6"/>
        <v>25</v>
      </c>
      <c r="O271" s="20"/>
      <c r="P271" s="22">
        <f t="shared" si="7"/>
        <v>-4</v>
      </c>
      <c r="Q271" s="38">
        <f t="shared" si="8"/>
        <v>1</v>
      </c>
      <c r="R271" s="22">
        <f t="shared" si="9"/>
        <v>16</v>
      </c>
      <c r="S271" s="20"/>
      <c r="T271" s="22">
        <f t="shared" si="10"/>
        <v>-2</v>
      </c>
      <c r="U271" s="38">
        <f t="shared" si="11"/>
        <v>1</v>
      </c>
      <c r="V271" s="22">
        <f t="shared" si="12"/>
        <v>4</v>
      </c>
    </row>
    <row r="272">
      <c r="A272" s="2">
        <v>40933.0</v>
      </c>
      <c r="B272" s="5">
        <v>0.0</v>
      </c>
      <c r="C272" s="22">
        <f t="shared" si="2"/>
        <v>5</v>
      </c>
      <c r="D272" s="22">
        <f t="shared" si="3"/>
        <v>4</v>
      </c>
      <c r="E272" s="22">
        <f t="shared" si="1"/>
        <v>1</v>
      </c>
      <c r="F272" s="20"/>
      <c r="G272" s="20"/>
      <c r="H272" s="20"/>
      <c r="I272" s="20"/>
      <c r="J272" s="20"/>
      <c r="K272" s="20"/>
      <c r="L272" s="22">
        <f t="shared" si="4"/>
        <v>-5</v>
      </c>
      <c r="M272" s="38">
        <f t="shared" si="5"/>
        <v>1</v>
      </c>
      <c r="N272" s="22">
        <f t="shared" si="6"/>
        <v>25</v>
      </c>
      <c r="O272" s="20"/>
      <c r="P272" s="22">
        <f t="shared" si="7"/>
        <v>-4</v>
      </c>
      <c r="Q272" s="38">
        <f t="shared" si="8"/>
        <v>1</v>
      </c>
      <c r="R272" s="22">
        <f t="shared" si="9"/>
        <v>16</v>
      </c>
      <c r="S272" s="20"/>
      <c r="T272" s="22">
        <f t="shared" si="10"/>
        <v>-1</v>
      </c>
      <c r="U272" s="38">
        <f t="shared" si="11"/>
        <v>1</v>
      </c>
      <c r="V272" s="22">
        <f t="shared" si="12"/>
        <v>1</v>
      </c>
    </row>
    <row r="273">
      <c r="A273" s="2">
        <v>40934.0</v>
      </c>
      <c r="B273" s="5">
        <v>26.0</v>
      </c>
      <c r="C273" s="22">
        <f t="shared" si="2"/>
        <v>5</v>
      </c>
      <c r="D273" s="22">
        <f t="shared" si="3"/>
        <v>4</v>
      </c>
      <c r="E273" s="22">
        <f t="shared" si="1"/>
        <v>0</v>
      </c>
      <c r="F273" s="20"/>
      <c r="G273" s="20"/>
      <c r="H273" s="20"/>
      <c r="I273" s="20"/>
      <c r="J273" s="20"/>
      <c r="K273" s="20"/>
      <c r="L273" s="22">
        <f t="shared" si="4"/>
        <v>21</v>
      </c>
      <c r="M273" s="38">
        <f t="shared" si="5"/>
        <v>0.8076923077</v>
      </c>
      <c r="N273" s="22">
        <f t="shared" si="6"/>
        <v>441</v>
      </c>
      <c r="O273" s="20"/>
      <c r="P273" s="22">
        <f t="shared" si="7"/>
        <v>22</v>
      </c>
      <c r="Q273" s="38">
        <f t="shared" si="8"/>
        <v>0.8461538462</v>
      </c>
      <c r="R273" s="22">
        <f t="shared" si="9"/>
        <v>484</v>
      </c>
      <c r="S273" s="20"/>
      <c r="T273" s="22">
        <f t="shared" si="10"/>
        <v>26</v>
      </c>
      <c r="U273" s="38">
        <f t="shared" si="11"/>
        <v>1</v>
      </c>
      <c r="V273" s="22">
        <f t="shared" si="12"/>
        <v>676</v>
      </c>
    </row>
    <row r="274">
      <c r="A274" s="2">
        <v>40935.0</v>
      </c>
      <c r="B274" s="5">
        <v>0.0</v>
      </c>
      <c r="C274" s="22">
        <f t="shared" si="2"/>
        <v>5</v>
      </c>
      <c r="D274" s="22">
        <f t="shared" si="3"/>
        <v>4</v>
      </c>
      <c r="E274" s="22">
        <f t="shared" si="1"/>
        <v>16</v>
      </c>
      <c r="F274" s="20"/>
      <c r="G274" s="20"/>
      <c r="H274" s="20"/>
      <c r="I274" s="20"/>
      <c r="J274" s="20"/>
      <c r="K274" s="20"/>
      <c r="L274" s="22">
        <f t="shared" si="4"/>
        <v>-5</v>
      </c>
      <c r="M274" s="38">
        <f t="shared" si="5"/>
        <v>1</v>
      </c>
      <c r="N274" s="22">
        <f t="shared" si="6"/>
        <v>25</v>
      </c>
      <c r="O274" s="20"/>
      <c r="P274" s="22">
        <f t="shared" si="7"/>
        <v>-4</v>
      </c>
      <c r="Q274" s="38">
        <f t="shared" si="8"/>
        <v>1</v>
      </c>
      <c r="R274" s="22">
        <f t="shared" si="9"/>
        <v>16</v>
      </c>
      <c r="S274" s="20"/>
      <c r="T274" s="22">
        <f t="shared" si="10"/>
        <v>-16</v>
      </c>
      <c r="U274" s="38">
        <f t="shared" si="11"/>
        <v>1</v>
      </c>
      <c r="V274" s="22">
        <f t="shared" si="12"/>
        <v>256</v>
      </c>
    </row>
    <row r="275">
      <c r="A275" s="2">
        <v>40938.0</v>
      </c>
      <c r="B275" s="5">
        <v>0.0</v>
      </c>
      <c r="C275" s="22">
        <f t="shared" si="2"/>
        <v>5</v>
      </c>
      <c r="D275" s="22">
        <f t="shared" si="3"/>
        <v>4</v>
      </c>
      <c r="E275" s="22">
        <f t="shared" si="1"/>
        <v>6</v>
      </c>
      <c r="F275" s="20"/>
      <c r="G275" s="20"/>
      <c r="H275" s="20"/>
      <c r="I275" s="20"/>
      <c r="J275" s="20"/>
      <c r="K275" s="20"/>
      <c r="L275" s="22">
        <f t="shared" si="4"/>
        <v>-5</v>
      </c>
      <c r="M275" s="38">
        <f t="shared" si="5"/>
        <v>1</v>
      </c>
      <c r="N275" s="22">
        <f t="shared" si="6"/>
        <v>25</v>
      </c>
      <c r="O275" s="20"/>
      <c r="P275" s="22">
        <f t="shared" si="7"/>
        <v>-4</v>
      </c>
      <c r="Q275" s="38">
        <f t="shared" si="8"/>
        <v>1</v>
      </c>
      <c r="R275" s="22">
        <f t="shared" si="9"/>
        <v>16</v>
      </c>
      <c r="S275" s="20"/>
      <c r="T275" s="22">
        <f t="shared" si="10"/>
        <v>-6</v>
      </c>
      <c r="U275" s="38">
        <f t="shared" si="11"/>
        <v>1</v>
      </c>
      <c r="V275" s="22">
        <f t="shared" si="12"/>
        <v>36</v>
      </c>
    </row>
    <row r="276">
      <c r="A276" s="2">
        <v>40939.0</v>
      </c>
      <c r="B276" s="5">
        <v>0.0</v>
      </c>
      <c r="C276" s="22">
        <f t="shared" si="2"/>
        <v>5</v>
      </c>
      <c r="D276" s="22">
        <f t="shared" si="3"/>
        <v>4</v>
      </c>
      <c r="E276" s="22">
        <f t="shared" si="1"/>
        <v>2</v>
      </c>
      <c r="F276" s="20"/>
      <c r="G276" s="20"/>
      <c r="H276" s="20"/>
      <c r="I276" s="20"/>
      <c r="J276" s="20"/>
      <c r="K276" s="20"/>
      <c r="L276" s="22">
        <f t="shared" si="4"/>
        <v>-5</v>
      </c>
      <c r="M276" s="38">
        <f t="shared" si="5"/>
        <v>1</v>
      </c>
      <c r="N276" s="22">
        <f t="shared" si="6"/>
        <v>25</v>
      </c>
      <c r="O276" s="20"/>
      <c r="P276" s="22">
        <f t="shared" si="7"/>
        <v>-4</v>
      </c>
      <c r="Q276" s="38">
        <f t="shared" si="8"/>
        <v>1</v>
      </c>
      <c r="R276" s="22">
        <f t="shared" si="9"/>
        <v>16</v>
      </c>
      <c r="S276" s="20"/>
      <c r="T276" s="22">
        <f t="shared" si="10"/>
        <v>-2</v>
      </c>
      <c r="U276" s="38">
        <f t="shared" si="11"/>
        <v>1</v>
      </c>
      <c r="V276" s="22">
        <f t="shared" si="12"/>
        <v>4</v>
      </c>
    </row>
    <row r="277">
      <c r="A277" s="2">
        <v>40940.0</v>
      </c>
      <c r="B277" s="5">
        <v>3.0</v>
      </c>
      <c r="C277" s="22">
        <f t="shared" si="2"/>
        <v>5</v>
      </c>
      <c r="D277" s="22">
        <f t="shared" si="3"/>
        <v>4</v>
      </c>
      <c r="E277" s="22">
        <f t="shared" si="1"/>
        <v>1</v>
      </c>
      <c r="F277" s="20"/>
      <c r="G277" s="20"/>
      <c r="H277" s="20"/>
      <c r="I277" s="20"/>
      <c r="J277" s="20"/>
      <c r="K277" s="20"/>
      <c r="L277" s="22">
        <f t="shared" si="4"/>
        <v>-2</v>
      </c>
      <c r="M277" s="38">
        <f t="shared" si="5"/>
        <v>0.6666666667</v>
      </c>
      <c r="N277" s="22">
        <f t="shared" si="6"/>
        <v>4</v>
      </c>
      <c r="O277" s="20"/>
      <c r="P277" s="22">
        <f t="shared" si="7"/>
        <v>-1</v>
      </c>
      <c r="Q277" s="38">
        <f t="shared" si="8"/>
        <v>0.3333333333</v>
      </c>
      <c r="R277" s="22">
        <f t="shared" si="9"/>
        <v>1</v>
      </c>
      <c r="S277" s="20"/>
      <c r="T277" s="22">
        <f t="shared" si="10"/>
        <v>2</v>
      </c>
      <c r="U277" s="38">
        <f t="shared" si="11"/>
        <v>0.6666666667</v>
      </c>
      <c r="V277" s="22">
        <f t="shared" si="12"/>
        <v>4</v>
      </c>
    </row>
    <row r="278">
      <c r="A278" s="2">
        <v>40941.0</v>
      </c>
      <c r="B278" s="5">
        <v>26.0</v>
      </c>
      <c r="C278" s="22">
        <f t="shared" si="2"/>
        <v>6</v>
      </c>
      <c r="D278" s="22">
        <f t="shared" si="3"/>
        <v>4</v>
      </c>
      <c r="E278" s="22">
        <f t="shared" si="1"/>
        <v>2</v>
      </c>
      <c r="F278" s="20"/>
      <c r="G278" s="20"/>
      <c r="H278" s="20"/>
      <c r="I278" s="20"/>
      <c r="J278" s="20"/>
      <c r="K278" s="20"/>
      <c r="L278" s="22">
        <f t="shared" si="4"/>
        <v>20</v>
      </c>
      <c r="M278" s="38">
        <f t="shared" si="5"/>
        <v>0.7692307692</v>
      </c>
      <c r="N278" s="22">
        <f t="shared" si="6"/>
        <v>400</v>
      </c>
      <c r="O278" s="20"/>
      <c r="P278" s="22">
        <f t="shared" si="7"/>
        <v>22</v>
      </c>
      <c r="Q278" s="38">
        <f t="shared" si="8"/>
        <v>0.8461538462</v>
      </c>
      <c r="R278" s="22">
        <f t="shared" si="9"/>
        <v>484</v>
      </c>
      <c r="S278" s="20"/>
      <c r="T278" s="22">
        <f t="shared" si="10"/>
        <v>24</v>
      </c>
      <c r="U278" s="38">
        <f t="shared" si="11"/>
        <v>0.9230769231</v>
      </c>
      <c r="V278" s="22">
        <f t="shared" si="12"/>
        <v>576</v>
      </c>
    </row>
    <row r="279">
      <c r="A279" s="2">
        <v>40942.0</v>
      </c>
      <c r="B279" s="5">
        <v>0.0</v>
      </c>
      <c r="C279" s="22">
        <f t="shared" si="2"/>
        <v>6</v>
      </c>
      <c r="D279" s="22">
        <f t="shared" si="3"/>
        <v>4</v>
      </c>
      <c r="E279" s="22">
        <f t="shared" si="1"/>
        <v>16</v>
      </c>
      <c r="F279" s="20"/>
      <c r="G279" s="20"/>
      <c r="H279" s="20"/>
      <c r="I279" s="20"/>
      <c r="J279" s="20"/>
      <c r="K279" s="20"/>
      <c r="L279" s="22">
        <f t="shared" si="4"/>
        <v>-6</v>
      </c>
      <c r="M279" s="38">
        <f t="shared" si="5"/>
        <v>1</v>
      </c>
      <c r="N279" s="22">
        <f t="shared" si="6"/>
        <v>36</v>
      </c>
      <c r="O279" s="20"/>
      <c r="P279" s="22">
        <f t="shared" si="7"/>
        <v>-4</v>
      </c>
      <c r="Q279" s="38">
        <f t="shared" si="8"/>
        <v>1</v>
      </c>
      <c r="R279" s="22">
        <f t="shared" si="9"/>
        <v>16</v>
      </c>
      <c r="S279" s="20"/>
      <c r="T279" s="22">
        <f t="shared" si="10"/>
        <v>-16</v>
      </c>
      <c r="U279" s="38">
        <f t="shared" si="11"/>
        <v>1</v>
      </c>
      <c r="V279" s="22">
        <f t="shared" si="12"/>
        <v>256</v>
      </c>
    </row>
    <row r="280">
      <c r="A280" s="2">
        <v>40945.0</v>
      </c>
      <c r="B280" s="5">
        <v>0.0</v>
      </c>
      <c r="C280" s="22">
        <f t="shared" si="2"/>
        <v>6</v>
      </c>
      <c r="D280" s="22">
        <f t="shared" si="3"/>
        <v>4</v>
      </c>
      <c r="E280" s="22">
        <f t="shared" si="1"/>
        <v>6</v>
      </c>
      <c r="F280" s="20"/>
      <c r="G280" s="20"/>
      <c r="H280" s="20"/>
      <c r="I280" s="20"/>
      <c r="J280" s="20"/>
      <c r="K280" s="20"/>
      <c r="L280" s="22">
        <f t="shared" si="4"/>
        <v>-6</v>
      </c>
      <c r="M280" s="38">
        <f t="shared" si="5"/>
        <v>1</v>
      </c>
      <c r="N280" s="22">
        <f t="shared" si="6"/>
        <v>36</v>
      </c>
      <c r="O280" s="20"/>
      <c r="P280" s="22">
        <f t="shared" si="7"/>
        <v>-4</v>
      </c>
      <c r="Q280" s="38">
        <f t="shared" si="8"/>
        <v>1</v>
      </c>
      <c r="R280" s="22">
        <f t="shared" si="9"/>
        <v>16</v>
      </c>
      <c r="S280" s="20"/>
      <c r="T280" s="22">
        <f t="shared" si="10"/>
        <v>-6</v>
      </c>
      <c r="U280" s="38">
        <f t="shared" si="11"/>
        <v>1</v>
      </c>
      <c r="V280" s="22">
        <f t="shared" si="12"/>
        <v>36</v>
      </c>
    </row>
    <row r="281">
      <c r="A281" s="2">
        <v>40946.0</v>
      </c>
      <c r="B281" s="5">
        <v>0.0</v>
      </c>
      <c r="C281" s="22">
        <f t="shared" si="2"/>
        <v>6</v>
      </c>
      <c r="D281" s="22">
        <f t="shared" si="3"/>
        <v>4</v>
      </c>
      <c r="E281" s="22">
        <f t="shared" si="1"/>
        <v>2</v>
      </c>
      <c r="F281" s="20"/>
      <c r="G281" s="20"/>
      <c r="H281" s="20"/>
      <c r="I281" s="20"/>
      <c r="J281" s="20"/>
      <c r="K281" s="20"/>
      <c r="L281" s="22">
        <f t="shared" si="4"/>
        <v>-6</v>
      </c>
      <c r="M281" s="38">
        <f t="shared" si="5"/>
        <v>1</v>
      </c>
      <c r="N281" s="22">
        <f t="shared" si="6"/>
        <v>36</v>
      </c>
      <c r="O281" s="20"/>
      <c r="P281" s="22">
        <f t="shared" si="7"/>
        <v>-4</v>
      </c>
      <c r="Q281" s="38">
        <f t="shared" si="8"/>
        <v>1</v>
      </c>
      <c r="R281" s="22">
        <f t="shared" si="9"/>
        <v>16</v>
      </c>
      <c r="S281" s="20"/>
      <c r="T281" s="22">
        <f t="shared" si="10"/>
        <v>-2</v>
      </c>
      <c r="U281" s="38">
        <f t="shared" si="11"/>
        <v>1</v>
      </c>
      <c r="V281" s="22">
        <f t="shared" si="12"/>
        <v>4</v>
      </c>
    </row>
    <row r="282">
      <c r="A282" s="2">
        <v>40947.0</v>
      </c>
      <c r="B282" s="5">
        <v>1.0</v>
      </c>
      <c r="C282" s="22">
        <f t="shared" si="2"/>
        <v>6</v>
      </c>
      <c r="D282" s="22">
        <f t="shared" si="3"/>
        <v>4</v>
      </c>
      <c r="E282" s="22">
        <f t="shared" si="1"/>
        <v>1</v>
      </c>
      <c r="F282" s="20"/>
      <c r="G282" s="20"/>
      <c r="H282" s="20"/>
      <c r="I282" s="20"/>
      <c r="J282" s="20"/>
      <c r="K282" s="20"/>
      <c r="L282" s="22">
        <f t="shared" si="4"/>
        <v>-5</v>
      </c>
      <c r="M282" s="38">
        <f t="shared" si="5"/>
        <v>5</v>
      </c>
      <c r="N282" s="22">
        <f t="shared" si="6"/>
        <v>25</v>
      </c>
      <c r="O282" s="20"/>
      <c r="P282" s="22">
        <f t="shared" si="7"/>
        <v>-3</v>
      </c>
      <c r="Q282" s="38">
        <f t="shared" si="8"/>
        <v>3</v>
      </c>
      <c r="R282" s="22">
        <f t="shared" si="9"/>
        <v>9</v>
      </c>
      <c r="S282" s="20"/>
      <c r="T282" s="22">
        <f t="shared" si="10"/>
        <v>0</v>
      </c>
      <c r="U282" s="38">
        <f t="shared" si="11"/>
        <v>0</v>
      </c>
      <c r="V282" s="22">
        <f t="shared" si="12"/>
        <v>0</v>
      </c>
    </row>
    <row r="283">
      <c r="A283" s="2">
        <v>40948.0</v>
      </c>
      <c r="B283" s="5">
        <v>28.0</v>
      </c>
      <c r="C283" s="22">
        <f t="shared" si="2"/>
        <v>5</v>
      </c>
      <c r="D283" s="22">
        <f t="shared" si="3"/>
        <v>4</v>
      </c>
      <c r="E283" s="22">
        <f t="shared" si="1"/>
        <v>1</v>
      </c>
      <c r="F283" s="20"/>
      <c r="G283" s="20"/>
      <c r="H283" s="20"/>
      <c r="I283" s="20"/>
      <c r="J283" s="20"/>
      <c r="K283" s="20"/>
      <c r="L283" s="22">
        <f t="shared" si="4"/>
        <v>23</v>
      </c>
      <c r="M283" s="38">
        <f t="shared" si="5"/>
        <v>0.8214285714</v>
      </c>
      <c r="N283" s="22">
        <f t="shared" si="6"/>
        <v>529</v>
      </c>
      <c r="O283" s="20"/>
      <c r="P283" s="22">
        <f t="shared" si="7"/>
        <v>24</v>
      </c>
      <c r="Q283" s="38">
        <f t="shared" si="8"/>
        <v>0.8571428571</v>
      </c>
      <c r="R283" s="22">
        <f t="shared" si="9"/>
        <v>576</v>
      </c>
      <c r="S283" s="20"/>
      <c r="T283" s="22">
        <f t="shared" si="10"/>
        <v>27</v>
      </c>
      <c r="U283" s="38">
        <f t="shared" si="11"/>
        <v>0.9642857143</v>
      </c>
      <c r="V283" s="22">
        <f t="shared" si="12"/>
        <v>729</v>
      </c>
    </row>
    <row r="284">
      <c r="A284" s="2">
        <v>40949.0</v>
      </c>
      <c r="B284" s="5">
        <v>0.0</v>
      </c>
      <c r="C284" s="22">
        <f t="shared" si="2"/>
        <v>6</v>
      </c>
      <c r="D284" s="22">
        <f t="shared" si="3"/>
        <v>4</v>
      </c>
      <c r="E284" s="22">
        <f t="shared" si="1"/>
        <v>17</v>
      </c>
      <c r="F284" s="20"/>
      <c r="G284" s="20"/>
      <c r="H284" s="20"/>
      <c r="I284" s="20"/>
      <c r="J284" s="20"/>
      <c r="K284" s="20"/>
      <c r="L284" s="22">
        <f t="shared" si="4"/>
        <v>-6</v>
      </c>
      <c r="M284" s="38">
        <f t="shared" si="5"/>
        <v>1</v>
      </c>
      <c r="N284" s="22">
        <f t="shared" si="6"/>
        <v>36</v>
      </c>
      <c r="O284" s="20"/>
      <c r="P284" s="22">
        <f t="shared" si="7"/>
        <v>-4</v>
      </c>
      <c r="Q284" s="38">
        <f t="shared" si="8"/>
        <v>1</v>
      </c>
      <c r="R284" s="22">
        <f t="shared" si="9"/>
        <v>16</v>
      </c>
      <c r="S284" s="20"/>
      <c r="T284" s="22">
        <f t="shared" si="10"/>
        <v>-17</v>
      </c>
      <c r="U284" s="38">
        <f t="shared" si="11"/>
        <v>1</v>
      </c>
      <c r="V284" s="22">
        <f t="shared" si="12"/>
        <v>289</v>
      </c>
    </row>
    <row r="285">
      <c r="A285" s="2">
        <v>40952.0</v>
      </c>
      <c r="B285" s="5">
        <v>0.0</v>
      </c>
      <c r="C285" s="22">
        <f t="shared" si="2"/>
        <v>6</v>
      </c>
      <c r="D285" s="22">
        <f t="shared" si="3"/>
        <v>4</v>
      </c>
      <c r="E285" s="22">
        <f t="shared" si="1"/>
        <v>7</v>
      </c>
      <c r="F285" s="20"/>
      <c r="G285" s="20"/>
      <c r="H285" s="20"/>
      <c r="I285" s="20"/>
      <c r="J285" s="20"/>
      <c r="K285" s="20"/>
      <c r="L285" s="22">
        <f t="shared" si="4"/>
        <v>-6</v>
      </c>
      <c r="M285" s="38">
        <f t="shared" si="5"/>
        <v>1</v>
      </c>
      <c r="N285" s="22">
        <f t="shared" si="6"/>
        <v>36</v>
      </c>
      <c r="O285" s="20"/>
      <c r="P285" s="22">
        <f t="shared" si="7"/>
        <v>-4</v>
      </c>
      <c r="Q285" s="38">
        <f t="shared" si="8"/>
        <v>1</v>
      </c>
      <c r="R285" s="22">
        <f t="shared" si="9"/>
        <v>16</v>
      </c>
      <c r="S285" s="20"/>
      <c r="T285" s="22">
        <f t="shared" si="10"/>
        <v>-7</v>
      </c>
      <c r="U285" s="38">
        <f t="shared" si="11"/>
        <v>1</v>
      </c>
      <c r="V285" s="22">
        <f t="shared" si="12"/>
        <v>49</v>
      </c>
    </row>
    <row r="286">
      <c r="A286" s="2">
        <v>40953.0</v>
      </c>
      <c r="B286" s="5">
        <v>0.0</v>
      </c>
      <c r="C286" s="22">
        <f t="shared" si="2"/>
        <v>6</v>
      </c>
      <c r="D286" s="22">
        <f t="shared" si="3"/>
        <v>4</v>
      </c>
      <c r="E286" s="22">
        <f t="shared" si="1"/>
        <v>3</v>
      </c>
      <c r="F286" s="20"/>
      <c r="G286" s="20"/>
      <c r="H286" s="20"/>
      <c r="I286" s="20"/>
      <c r="J286" s="20"/>
      <c r="K286" s="20"/>
      <c r="L286" s="22">
        <f t="shared" si="4"/>
        <v>-6</v>
      </c>
      <c r="M286" s="38">
        <f t="shared" si="5"/>
        <v>1</v>
      </c>
      <c r="N286" s="22">
        <f t="shared" si="6"/>
        <v>36</v>
      </c>
      <c r="O286" s="20"/>
      <c r="P286" s="22">
        <f t="shared" si="7"/>
        <v>-4</v>
      </c>
      <c r="Q286" s="38">
        <f t="shared" si="8"/>
        <v>1</v>
      </c>
      <c r="R286" s="22">
        <f t="shared" si="9"/>
        <v>16</v>
      </c>
      <c r="S286" s="20"/>
      <c r="T286" s="22">
        <f t="shared" si="10"/>
        <v>-3</v>
      </c>
      <c r="U286" s="38">
        <f t="shared" si="11"/>
        <v>1</v>
      </c>
      <c r="V286" s="22">
        <f t="shared" si="12"/>
        <v>9</v>
      </c>
    </row>
    <row r="287">
      <c r="A287" s="2">
        <v>40954.0</v>
      </c>
      <c r="B287" s="5">
        <v>0.0</v>
      </c>
      <c r="C287" s="22">
        <f t="shared" si="2"/>
        <v>6</v>
      </c>
      <c r="D287" s="22">
        <f t="shared" si="3"/>
        <v>4</v>
      </c>
      <c r="E287" s="22">
        <f t="shared" si="1"/>
        <v>1</v>
      </c>
      <c r="F287" s="20"/>
      <c r="G287" s="20"/>
      <c r="H287" s="20"/>
      <c r="I287" s="20"/>
      <c r="J287" s="20"/>
      <c r="K287" s="20"/>
      <c r="L287" s="22">
        <f t="shared" si="4"/>
        <v>-6</v>
      </c>
      <c r="M287" s="38">
        <f t="shared" si="5"/>
        <v>1</v>
      </c>
      <c r="N287" s="22">
        <f t="shared" si="6"/>
        <v>36</v>
      </c>
      <c r="O287" s="20"/>
      <c r="P287" s="22">
        <f t="shared" si="7"/>
        <v>-4</v>
      </c>
      <c r="Q287" s="38">
        <f t="shared" si="8"/>
        <v>1</v>
      </c>
      <c r="R287" s="22">
        <f t="shared" si="9"/>
        <v>16</v>
      </c>
      <c r="S287" s="20"/>
      <c r="T287" s="22">
        <f t="shared" si="10"/>
        <v>-1</v>
      </c>
      <c r="U287" s="38">
        <f t="shared" si="11"/>
        <v>1</v>
      </c>
      <c r="V287" s="22">
        <f t="shared" si="12"/>
        <v>1</v>
      </c>
    </row>
    <row r="288">
      <c r="A288" s="2">
        <v>40955.0</v>
      </c>
      <c r="B288" s="5">
        <v>36.0</v>
      </c>
      <c r="C288" s="22">
        <f t="shared" si="2"/>
        <v>6</v>
      </c>
      <c r="D288" s="22">
        <f t="shared" si="3"/>
        <v>4</v>
      </c>
      <c r="E288" s="22">
        <f t="shared" si="1"/>
        <v>0</v>
      </c>
      <c r="F288" s="20"/>
      <c r="G288" s="20"/>
      <c r="H288" s="20"/>
      <c r="I288" s="20"/>
      <c r="J288" s="20"/>
      <c r="K288" s="20"/>
      <c r="L288" s="22">
        <f t="shared" si="4"/>
        <v>30</v>
      </c>
      <c r="M288" s="38">
        <f t="shared" si="5"/>
        <v>0.8333333333</v>
      </c>
      <c r="N288" s="22">
        <f t="shared" si="6"/>
        <v>900</v>
      </c>
      <c r="O288" s="20"/>
      <c r="P288" s="22">
        <f t="shared" si="7"/>
        <v>32</v>
      </c>
      <c r="Q288" s="38">
        <f t="shared" si="8"/>
        <v>0.8888888889</v>
      </c>
      <c r="R288" s="22">
        <f t="shared" si="9"/>
        <v>1024</v>
      </c>
      <c r="S288" s="20"/>
      <c r="T288" s="22">
        <f t="shared" si="10"/>
        <v>36</v>
      </c>
      <c r="U288" s="38">
        <f t="shared" si="11"/>
        <v>1</v>
      </c>
      <c r="V288" s="22">
        <f t="shared" si="12"/>
        <v>1296</v>
      </c>
    </row>
    <row r="289">
      <c r="A289" s="2">
        <v>40956.0</v>
      </c>
      <c r="B289" s="5">
        <v>0.0</v>
      </c>
      <c r="C289" s="22">
        <f t="shared" si="2"/>
        <v>7</v>
      </c>
      <c r="D289" s="22">
        <f t="shared" si="3"/>
        <v>5</v>
      </c>
      <c r="E289" s="22">
        <f t="shared" si="1"/>
        <v>22</v>
      </c>
      <c r="F289" s="20"/>
      <c r="G289" s="20"/>
      <c r="H289" s="20"/>
      <c r="I289" s="20"/>
      <c r="J289" s="20"/>
      <c r="K289" s="20"/>
      <c r="L289" s="22">
        <f t="shared" si="4"/>
        <v>-7</v>
      </c>
      <c r="M289" s="38">
        <f t="shared" si="5"/>
        <v>1</v>
      </c>
      <c r="N289" s="22">
        <f t="shared" si="6"/>
        <v>49</v>
      </c>
      <c r="O289" s="20"/>
      <c r="P289" s="22">
        <f t="shared" si="7"/>
        <v>-5</v>
      </c>
      <c r="Q289" s="38">
        <f t="shared" si="8"/>
        <v>1</v>
      </c>
      <c r="R289" s="22">
        <f t="shared" si="9"/>
        <v>25</v>
      </c>
      <c r="S289" s="20"/>
      <c r="T289" s="22">
        <f t="shared" si="10"/>
        <v>-22</v>
      </c>
      <c r="U289" s="38">
        <f t="shared" si="11"/>
        <v>1</v>
      </c>
      <c r="V289" s="22">
        <f t="shared" si="12"/>
        <v>484</v>
      </c>
    </row>
    <row r="290">
      <c r="A290" s="2">
        <v>40959.0</v>
      </c>
      <c r="B290" s="5">
        <v>0.0</v>
      </c>
      <c r="C290" s="22">
        <f t="shared" si="2"/>
        <v>7</v>
      </c>
      <c r="D290" s="22">
        <f t="shared" si="3"/>
        <v>5</v>
      </c>
      <c r="E290" s="22">
        <f t="shared" si="1"/>
        <v>9</v>
      </c>
      <c r="F290" s="20"/>
      <c r="G290" s="20"/>
      <c r="H290" s="20"/>
      <c r="I290" s="20"/>
      <c r="J290" s="20"/>
      <c r="K290" s="20"/>
      <c r="L290" s="22">
        <f t="shared" si="4"/>
        <v>-7</v>
      </c>
      <c r="M290" s="38">
        <f t="shared" si="5"/>
        <v>1</v>
      </c>
      <c r="N290" s="22">
        <f t="shared" si="6"/>
        <v>49</v>
      </c>
      <c r="O290" s="20"/>
      <c r="P290" s="22">
        <f t="shared" si="7"/>
        <v>-5</v>
      </c>
      <c r="Q290" s="38">
        <f t="shared" si="8"/>
        <v>1</v>
      </c>
      <c r="R290" s="22">
        <f t="shared" si="9"/>
        <v>25</v>
      </c>
      <c r="S290" s="20"/>
      <c r="T290" s="22">
        <f t="shared" si="10"/>
        <v>-9</v>
      </c>
      <c r="U290" s="38">
        <f t="shared" si="11"/>
        <v>1</v>
      </c>
      <c r="V290" s="22">
        <f t="shared" si="12"/>
        <v>81</v>
      </c>
    </row>
    <row r="291">
      <c r="A291" s="2">
        <v>40960.0</v>
      </c>
      <c r="B291" s="5">
        <v>0.0</v>
      </c>
      <c r="C291" s="22">
        <f t="shared" si="2"/>
        <v>7</v>
      </c>
      <c r="D291" s="22">
        <f t="shared" si="3"/>
        <v>5</v>
      </c>
      <c r="E291" s="22">
        <f t="shared" si="1"/>
        <v>4</v>
      </c>
      <c r="F291" s="20"/>
      <c r="G291" s="20"/>
      <c r="H291" s="20"/>
      <c r="I291" s="20"/>
      <c r="J291" s="20"/>
      <c r="K291" s="20"/>
      <c r="L291" s="22">
        <f t="shared" si="4"/>
        <v>-7</v>
      </c>
      <c r="M291" s="38">
        <f t="shared" si="5"/>
        <v>1</v>
      </c>
      <c r="N291" s="22">
        <f t="shared" si="6"/>
        <v>49</v>
      </c>
      <c r="O291" s="20"/>
      <c r="P291" s="22">
        <f t="shared" si="7"/>
        <v>-5</v>
      </c>
      <c r="Q291" s="38">
        <f t="shared" si="8"/>
        <v>1</v>
      </c>
      <c r="R291" s="22">
        <f t="shared" si="9"/>
        <v>25</v>
      </c>
      <c r="S291" s="20"/>
      <c r="T291" s="22">
        <f t="shared" si="10"/>
        <v>-4</v>
      </c>
      <c r="U291" s="38">
        <f t="shared" si="11"/>
        <v>1</v>
      </c>
      <c r="V291" s="22">
        <f t="shared" si="12"/>
        <v>16</v>
      </c>
    </row>
    <row r="292">
      <c r="A292" s="2">
        <v>40961.0</v>
      </c>
      <c r="B292" s="5">
        <v>2.0</v>
      </c>
      <c r="C292" s="22">
        <f t="shared" si="2"/>
        <v>7</v>
      </c>
      <c r="D292" s="22">
        <f t="shared" si="3"/>
        <v>4</v>
      </c>
      <c r="E292" s="22">
        <f t="shared" si="1"/>
        <v>2</v>
      </c>
      <c r="F292" s="20"/>
      <c r="G292" s="20"/>
      <c r="H292" s="20"/>
      <c r="I292" s="20"/>
      <c r="J292" s="20"/>
      <c r="K292" s="20"/>
      <c r="L292" s="22">
        <f t="shared" si="4"/>
        <v>-5</v>
      </c>
      <c r="M292" s="38">
        <f t="shared" si="5"/>
        <v>2.5</v>
      </c>
      <c r="N292" s="22">
        <f t="shared" si="6"/>
        <v>25</v>
      </c>
      <c r="O292" s="20"/>
      <c r="P292" s="22">
        <f t="shared" si="7"/>
        <v>-2</v>
      </c>
      <c r="Q292" s="38">
        <f t="shared" si="8"/>
        <v>1</v>
      </c>
      <c r="R292" s="22">
        <f t="shared" si="9"/>
        <v>4</v>
      </c>
      <c r="S292" s="20"/>
      <c r="T292" s="22">
        <f t="shared" si="10"/>
        <v>0</v>
      </c>
      <c r="U292" s="38">
        <f t="shared" si="11"/>
        <v>0</v>
      </c>
      <c r="V292" s="22">
        <f t="shared" si="12"/>
        <v>0</v>
      </c>
    </row>
    <row r="293">
      <c r="A293" s="2">
        <v>40962.0</v>
      </c>
      <c r="B293" s="5">
        <v>27.0</v>
      </c>
      <c r="C293" s="22">
        <f t="shared" si="2"/>
        <v>8</v>
      </c>
      <c r="D293" s="22">
        <f t="shared" si="3"/>
        <v>4</v>
      </c>
      <c r="E293" s="22">
        <f t="shared" si="1"/>
        <v>2</v>
      </c>
      <c r="F293" s="20"/>
      <c r="G293" s="20"/>
      <c r="H293" s="20"/>
      <c r="I293" s="20"/>
      <c r="J293" s="20"/>
      <c r="K293" s="20"/>
      <c r="L293" s="22">
        <f t="shared" si="4"/>
        <v>19</v>
      </c>
      <c r="M293" s="38">
        <f t="shared" si="5"/>
        <v>0.7037037037</v>
      </c>
      <c r="N293" s="22">
        <f t="shared" si="6"/>
        <v>361</v>
      </c>
      <c r="O293" s="20"/>
      <c r="P293" s="22">
        <f t="shared" si="7"/>
        <v>23</v>
      </c>
      <c r="Q293" s="38">
        <f t="shared" si="8"/>
        <v>0.8518518519</v>
      </c>
      <c r="R293" s="22">
        <f t="shared" si="9"/>
        <v>529</v>
      </c>
      <c r="S293" s="20"/>
      <c r="T293" s="22">
        <f t="shared" si="10"/>
        <v>25</v>
      </c>
      <c r="U293" s="38">
        <f t="shared" si="11"/>
        <v>0.9259259259</v>
      </c>
      <c r="V293" s="22">
        <f t="shared" si="12"/>
        <v>625</v>
      </c>
    </row>
    <row r="294">
      <c r="A294" s="2">
        <v>40963.0</v>
      </c>
      <c r="B294" s="5">
        <v>0.0</v>
      </c>
      <c r="C294" s="22">
        <f t="shared" si="2"/>
        <v>6</v>
      </c>
      <c r="D294" s="22">
        <f t="shared" si="3"/>
        <v>5</v>
      </c>
      <c r="E294" s="22">
        <f t="shared" si="1"/>
        <v>17</v>
      </c>
      <c r="F294" s="20"/>
      <c r="G294" s="20"/>
      <c r="H294" s="20"/>
      <c r="I294" s="20"/>
      <c r="J294" s="20"/>
      <c r="K294" s="20"/>
      <c r="L294" s="22">
        <f t="shared" si="4"/>
        <v>-6</v>
      </c>
      <c r="M294" s="38">
        <f t="shared" si="5"/>
        <v>1</v>
      </c>
      <c r="N294" s="22">
        <f t="shared" si="6"/>
        <v>36</v>
      </c>
      <c r="O294" s="20"/>
      <c r="P294" s="22">
        <f t="shared" si="7"/>
        <v>-5</v>
      </c>
      <c r="Q294" s="38">
        <f t="shared" si="8"/>
        <v>1</v>
      </c>
      <c r="R294" s="22">
        <f t="shared" si="9"/>
        <v>25</v>
      </c>
      <c r="S294" s="20"/>
      <c r="T294" s="22">
        <f t="shared" si="10"/>
        <v>-17</v>
      </c>
      <c r="U294" s="38">
        <f t="shared" si="11"/>
        <v>1</v>
      </c>
      <c r="V294" s="22">
        <f t="shared" si="12"/>
        <v>289</v>
      </c>
    </row>
    <row r="295">
      <c r="A295" s="2">
        <v>40966.0</v>
      </c>
      <c r="B295" s="5">
        <v>29.0</v>
      </c>
      <c r="C295" s="22">
        <f t="shared" si="2"/>
        <v>6</v>
      </c>
      <c r="D295" s="22">
        <f t="shared" si="3"/>
        <v>5</v>
      </c>
      <c r="E295" s="22">
        <f t="shared" si="1"/>
        <v>7</v>
      </c>
      <c r="F295" s="20"/>
      <c r="G295" s="20"/>
      <c r="H295" s="20"/>
      <c r="I295" s="20"/>
      <c r="J295" s="20"/>
      <c r="K295" s="20"/>
      <c r="L295" s="22">
        <f t="shared" si="4"/>
        <v>23</v>
      </c>
      <c r="M295" s="38">
        <f t="shared" si="5"/>
        <v>0.7931034483</v>
      </c>
      <c r="N295" s="22">
        <f t="shared" si="6"/>
        <v>529</v>
      </c>
      <c r="O295" s="20"/>
      <c r="P295" s="22">
        <f t="shared" si="7"/>
        <v>24</v>
      </c>
      <c r="Q295" s="38">
        <f t="shared" si="8"/>
        <v>0.8275862069</v>
      </c>
      <c r="R295" s="22">
        <f t="shared" si="9"/>
        <v>576</v>
      </c>
      <c r="S295" s="20"/>
      <c r="T295" s="22">
        <f t="shared" si="10"/>
        <v>22</v>
      </c>
      <c r="U295" s="38">
        <f t="shared" si="11"/>
        <v>0.7586206897</v>
      </c>
      <c r="V295" s="22">
        <f t="shared" si="12"/>
        <v>484</v>
      </c>
    </row>
    <row r="296">
      <c r="A296" s="2">
        <v>40967.0</v>
      </c>
      <c r="B296" s="5">
        <v>0.0</v>
      </c>
      <c r="C296" s="22">
        <f t="shared" si="2"/>
        <v>12</v>
      </c>
      <c r="D296" s="22">
        <f t="shared" si="3"/>
        <v>5</v>
      </c>
      <c r="E296" s="22">
        <f t="shared" si="1"/>
        <v>20</v>
      </c>
      <c r="F296" s="20"/>
      <c r="G296" s="20"/>
      <c r="H296" s="20"/>
      <c r="I296" s="20"/>
      <c r="J296" s="20"/>
      <c r="K296" s="20"/>
      <c r="L296" s="22">
        <f t="shared" si="4"/>
        <v>-12</v>
      </c>
      <c r="M296" s="38">
        <f t="shared" si="5"/>
        <v>1</v>
      </c>
      <c r="N296" s="22">
        <f t="shared" si="6"/>
        <v>144</v>
      </c>
      <c r="O296" s="20"/>
      <c r="P296" s="22">
        <f t="shared" si="7"/>
        <v>-5</v>
      </c>
      <c r="Q296" s="38">
        <f t="shared" si="8"/>
        <v>1</v>
      </c>
      <c r="R296" s="22">
        <f t="shared" si="9"/>
        <v>25</v>
      </c>
      <c r="S296" s="20"/>
      <c r="T296" s="22">
        <f t="shared" si="10"/>
        <v>-20</v>
      </c>
      <c r="U296" s="38">
        <f t="shared" si="11"/>
        <v>1</v>
      </c>
      <c r="V296" s="22">
        <f t="shared" si="12"/>
        <v>400</v>
      </c>
    </row>
    <row r="297">
      <c r="A297" s="2">
        <v>40968.0</v>
      </c>
      <c r="B297" s="5">
        <v>0.0</v>
      </c>
      <c r="C297" s="22">
        <f t="shared" si="2"/>
        <v>12</v>
      </c>
      <c r="D297" s="22">
        <f t="shared" si="3"/>
        <v>5</v>
      </c>
      <c r="E297" s="22">
        <f t="shared" si="1"/>
        <v>8</v>
      </c>
      <c r="F297" s="20"/>
      <c r="G297" s="20"/>
      <c r="H297" s="20"/>
      <c r="I297" s="20"/>
      <c r="J297" s="20"/>
      <c r="K297" s="20"/>
      <c r="L297" s="22">
        <f t="shared" si="4"/>
        <v>-12</v>
      </c>
      <c r="M297" s="38">
        <f t="shared" si="5"/>
        <v>1</v>
      </c>
      <c r="N297" s="22">
        <f t="shared" si="6"/>
        <v>144</v>
      </c>
      <c r="O297" s="20"/>
      <c r="P297" s="22">
        <f t="shared" si="7"/>
        <v>-5</v>
      </c>
      <c r="Q297" s="38">
        <f t="shared" si="8"/>
        <v>1</v>
      </c>
      <c r="R297" s="22">
        <f t="shared" si="9"/>
        <v>25</v>
      </c>
      <c r="S297" s="20"/>
      <c r="T297" s="22">
        <f t="shared" si="10"/>
        <v>-8</v>
      </c>
      <c r="U297" s="38">
        <f t="shared" si="11"/>
        <v>1</v>
      </c>
      <c r="V297" s="22">
        <f t="shared" si="12"/>
        <v>64</v>
      </c>
    </row>
    <row r="298">
      <c r="A298" s="2">
        <v>40969.0</v>
      </c>
      <c r="B298" s="5">
        <v>0.0</v>
      </c>
      <c r="C298" s="22">
        <f t="shared" si="2"/>
        <v>11</v>
      </c>
      <c r="D298" s="22">
        <f t="shared" si="3"/>
        <v>5</v>
      </c>
      <c r="E298" s="22">
        <f t="shared" si="1"/>
        <v>3</v>
      </c>
      <c r="F298" s="20"/>
      <c r="G298" s="20"/>
      <c r="H298" s="20"/>
      <c r="I298" s="20"/>
      <c r="J298" s="20"/>
      <c r="K298" s="20"/>
      <c r="L298" s="22">
        <f t="shared" si="4"/>
        <v>-11</v>
      </c>
      <c r="M298" s="38">
        <f t="shared" si="5"/>
        <v>1</v>
      </c>
      <c r="N298" s="22">
        <f t="shared" si="6"/>
        <v>121</v>
      </c>
      <c r="O298" s="20"/>
      <c r="P298" s="22">
        <f t="shared" si="7"/>
        <v>-5</v>
      </c>
      <c r="Q298" s="38">
        <f t="shared" si="8"/>
        <v>1</v>
      </c>
      <c r="R298" s="22">
        <f t="shared" si="9"/>
        <v>25</v>
      </c>
      <c r="S298" s="20"/>
      <c r="T298" s="22">
        <f t="shared" si="10"/>
        <v>-3</v>
      </c>
      <c r="U298" s="38">
        <f t="shared" si="11"/>
        <v>1</v>
      </c>
      <c r="V298" s="22">
        <f t="shared" si="12"/>
        <v>9</v>
      </c>
    </row>
    <row r="299">
      <c r="A299" s="2">
        <v>40970.0</v>
      </c>
      <c r="B299" s="5">
        <v>0.0</v>
      </c>
      <c r="C299" s="22">
        <f t="shared" si="2"/>
        <v>6</v>
      </c>
      <c r="D299" s="22">
        <f t="shared" si="3"/>
        <v>5</v>
      </c>
      <c r="E299" s="22">
        <f t="shared" si="1"/>
        <v>1</v>
      </c>
      <c r="F299" s="20"/>
      <c r="G299" s="20"/>
      <c r="H299" s="20"/>
      <c r="I299" s="20"/>
      <c r="J299" s="20"/>
      <c r="K299" s="20"/>
      <c r="L299" s="22">
        <f t="shared" si="4"/>
        <v>-6</v>
      </c>
      <c r="M299" s="38">
        <f t="shared" si="5"/>
        <v>1</v>
      </c>
      <c r="N299" s="22">
        <f t="shared" si="6"/>
        <v>36</v>
      </c>
      <c r="O299" s="20"/>
      <c r="P299" s="22">
        <f t="shared" si="7"/>
        <v>-5</v>
      </c>
      <c r="Q299" s="38">
        <f t="shared" si="8"/>
        <v>1</v>
      </c>
      <c r="R299" s="22">
        <f t="shared" si="9"/>
        <v>25</v>
      </c>
      <c r="S299" s="20"/>
      <c r="T299" s="22">
        <f t="shared" si="10"/>
        <v>-1</v>
      </c>
      <c r="U299" s="38">
        <f t="shared" si="11"/>
        <v>1</v>
      </c>
      <c r="V299" s="22">
        <f t="shared" si="12"/>
        <v>1</v>
      </c>
    </row>
    <row r="300">
      <c r="A300" s="2">
        <v>40973.0</v>
      </c>
      <c r="B300" s="5">
        <v>0.0</v>
      </c>
      <c r="C300" s="22">
        <f t="shared" si="2"/>
        <v>6</v>
      </c>
      <c r="D300" s="22">
        <f t="shared" si="3"/>
        <v>5</v>
      </c>
      <c r="E300" s="22">
        <f t="shared" si="1"/>
        <v>0</v>
      </c>
      <c r="F300" s="20"/>
      <c r="G300" s="20"/>
      <c r="H300" s="20"/>
      <c r="I300" s="20"/>
      <c r="J300" s="20"/>
      <c r="K300" s="20"/>
      <c r="L300" s="22">
        <f t="shared" si="4"/>
        <v>-6</v>
      </c>
      <c r="M300" s="38">
        <f t="shared" si="5"/>
        <v>1</v>
      </c>
      <c r="N300" s="22">
        <f t="shared" si="6"/>
        <v>36</v>
      </c>
      <c r="O300" s="20"/>
      <c r="P300" s="22">
        <f t="shared" si="7"/>
        <v>-5</v>
      </c>
      <c r="Q300" s="38">
        <f t="shared" si="8"/>
        <v>1</v>
      </c>
      <c r="R300" s="22">
        <f t="shared" si="9"/>
        <v>25</v>
      </c>
      <c r="S300" s="20"/>
      <c r="T300" s="22">
        <f t="shared" si="10"/>
        <v>0</v>
      </c>
      <c r="U300" s="38">
        <f t="shared" si="11"/>
        <v>0</v>
      </c>
      <c r="V300" s="22">
        <f t="shared" si="12"/>
        <v>0</v>
      </c>
    </row>
    <row r="301">
      <c r="A301" s="2">
        <v>40974.0</v>
      </c>
      <c r="B301" s="5">
        <v>0.0</v>
      </c>
      <c r="C301" s="22">
        <f t="shared" si="2"/>
        <v>0</v>
      </c>
      <c r="D301" s="22">
        <f t="shared" si="3"/>
        <v>5</v>
      </c>
      <c r="E301" s="22">
        <f t="shared" si="1"/>
        <v>0</v>
      </c>
      <c r="F301" s="20"/>
      <c r="G301" s="20"/>
      <c r="H301" s="20"/>
      <c r="I301" s="20"/>
      <c r="J301" s="20"/>
      <c r="K301" s="20"/>
      <c r="L301" s="22">
        <f t="shared" si="4"/>
        <v>0</v>
      </c>
      <c r="M301" s="38">
        <f t="shared" si="5"/>
        <v>0</v>
      </c>
      <c r="N301" s="22">
        <f t="shared" si="6"/>
        <v>0</v>
      </c>
      <c r="O301" s="20"/>
      <c r="P301" s="22">
        <f t="shared" si="7"/>
        <v>-5</v>
      </c>
      <c r="Q301" s="38">
        <f t="shared" si="8"/>
        <v>1</v>
      </c>
      <c r="R301" s="22">
        <f t="shared" si="9"/>
        <v>25</v>
      </c>
      <c r="S301" s="20"/>
      <c r="T301" s="22">
        <f t="shared" si="10"/>
        <v>0</v>
      </c>
      <c r="U301" s="38">
        <f t="shared" si="11"/>
        <v>0</v>
      </c>
      <c r="V301" s="22">
        <f t="shared" si="12"/>
        <v>0</v>
      </c>
    </row>
    <row r="302">
      <c r="A302" s="2">
        <v>40975.0</v>
      </c>
      <c r="B302" s="5">
        <v>39.0</v>
      </c>
      <c r="C302" s="22">
        <f t="shared" si="2"/>
        <v>0</v>
      </c>
      <c r="D302" s="22">
        <f t="shared" si="3"/>
        <v>5</v>
      </c>
      <c r="E302" s="22">
        <f t="shared" si="1"/>
        <v>0</v>
      </c>
      <c r="F302" s="20"/>
      <c r="G302" s="20"/>
      <c r="H302" s="20"/>
      <c r="I302" s="20"/>
      <c r="J302" s="20"/>
      <c r="K302" s="20"/>
      <c r="L302" s="22">
        <f t="shared" si="4"/>
        <v>39</v>
      </c>
      <c r="M302" s="38">
        <f t="shared" si="5"/>
        <v>1</v>
      </c>
      <c r="N302" s="22">
        <f t="shared" si="6"/>
        <v>1521</v>
      </c>
      <c r="O302" s="20"/>
      <c r="P302" s="22">
        <f t="shared" si="7"/>
        <v>34</v>
      </c>
      <c r="Q302" s="38">
        <f t="shared" si="8"/>
        <v>0.8717948718</v>
      </c>
      <c r="R302" s="22">
        <f t="shared" si="9"/>
        <v>1156</v>
      </c>
      <c r="S302" s="20"/>
      <c r="T302" s="22">
        <f t="shared" si="10"/>
        <v>39</v>
      </c>
      <c r="U302" s="38">
        <f t="shared" si="11"/>
        <v>1</v>
      </c>
      <c r="V302" s="22">
        <f t="shared" si="12"/>
        <v>1521</v>
      </c>
    </row>
    <row r="303">
      <c r="A303" s="2">
        <v>40976.0</v>
      </c>
      <c r="B303" s="5">
        <v>0.0</v>
      </c>
      <c r="C303" s="22">
        <f t="shared" si="2"/>
        <v>8</v>
      </c>
      <c r="D303" s="22">
        <f t="shared" si="3"/>
        <v>5</v>
      </c>
      <c r="E303" s="22">
        <f t="shared" si="1"/>
        <v>23</v>
      </c>
      <c r="F303" s="20"/>
      <c r="G303" s="20"/>
      <c r="H303" s="20"/>
      <c r="I303" s="20"/>
      <c r="J303" s="20"/>
      <c r="K303" s="20"/>
      <c r="L303" s="22">
        <f t="shared" si="4"/>
        <v>-8</v>
      </c>
      <c r="M303" s="38">
        <f t="shared" si="5"/>
        <v>1</v>
      </c>
      <c r="N303" s="22">
        <f t="shared" si="6"/>
        <v>64</v>
      </c>
      <c r="O303" s="20"/>
      <c r="P303" s="22">
        <f t="shared" si="7"/>
        <v>-5</v>
      </c>
      <c r="Q303" s="38">
        <f t="shared" si="8"/>
        <v>1</v>
      </c>
      <c r="R303" s="22">
        <f t="shared" si="9"/>
        <v>25</v>
      </c>
      <c r="S303" s="20"/>
      <c r="T303" s="22">
        <f t="shared" si="10"/>
        <v>-23</v>
      </c>
      <c r="U303" s="38">
        <f t="shared" si="11"/>
        <v>1</v>
      </c>
      <c r="V303" s="22">
        <f t="shared" si="12"/>
        <v>529</v>
      </c>
    </row>
    <row r="304">
      <c r="A304" s="2">
        <v>40977.0</v>
      </c>
      <c r="B304" s="5">
        <v>0.0</v>
      </c>
      <c r="C304" s="22">
        <f t="shared" si="2"/>
        <v>8</v>
      </c>
      <c r="D304" s="22">
        <f t="shared" si="3"/>
        <v>5</v>
      </c>
      <c r="E304" s="22">
        <f t="shared" si="1"/>
        <v>9</v>
      </c>
      <c r="F304" s="20"/>
      <c r="G304" s="20"/>
      <c r="H304" s="20"/>
      <c r="I304" s="20"/>
      <c r="J304" s="20"/>
      <c r="K304" s="20"/>
      <c r="L304" s="22">
        <f t="shared" si="4"/>
        <v>-8</v>
      </c>
      <c r="M304" s="38">
        <f t="shared" si="5"/>
        <v>1</v>
      </c>
      <c r="N304" s="22">
        <f t="shared" si="6"/>
        <v>64</v>
      </c>
      <c r="O304" s="20"/>
      <c r="P304" s="22">
        <f t="shared" si="7"/>
        <v>-5</v>
      </c>
      <c r="Q304" s="38">
        <f t="shared" si="8"/>
        <v>1</v>
      </c>
      <c r="R304" s="22">
        <f t="shared" si="9"/>
        <v>25</v>
      </c>
      <c r="S304" s="20"/>
      <c r="T304" s="22">
        <f t="shared" si="10"/>
        <v>-9</v>
      </c>
      <c r="U304" s="38">
        <f t="shared" si="11"/>
        <v>1</v>
      </c>
      <c r="V304" s="22">
        <f t="shared" si="12"/>
        <v>81</v>
      </c>
    </row>
    <row r="305">
      <c r="A305" s="2">
        <v>40980.0</v>
      </c>
      <c r="B305" s="5">
        <v>0.0</v>
      </c>
      <c r="C305" s="22">
        <f t="shared" si="2"/>
        <v>8</v>
      </c>
      <c r="D305" s="22">
        <f t="shared" si="3"/>
        <v>5</v>
      </c>
      <c r="E305" s="22">
        <f t="shared" si="1"/>
        <v>4</v>
      </c>
      <c r="F305" s="20"/>
      <c r="G305" s="20"/>
      <c r="H305" s="20"/>
      <c r="I305" s="20"/>
      <c r="J305" s="20"/>
      <c r="K305" s="20"/>
      <c r="L305" s="22">
        <f t="shared" si="4"/>
        <v>-8</v>
      </c>
      <c r="M305" s="38">
        <f t="shared" si="5"/>
        <v>1</v>
      </c>
      <c r="N305" s="22">
        <f t="shared" si="6"/>
        <v>64</v>
      </c>
      <c r="O305" s="20"/>
      <c r="P305" s="22">
        <f t="shared" si="7"/>
        <v>-5</v>
      </c>
      <c r="Q305" s="38">
        <f t="shared" si="8"/>
        <v>1</v>
      </c>
      <c r="R305" s="22">
        <f t="shared" si="9"/>
        <v>25</v>
      </c>
      <c r="S305" s="20"/>
      <c r="T305" s="22">
        <f t="shared" si="10"/>
        <v>-4</v>
      </c>
      <c r="U305" s="38">
        <f t="shared" si="11"/>
        <v>1</v>
      </c>
      <c r="V305" s="22">
        <f t="shared" si="12"/>
        <v>16</v>
      </c>
    </row>
    <row r="306">
      <c r="A306" s="2">
        <v>40981.0</v>
      </c>
      <c r="B306" s="5">
        <v>0.0</v>
      </c>
      <c r="C306" s="22">
        <f t="shared" si="2"/>
        <v>8</v>
      </c>
      <c r="D306" s="22">
        <f t="shared" si="3"/>
        <v>5</v>
      </c>
      <c r="E306" s="22">
        <f t="shared" si="1"/>
        <v>2</v>
      </c>
      <c r="F306" s="20"/>
      <c r="G306" s="20"/>
      <c r="H306" s="20"/>
      <c r="I306" s="20"/>
      <c r="J306" s="20"/>
      <c r="K306" s="20"/>
      <c r="L306" s="22">
        <f t="shared" si="4"/>
        <v>-8</v>
      </c>
      <c r="M306" s="38">
        <f t="shared" si="5"/>
        <v>1</v>
      </c>
      <c r="N306" s="22">
        <f t="shared" si="6"/>
        <v>64</v>
      </c>
      <c r="O306" s="20"/>
      <c r="P306" s="22">
        <f t="shared" si="7"/>
        <v>-5</v>
      </c>
      <c r="Q306" s="38">
        <f t="shared" si="8"/>
        <v>1</v>
      </c>
      <c r="R306" s="22">
        <f t="shared" si="9"/>
        <v>25</v>
      </c>
      <c r="S306" s="20"/>
      <c r="T306" s="22">
        <f t="shared" si="10"/>
        <v>-2</v>
      </c>
      <c r="U306" s="38">
        <f t="shared" si="11"/>
        <v>1</v>
      </c>
      <c r="V306" s="22">
        <f t="shared" si="12"/>
        <v>4</v>
      </c>
    </row>
    <row r="307">
      <c r="A307" s="2">
        <v>40982.0</v>
      </c>
      <c r="B307" s="5">
        <v>2.0</v>
      </c>
      <c r="C307" s="22">
        <f t="shared" si="2"/>
        <v>8</v>
      </c>
      <c r="D307" s="22">
        <f t="shared" si="3"/>
        <v>5</v>
      </c>
      <c r="E307" s="22">
        <f t="shared" si="1"/>
        <v>1</v>
      </c>
      <c r="F307" s="20"/>
      <c r="G307" s="20"/>
      <c r="H307" s="20"/>
      <c r="I307" s="20"/>
      <c r="J307" s="20"/>
      <c r="K307" s="20"/>
      <c r="L307" s="22">
        <f t="shared" si="4"/>
        <v>-6</v>
      </c>
      <c r="M307" s="38">
        <f t="shared" si="5"/>
        <v>3</v>
      </c>
      <c r="N307" s="22">
        <f t="shared" si="6"/>
        <v>36</v>
      </c>
      <c r="O307" s="20"/>
      <c r="P307" s="22">
        <f t="shared" si="7"/>
        <v>-3</v>
      </c>
      <c r="Q307" s="38">
        <f t="shared" si="8"/>
        <v>1.5</v>
      </c>
      <c r="R307" s="22">
        <f t="shared" si="9"/>
        <v>9</v>
      </c>
      <c r="S307" s="20"/>
      <c r="T307" s="22">
        <f t="shared" si="10"/>
        <v>1</v>
      </c>
      <c r="U307" s="38">
        <f t="shared" si="11"/>
        <v>0.5</v>
      </c>
      <c r="V307" s="22">
        <f t="shared" si="12"/>
        <v>1</v>
      </c>
    </row>
    <row r="308">
      <c r="A308" s="2">
        <v>40983.0</v>
      </c>
      <c r="B308" s="5">
        <v>32.0</v>
      </c>
      <c r="C308" s="22">
        <f t="shared" si="2"/>
        <v>0</v>
      </c>
      <c r="D308" s="22">
        <f t="shared" si="3"/>
        <v>5</v>
      </c>
      <c r="E308" s="22">
        <f t="shared" si="1"/>
        <v>2</v>
      </c>
      <c r="F308" s="20"/>
      <c r="G308" s="20"/>
      <c r="H308" s="20"/>
      <c r="I308" s="20"/>
      <c r="J308" s="20"/>
      <c r="K308" s="20"/>
      <c r="L308" s="22">
        <f t="shared" si="4"/>
        <v>32</v>
      </c>
      <c r="M308" s="38">
        <f t="shared" si="5"/>
        <v>1</v>
      </c>
      <c r="N308" s="22">
        <f t="shared" si="6"/>
        <v>1024</v>
      </c>
      <c r="O308" s="20"/>
      <c r="P308" s="22">
        <f t="shared" si="7"/>
        <v>27</v>
      </c>
      <c r="Q308" s="38">
        <f t="shared" si="8"/>
        <v>0.84375</v>
      </c>
      <c r="R308" s="22">
        <f t="shared" si="9"/>
        <v>729</v>
      </c>
      <c r="S308" s="20"/>
      <c r="T308" s="22">
        <f t="shared" si="10"/>
        <v>30</v>
      </c>
      <c r="U308" s="38">
        <f t="shared" si="11"/>
        <v>0.9375</v>
      </c>
      <c r="V308" s="22">
        <f t="shared" si="12"/>
        <v>900</v>
      </c>
    </row>
    <row r="309">
      <c r="A309" s="2">
        <v>40984.0</v>
      </c>
      <c r="B309" s="5">
        <v>0.0</v>
      </c>
      <c r="C309" s="22">
        <f t="shared" si="2"/>
        <v>7</v>
      </c>
      <c r="D309" s="22">
        <f t="shared" si="3"/>
        <v>5</v>
      </c>
      <c r="E309" s="22">
        <f t="shared" si="1"/>
        <v>20</v>
      </c>
      <c r="F309" s="20"/>
      <c r="G309" s="20"/>
      <c r="H309" s="20"/>
      <c r="I309" s="20"/>
      <c r="J309" s="20"/>
      <c r="K309" s="20"/>
      <c r="L309" s="22">
        <f t="shared" si="4"/>
        <v>-7</v>
      </c>
      <c r="M309" s="38">
        <f t="shared" si="5"/>
        <v>1</v>
      </c>
      <c r="N309" s="22">
        <f t="shared" si="6"/>
        <v>49</v>
      </c>
      <c r="O309" s="20"/>
      <c r="P309" s="22">
        <f t="shared" si="7"/>
        <v>-5</v>
      </c>
      <c r="Q309" s="38">
        <f t="shared" si="8"/>
        <v>1</v>
      </c>
      <c r="R309" s="22">
        <f t="shared" si="9"/>
        <v>25</v>
      </c>
      <c r="S309" s="20"/>
      <c r="T309" s="22">
        <f t="shared" si="10"/>
        <v>-20</v>
      </c>
      <c r="U309" s="38">
        <f t="shared" si="11"/>
        <v>1</v>
      </c>
      <c r="V309" s="22">
        <f t="shared" si="12"/>
        <v>400</v>
      </c>
    </row>
    <row r="310">
      <c r="A310" s="2">
        <v>40987.0</v>
      </c>
      <c r="B310" s="5">
        <v>0.0</v>
      </c>
      <c r="C310" s="22">
        <f t="shared" si="2"/>
        <v>7</v>
      </c>
      <c r="D310" s="22">
        <f t="shared" si="3"/>
        <v>5</v>
      </c>
      <c r="E310" s="22">
        <f t="shared" si="1"/>
        <v>8</v>
      </c>
      <c r="F310" s="20"/>
      <c r="G310" s="20"/>
      <c r="H310" s="20"/>
      <c r="I310" s="20"/>
      <c r="J310" s="20"/>
      <c r="K310" s="20"/>
      <c r="L310" s="22">
        <f t="shared" si="4"/>
        <v>-7</v>
      </c>
      <c r="M310" s="38">
        <f t="shared" si="5"/>
        <v>1</v>
      </c>
      <c r="N310" s="22">
        <f t="shared" si="6"/>
        <v>49</v>
      </c>
      <c r="O310" s="20"/>
      <c r="P310" s="22">
        <f t="shared" si="7"/>
        <v>-5</v>
      </c>
      <c r="Q310" s="38">
        <f t="shared" si="8"/>
        <v>1</v>
      </c>
      <c r="R310" s="22">
        <f t="shared" si="9"/>
        <v>25</v>
      </c>
      <c r="S310" s="20"/>
      <c r="T310" s="22">
        <f t="shared" si="10"/>
        <v>-8</v>
      </c>
      <c r="U310" s="38">
        <f t="shared" si="11"/>
        <v>1</v>
      </c>
      <c r="V310" s="22">
        <f t="shared" si="12"/>
        <v>64</v>
      </c>
    </row>
    <row r="311">
      <c r="A311" s="2">
        <v>40988.0</v>
      </c>
      <c r="B311" s="5">
        <v>0.0</v>
      </c>
      <c r="C311" s="22">
        <f t="shared" si="2"/>
        <v>7</v>
      </c>
      <c r="D311" s="22">
        <f t="shared" si="3"/>
        <v>5</v>
      </c>
      <c r="E311" s="22">
        <f t="shared" si="1"/>
        <v>3</v>
      </c>
      <c r="F311" s="20"/>
      <c r="G311" s="20"/>
      <c r="H311" s="20"/>
      <c r="I311" s="20"/>
      <c r="J311" s="20"/>
      <c r="K311" s="20"/>
      <c r="L311" s="22">
        <f t="shared" si="4"/>
        <v>-7</v>
      </c>
      <c r="M311" s="38">
        <f t="shared" si="5"/>
        <v>1</v>
      </c>
      <c r="N311" s="22">
        <f t="shared" si="6"/>
        <v>49</v>
      </c>
      <c r="O311" s="20"/>
      <c r="P311" s="22">
        <f t="shared" si="7"/>
        <v>-5</v>
      </c>
      <c r="Q311" s="38">
        <f t="shared" si="8"/>
        <v>1</v>
      </c>
      <c r="R311" s="22">
        <f t="shared" si="9"/>
        <v>25</v>
      </c>
      <c r="S311" s="20"/>
      <c r="T311" s="22">
        <f t="shared" si="10"/>
        <v>-3</v>
      </c>
      <c r="U311" s="38">
        <f t="shared" si="11"/>
        <v>1</v>
      </c>
      <c r="V311" s="22">
        <f t="shared" si="12"/>
        <v>9</v>
      </c>
    </row>
    <row r="312">
      <c r="A312" s="2">
        <v>40989.0</v>
      </c>
      <c r="B312" s="5">
        <v>3.0</v>
      </c>
      <c r="C312" s="22">
        <f t="shared" si="2"/>
        <v>7</v>
      </c>
      <c r="D312" s="22">
        <f t="shared" si="3"/>
        <v>5</v>
      </c>
      <c r="E312" s="22">
        <f t="shared" si="1"/>
        <v>1</v>
      </c>
      <c r="F312" s="20"/>
      <c r="G312" s="20"/>
      <c r="H312" s="20"/>
      <c r="I312" s="20"/>
      <c r="J312" s="20"/>
      <c r="K312" s="20"/>
      <c r="L312" s="22">
        <f t="shared" si="4"/>
        <v>-4</v>
      </c>
      <c r="M312" s="38">
        <f t="shared" si="5"/>
        <v>1.333333333</v>
      </c>
      <c r="N312" s="22">
        <f t="shared" si="6"/>
        <v>16</v>
      </c>
      <c r="O312" s="20"/>
      <c r="P312" s="22">
        <f t="shared" si="7"/>
        <v>-2</v>
      </c>
      <c r="Q312" s="38">
        <f t="shared" si="8"/>
        <v>0.6666666667</v>
      </c>
      <c r="R312" s="22">
        <f t="shared" si="9"/>
        <v>4</v>
      </c>
      <c r="S312" s="20"/>
      <c r="T312" s="22">
        <f t="shared" si="10"/>
        <v>2</v>
      </c>
      <c r="U312" s="38">
        <f t="shared" si="11"/>
        <v>0.6666666667</v>
      </c>
      <c r="V312" s="22">
        <f t="shared" si="12"/>
        <v>4</v>
      </c>
    </row>
    <row r="313">
      <c r="A313" s="2">
        <v>40990.0</v>
      </c>
      <c r="B313" s="5">
        <v>38.0</v>
      </c>
      <c r="C313" s="22">
        <f t="shared" si="2"/>
        <v>7</v>
      </c>
      <c r="D313" s="22">
        <f t="shared" si="3"/>
        <v>5</v>
      </c>
      <c r="E313" s="22">
        <f t="shared" si="1"/>
        <v>2</v>
      </c>
      <c r="F313" s="20"/>
      <c r="G313" s="20"/>
      <c r="H313" s="20"/>
      <c r="I313" s="20"/>
      <c r="J313" s="20"/>
      <c r="K313" s="20"/>
      <c r="L313" s="22">
        <f t="shared" si="4"/>
        <v>31</v>
      </c>
      <c r="M313" s="38">
        <f t="shared" si="5"/>
        <v>0.8157894737</v>
      </c>
      <c r="N313" s="22">
        <f t="shared" si="6"/>
        <v>961</v>
      </c>
      <c r="O313" s="20"/>
      <c r="P313" s="22">
        <f t="shared" si="7"/>
        <v>33</v>
      </c>
      <c r="Q313" s="38">
        <f t="shared" si="8"/>
        <v>0.8684210526</v>
      </c>
      <c r="R313" s="22">
        <f t="shared" si="9"/>
        <v>1089</v>
      </c>
      <c r="S313" s="20"/>
      <c r="T313" s="22">
        <f t="shared" si="10"/>
        <v>36</v>
      </c>
      <c r="U313" s="38">
        <f t="shared" si="11"/>
        <v>0.9473684211</v>
      </c>
      <c r="V313" s="22">
        <f t="shared" si="12"/>
        <v>1296</v>
      </c>
    </row>
    <row r="314">
      <c r="A314" s="2">
        <v>40991.0</v>
      </c>
      <c r="B314" s="5">
        <v>0.0</v>
      </c>
      <c r="C314" s="22">
        <f t="shared" si="2"/>
        <v>8</v>
      </c>
      <c r="D314" s="22">
        <f t="shared" si="3"/>
        <v>5</v>
      </c>
      <c r="E314" s="22">
        <f t="shared" si="1"/>
        <v>24</v>
      </c>
      <c r="F314" s="20"/>
      <c r="G314" s="20"/>
      <c r="H314" s="20"/>
      <c r="I314" s="20"/>
      <c r="J314" s="20"/>
      <c r="K314" s="20"/>
      <c r="L314" s="22">
        <f t="shared" si="4"/>
        <v>-8</v>
      </c>
      <c r="M314" s="38">
        <f t="shared" si="5"/>
        <v>1</v>
      </c>
      <c r="N314" s="22">
        <f t="shared" si="6"/>
        <v>64</v>
      </c>
      <c r="O314" s="20"/>
      <c r="P314" s="22">
        <f t="shared" si="7"/>
        <v>-5</v>
      </c>
      <c r="Q314" s="38">
        <f t="shared" si="8"/>
        <v>1</v>
      </c>
      <c r="R314" s="22">
        <f t="shared" si="9"/>
        <v>25</v>
      </c>
      <c r="S314" s="20"/>
      <c r="T314" s="22">
        <f t="shared" si="10"/>
        <v>-24</v>
      </c>
      <c r="U314" s="38">
        <f t="shared" si="11"/>
        <v>1</v>
      </c>
      <c r="V314" s="22">
        <f t="shared" si="12"/>
        <v>576</v>
      </c>
    </row>
    <row r="315">
      <c r="A315" s="2">
        <v>40994.0</v>
      </c>
      <c r="B315" s="5">
        <v>0.0</v>
      </c>
      <c r="C315" s="22">
        <f t="shared" si="2"/>
        <v>8</v>
      </c>
      <c r="D315" s="22">
        <f t="shared" si="3"/>
        <v>5</v>
      </c>
      <c r="E315" s="22">
        <f t="shared" si="1"/>
        <v>10</v>
      </c>
      <c r="F315" s="20"/>
      <c r="G315" s="20"/>
      <c r="H315" s="20"/>
      <c r="I315" s="20"/>
      <c r="J315" s="20"/>
      <c r="K315" s="20"/>
      <c r="L315" s="22">
        <f t="shared" si="4"/>
        <v>-8</v>
      </c>
      <c r="M315" s="38">
        <f t="shared" si="5"/>
        <v>1</v>
      </c>
      <c r="N315" s="22">
        <f t="shared" si="6"/>
        <v>64</v>
      </c>
      <c r="O315" s="20"/>
      <c r="P315" s="22">
        <f t="shared" si="7"/>
        <v>-5</v>
      </c>
      <c r="Q315" s="38">
        <f t="shared" si="8"/>
        <v>1</v>
      </c>
      <c r="R315" s="22">
        <f t="shared" si="9"/>
        <v>25</v>
      </c>
      <c r="S315" s="20"/>
      <c r="T315" s="22">
        <f t="shared" si="10"/>
        <v>-10</v>
      </c>
      <c r="U315" s="38">
        <f t="shared" si="11"/>
        <v>1</v>
      </c>
      <c r="V315" s="22">
        <f t="shared" si="12"/>
        <v>100</v>
      </c>
    </row>
    <row r="316">
      <c r="A316" s="2">
        <v>40995.0</v>
      </c>
      <c r="B316" s="5">
        <v>0.0</v>
      </c>
      <c r="C316" s="22">
        <f t="shared" si="2"/>
        <v>8</v>
      </c>
      <c r="D316" s="22">
        <f t="shared" si="3"/>
        <v>5</v>
      </c>
      <c r="E316" s="22">
        <f t="shared" si="1"/>
        <v>4</v>
      </c>
      <c r="F316" s="20"/>
      <c r="G316" s="20"/>
      <c r="H316" s="20"/>
      <c r="I316" s="20"/>
      <c r="J316" s="20"/>
      <c r="K316" s="20"/>
      <c r="L316" s="22">
        <f t="shared" si="4"/>
        <v>-8</v>
      </c>
      <c r="M316" s="38">
        <f t="shared" si="5"/>
        <v>1</v>
      </c>
      <c r="N316" s="22">
        <f t="shared" si="6"/>
        <v>64</v>
      </c>
      <c r="O316" s="20"/>
      <c r="P316" s="22">
        <f t="shared" si="7"/>
        <v>-5</v>
      </c>
      <c r="Q316" s="38">
        <f t="shared" si="8"/>
        <v>1</v>
      </c>
      <c r="R316" s="22">
        <f t="shared" si="9"/>
        <v>25</v>
      </c>
      <c r="S316" s="20"/>
      <c r="T316" s="22">
        <f t="shared" si="10"/>
        <v>-4</v>
      </c>
      <c r="U316" s="38">
        <f t="shared" si="11"/>
        <v>1</v>
      </c>
      <c r="V316" s="22">
        <f t="shared" si="12"/>
        <v>16</v>
      </c>
    </row>
    <row r="317">
      <c r="A317" s="2">
        <v>40996.0</v>
      </c>
      <c r="B317" s="5">
        <v>0.0</v>
      </c>
      <c r="C317" s="22">
        <f t="shared" si="2"/>
        <v>8</v>
      </c>
      <c r="D317" s="22">
        <f t="shared" si="3"/>
        <v>5</v>
      </c>
      <c r="E317" s="22">
        <f t="shared" si="1"/>
        <v>2</v>
      </c>
      <c r="F317" s="20"/>
      <c r="G317" s="20"/>
      <c r="H317" s="20"/>
      <c r="I317" s="20"/>
      <c r="J317" s="20"/>
      <c r="K317" s="20"/>
      <c r="L317" s="22">
        <f t="shared" si="4"/>
        <v>-8</v>
      </c>
      <c r="M317" s="38">
        <f t="shared" si="5"/>
        <v>1</v>
      </c>
      <c r="N317" s="22">
        <f t="shared" si="6"/>
        <v>64</v>
      </c>
      <c r="O317" s="20"/>
      <c r="P317" s="22">
        <f t="shared" si="7"/>
        <v>-5</v>
      </c>
      <c r="Q317" s="38">
        <f t="shared" si="8"/>
        <v>1</v>
      </c>
      <c r="R317" s="22">
        <f t="shared" si="9"/>
        <v>25</v>
      </c>
      <c r="S317" s="20"/>
      <c r="T317" s="22">
        <f t="shared" si="10"/>
        <v>-2</v>
      </c>
      <c r="U317" s="38">
        <f t="shared" si="11"/>
        <v>1</v>
      </c>
      <c r="V317" s="22">
        <f t="shared" si="12"/>
        <v>4</v>
      </c>
    </row>
    <row r="318">
      <c r="A318" s="2">
        <v>40997.0</v>
      </c>
      <c r="B318" s="5">
        <v>44.0</v>
      </c>
      <c r="C318" s="22">
        <f t="shared" si="2"/>
        <v>8</v>
      </c>
      <c r="D318" s="22">
        <f t="shared" si="3"/>
        <v>5</v>
      </c>
      <c r="E318" s="22">
        <f t="shared" si="1"/>
        <v>1</v>
      </c>
      <c r="F318" s="20"/>
      <c r="G318" s="20"/>
      <c r="H318" s="20"/>
      <c r="I318" s="20"/>
      <c r="J318" s="20"/>
      <c r="K318" s="20"/>
      <c r="L318" s="22">
        <f t="shared" si="4"/>
        <v>36</v>
      </c>
      <c r="M318" s="38">
        <f t="shared" si="5"/>
        <v>0.8181818182</v>
      </c>
      <c r="N318" s="22">
        <f t="shared" si="6"/>
        <v>1296</v>
      </c>
      <c r="O318" s="20"/>
      <c r="P318" s="22">
        <f t="shared" si="7"/>
        <v>39</v>
      </c>
      <c r="Q318" s="38">
        <f t="shared" si="8"/>
        <v>0.8863636364</v>
      </c>
      <c r="R318" s="22">
        <f t="shared" si="9"/>
        <v>1521</v>
      </c>
      <c r="S318" s="20"/>
      <c r="T318" s="22">
        <f t="shared" si="10"/>
        <v>43</v>
      </c>
      <c r="U318" s="38">
        <f t="shared" si="11"/>
        <v>0.9772727273</v>
      </c>
      <c r="V318" s="22">
        <f t="shared" si="12"/>
        <v>1849</v>
      </c>
    </row>
    <row r="319">
      <c r="A319" s="2">
        <v>40998.0</v>
      </c>
      <c r="B319" s="5">
        <v>0.0</v>
      </c>
      <c r="C319" s="22">
        <f t="shared" si="2"/>
        <v>9</v>
      </c>
      <c r="D319" s="22">
        <f t="shared" si="3"/>
        <v>5</v>
      </c>
      <c r="E319" s="22">
        <f t="shared" si="1"/>
        <v>27</v>
      </c>
      <c r="F319" s="20"/>
      <c r="G319" s="20"/>
      <c r="H319" s="20"/>
      <c r="I319" s="20"/>
      <c r="J319" s="20"/>
      <c r="K319" s="20"/>
      <c r="L319" s="22">
        <f t="shared" si="4"/>
        <v>-9</v>
      </c>
      <c r="M319" s="38">
        <f t="shared" si="5"/>
        <v>1</v>
      </c>
      <c r="N319" s="22">
        <f t="shared" si="6"/>
        <v>81</v>
      </c>
      <c r="O319" s="20"/>
      <c r="P319" s="22">
        <f t="shared" si="7"/>
        <v>-5</v>
      </c>
      <c r="Q319" s="38">
        <f t="shared" si="8"/>
        <v>1</v>
      </c>
      <c r="R319" s="22">
        <f t="shared" si="9"/>
        <v>25</v>
      </c>
      <c r="S319" s="20"/>
      <c r="T319" s="22">
        <f t="shared" si="10"/>
        <v>-27</v>
      </c>
      <c r="U319" s="38">
        <f t="shared" si="11"/>
        <v>1</v>
      </c>
      <c r="V319" s="22">
        <f t="shared" si="12"/>
        <v>729</v>
      </c>
    </row>
    <row r="320">
      <c r="A320" s="2">
        <v>41001.0</v>
      </c>
      <c r="B320" s="5">
        <v>0.0</v>
      </c>
      <c r="C320" s="22">
        <f t="shared" si="2"/>
        <v>9</v>
      </c>
      <c r="D320" s="22">
        <f t="shared" si="3"/>
        <v>5</v>
      </c>
      <c r="E320" s="22">
        <f t="shared" si="1"/>
        <v>11</v>
      </c>
      <c r="F320" s="20"/>
      <c r="G320" s="20"/>
      <c r="H320" s="20"/>
      <c r="I320" s="20"/>
      <c r="J320" s="20"/>
      <c r="K320" s="20"/>
      <c r="L320" s="22">
        <f t="shared" si="4"/>
        <v>-9</v>
      </c>
      <c r="M320" s="38">
        <f t="shared" si="5"/>
        <v>1</v>
      </c>
      <c r="N320" s="22">
        <f t="shared" si="6"/>
        <v>81</v>
      </c>
      <c r="O320" s="20"/>
      <c r="P320" s="22">
        <f t="shared" si="7"/>
        <v>-5</v>
      </c>
      <c r="Q320" s="38">
        <f t="shared" si="8"/>
        <v>1</v>
      </c>
      <c r="R320" s="22">
        <f t="shared" si="9"/>
        <v>25</v>
      </c>
      <c r="S320" s="20"/>
      <c r="T320" s="22">
        <f t="shared" si="10"/>
        <v>-11</v>
      </c>
      <c r="U320" s="38">
        <f t="shared" si="11"/>
        <v>1</v>
      </c>
      <c r="V320" s="22">
        <f t="shared" si="12"/>
        <v>121</v>
      </c>
    </row>
    <row r="321">
      <c r="A321" s="2">
        <v>41002.0</v>
      </c>
      <c r="B321" s="5">
        <v>0.0</v>
      </c>
      <c r="C321" s="22">
        <f t="shared" si="2"/>
        <v>9</v>
      </c>
      <c r="D321" s="22">
        <f t="shared" si="3"/>
        <v>5</v>
      </c>
      <c r="E321" s="22">
        <f t="shared" si="1"/>
        <v>4</v>
      </c>
      <c r="F321" s="20"/>
      <c r="G321" s="20"/>
      <c r="H321" s="20"/>
      <c r="I321" s="20"/>
      <c r="J321" s="20"/>
      <c r="K321" s="20"/>
      <c r="L321" s="22">
        <f t="shared" si="4"/>
        <v>-9</v>
      </c>
      <c r="M321" s="38">
        <f t="shared" si="5"/>
        <v>1</v>
      </c>
      <c r="N321" s="22">
        <f t="shared" si="6"/>
        <v>81</v>
      </c>
      <c r="O321" s="20"/>
      <c r="P321" s="22">
        <f t="shared" si="7"/>
        <v>-5</v>
      </c>
      <c r="Q321" s="38">
        <f t="shared" si="8"/>
        <v>1</v>
      </c>
      <c r="R321" s="22">
        <f t="shared" si="9"/>
        <v>25</v>
      </c>
      <c r="S321" s="20"/>
      <c r="T321" s="22">
        <f t="shared" si="10"/>
        <v>-4</v>
      </c>
      <c r="U321" s="38">
        <f t="shared" si="11"/>
        <v>1</v>
      </c>
      <c r="V321" s="22">
        <f t="shared" si="12"/>
        <v>16</v>
      </c>
    </row>
    <row r="322">
      <c r="A322" s="2">
        <v>41003.0</v>
      </c>
      <c r="B322" s="5">
        <v>3.0</v>
      </c>
      <c r="C322" s="22">
        <f t="shared" si="2"/>
        <v>9</v>
      </c>
      <c r="D322" s="22">
        <f t="shared" si="3"/>
        <v>5</v>
      </c>
      <c r="E322" s="22">
        <f t="shared" si="1"/>
        <v>2</v>
      </c>
      <c r="F322" s="20"/>
      <c r="G322" s="20"/>
      <c r="H322" s="20"/>
      <c r="I322" s="20"/>
      <c r="J322" s="20"/>
      <c r="K322" s="20"/>
      <c r="L322" s="22">
        <f t="shared" si="4"/>
        <v>-6</v>
      </c>
      <c r="M322" s="38">
        <f t="shared" si="5"/>
        <v>2</v>
      </c>
      <c r="N322" s="22">
        <f t="shared" si="6"/>
        <v>36</v>
      </c>
      <c r="O322" s="20"/>
      <c r="P322" s="22">
        <f t="shared" si="7"/>
        <v>-2</v>
      </c>
      <c r="Q322" s="38">
        <f t="shared" si="8"/>
        <v>0.6666666667</v>
      </c>
      <c r="R322" s="22">
        <f t="shared" si="9"/>
        <v>4</v>
      </c>
      <c r="S322" s="20"/>
      <c r="T322" s="22">
        <f t="shared" si="10"/>
        <v>1</v>
      </c>
      <c r="U322" s="38">
        <f t="shared" si="11"/>
        <v>0.3333333333</v>
      </c>
      <c r="V322" s="22">
        <f t="shared" si="12"/>
        <v>1</v>
      </c>
    </row>
    <row r="323">
      <c r="A323" s="2">
        <v>41004.0</v>
      </c>
      <c r="B323" s="5">
        <v>35.0</v>
      </c>
      <c r="C323" s="22">
        <f t="shared" si="2"/>
        <v>9</v>
      </c>
      <c r="D323" s="22">
        <f t="shared" si="3"/>
        <v>5</v>
      </c>
      <c r="E323" s="22">
        <f t="shared" si="1"/>
        <v>3</v>
      </c>
      <c r="F323" s="20"/>
      <c r="G323" s="20"/>
      <c r="H323" s="20"/>
      <c r="I323" s="20"/>
      <c r="J323" s="20"/>
      <c r="K323" s="20"/>
      <c r="L323" s="22">
        <f t="shared" si="4"/>
        <v>26</v>
      </c>
      <c r="M323" s="38">
        <f t="shared" si="5"/>
        <v>0.7428571429</v>
      </c>
      <c r="N323" s="22">
        <f t="shared" si="6"/>
        <v>676</v>
      </c>
      <c r="O323" s="20"/>
      <c r="P323" s="22">
        <f t="shared" si="7"/>
        <v>30</v>
      </c>
      <c r="Q323" s="38">
        <f t="shared" si="8"/>
        <v>0.8571428571</v>
      </c>
      <c r="R323" s="22">
        <f t="shared" si="9"/>
        <v>900</v>
      </c>
      <c r="S323" s="20"/>
      <c r="T323" s="22">
        <f t="shared" si="10"/>
        <v>32</v>
      </c>
      <c r="U323" s="38">
        <f t="shared" si="11"/>
        <v>0.9142857143</v>
      </c>
      <c r="V323" s="22">
        <f t="shared" si="12"/>
        <v>1024</v>
      </c>
    </row>
    <row r="324">
      <c r="A324" s="2">
        <v>41005.0</v>
      </c>
      <c r="B324" s="5">
        <v>0.0</v>
      </c>
      <c r="C324" s="22">
        <f t="shared" si="2"/>
        <v>8</v>
      </c>
      <c r="D324" s="22">
        <f t="shared" si="3"/>
        <v>5</v>
      </c>
      <c r="E324" s="22">
        <f t="shared" si="1"/>
        <v>22</v>
      </c>
      <c r="F324" s="20"/>
      <c r="G324" s="20"/>
      <c r="H324" s="20"/>
      <c r="I324" s="20"/>
      <c r="J324" s="20"/>
      <c r="K324" s="20"/>
      <c r="L324" s="22">
        <f t="shared" si="4"/>
        <v>-8</v>
      </c>
      <c r="M324" s="38">
        <f t="shared" si="5"/>
        <v>1</v>
      </c>
      <c r="N324" s="22">
        <f t="shared" si="6"/>
        <v>64</v>
      </c>
      <c r="O324" s="20"/>
      <c r="P324" s="22">
        <f t="shared" si="7"/>
        <v>-5</v>
      </c>
      <c r="Q324" s="38">
        <f t="shared" si="8"/>
        <v>1</v>
      </c>
      <c r="R324" s="22">
        <f t="shared" si="9"/>
        <v>25</v>
      </c>
      <c r="S324" s="20"/>
      <c r="T324" s="22">
        <f t="shared" si="10"/>
        <v>-22</v>
      </c>
      <c r="U324" s="38">
        <f t="shared" si="11"/>
        <v>1</v>
      </c>
      <c r="V324" s="22">
        <f t="shared" si="12"/>
        <v>484</v>
      </c>
    </row>
    <row r="325">
      <c r="A325" s="2">
        <v>41008.0</v>
      </c>
      <c r="B325" s="5">
        <v>0.0</v>
      </c>
      <c r="C325" s="22">
        <f t="shared" si="2"/>
        <v>8</v>
      </c>
      <c r="D325" s="22">
        <f t="shared" si="3"/>
        <v>5</v>
      </c>
      <c r="E325" s="22">
        <f t="shared" si="1"/>
        <v>9</v>
      </c>
      <c r="F325" s="20"/>
      <c r="G325" s="20"/>
      <c r="H325" s="20"/>
      <c r="I325" s="20"/>
      <c r="J325" s="20"/>
      <c r="K325" s="20"/>
      <c r="L325" s="22">
        <f t="shared" si="4"/>
        <v>-8</v>
      </c>
      <c r="M325" s="38">
        <f t="shared" si="5"/>
        <v>1</v>
      </c>
      <c r="N325" s="22">
        <f t="shared" si="6"/>
        <v>64</v>
      </c>
      <c r="O325" s="20"/>
      <c r="P325" s="22">
        <f t="shared" si="7"/>
        <v>-5</v>
      </c>
      <c r="Q325" s="38">
        <f t="shared" si="8"/>
        <v>1</v>
      </c>
      <c r="R325" s="22">
        <f t="shared" si="9"/>
        <v>25</v>
      </c>
      <c r="S325" s="20"/>
      <c r="T325" s="22">
        <f t="shared" si="10"/>
        <v>-9</v>
      </c>
      <c r="U325" s="38">
        <f t="shared" si="11"/>
        <v>1</v>
      </c>
      <c r="V325" s="22">
        <f t="shared" si="12"/>
        <v>81</v>
      </c>
    </row>
    <row r="326">
      <c r="A326" s="2">
        <v>41009.0</v>
      </c>
      <c r="B326" s="5">
        <v>0.0</v>
      </c>
      <c r="C326" s="22">
        <f t="shared" si="2"/>
        <v>8</v>
      </c>
      <c r="D326" s="22">
        <f t="shared" si="3"/>
        <v>5</v>
      </c>
      <c r="E326" s="22">
        <f t="shared" si="1"/>
        <v>4</v>
      </c>
      <c r="F326" s="20"/>
      <c r="G326" s="20"/>
      <c r="H326" s="20"/>
      <c r="I326" s="20"/>
      <c r="J326" s="20"/>
      <c r="K326" s="20"/>
      <c r="L326" s="22">
        <f t="shared" si="4"/>
        <v>-8</v>
      </c>
      <c r="M326" s="38">
        <f t="shared" si="5"/>
        <v>1</v>
      </c>
      <c r="N326" s="22">
        <f t="shared" si="6"/>
        <v>64</v>
      </c>
      <c r="O326" s="20"/>
      <c r="P326" s="22">
        <f t="shared" si="7"/>
        <v>-5</v>
      </c>
      <c r="Q326" s="38">
        <f t="shared" si="8"/>
        <v>1</v>
      </c>
      <c r="R326" s="22">
        <f t="shared" si="9"/>
        <v>25</v>
      </c>
      <c r="S326" s="20"/>
      <c r="T326" s="22">
        <f t="shared" si="10"/>
        <v>-4</v>
      </c>
      <c r="U326" s="38">
        <f t="shared" si="11"/>
        <v>1</v>
      </c>
      <c r="V326" s="22">
        <f t="shared" si="12"/>
        <v>16</v>
      </c>
    </row>
    <row r="327">
      <c r="A327" s="2">
        <v>41010.0</v>
      </c>
      <c r="B327" s="5">
        <v>3.0</v>
      </c>
      <c r="C327" s="22">
        <f t="shared" si="2"/>
        <v>8</v>
      </c>
      <c r="D327" s="22">
        <f t="shared" si="3"/>
        <v>5</v>
      </c>
      <c r="E327" s="22">
        <f t="shared" si="1"/>
        <v>2</v>
      </c>
      <c r="F327" s="20"/>
      <c r="G327" s="20"/>
      <c r="H327" s="20"/>
      <c r="I327" s="20"/>
      <c r="J327" s="20"/>
      <c r="K327" s="20"/>
      <c r="L327" s="22">
        <f t="shared" si="4"/>
        <v>-5</v>
      </c>
      <c r="M327" s="38">
        <f t="shared" si="5"/>
        <v>1.666666667</v>
      </c>
      <c r="N327" s="22">
        <f t="shared" si="6"/>
        <v>25</v>
      </c>
      <c r="O327" s="20"/>
      <c r="P327" s="22">
        <f t="shared" si="7"/>
        <v>-2</v>
      </c>
      <c r="Q327" s="38">
        <f t="shared" si="8"/>
        <v>0.6666666667</v>
      </c>
      <c r="R327" s="22">
        <f t="shared" si="9"/>
        <v>4</v>
      </c>
      <c r="S327" s="20"/>
      <c r="T327" s="22">
        <f t="shared" si="10"/>
        <v>1</v>
      </c>
      <c r="U327" s="38">
        <f t="shared" si="11"/>
        <v>0.3333333333</v>
      </c>
      <c r="V327" s="22">
        <f t="shared" si="12"/>
        <v>1</v>
      </c>
    </row>
    <row r="328">
      <c r="A328" s="2">
        <v>41011.0</v>
      </c>
      <c r="B328" s="5">
        <v>35.0</v>
      </c>
      <c r="C328" s="22">
        <f t="shared" si="2"/>
        <v>8</v>
      </c>
      <c r="D328" s="22">
        <f t="shared" si="3"/>
        <v>5</v>
      </c>
      <c r="E328" s="22">
        <f t="shared" si="1"/>
        <v>3</v>
      </c>
      <c r="F328" s="20"/>
      <c r="G328" s="20"/>
      <c r="H328" s="20"/>
      <c r="I328" s="20"/>
      <c r="J328" s="20"/>
      <c r="K328" s="20"/>
      <c r="L328" s="22">
        <f t="shared" si="4"/>
        <v>27</v>
      </c>
      <c r="M328" s="38">
        <f t="shared" si="5"/>
        <v>0.7714285714</v>
      </c>
      <c r="N328" s="22">
        <f t="shared" si="6"/>
        <v>729</v>
      </c>
      <c r="O328" s="20"/>
      <c r="P328" s="22">
        <f t="shared" si="7"/>
        <v>30</v>
      </c>
      <c r="Q328" s="38">
        <f t="shared" si="8"/>
        <v>0.8571428571</v>
      </c>
      <c r="R328" s="22">
        <f t="shared" si="9"/>
        <v>900</v>
      </c>
      <c r="S328" s="20"/>
      <c r="T328" s="22">
        <f t="shared" si="10"/>
        <v>32</v>
      </c>
      <c r="U328" s="38">
        <f t="shared" si="11"/>
        <v>0.9142857143</v>
      </c>
      <c r="V328" s="22">
        <f t="shared" si="12"/>
        <v>1024</v>
      </c>
    </row>
    <row r="329">
      <c r="A329" s="2">
        <v>41012.0</v>
      </c>
      <c r="B329" s="5">
        <v>0.0</v>
      </c>
      <c r="C329" s="22">
        <f t="shared" si="2"/>
        <v>8</v>
      </c>
      <c r="D329" s="22">
        <f t="shared" si="3"/>
        <v>5</v>
      </c>
      <c r="E329" s="22">
        <f t="shared" si="1"/>
        <v>22</v>
      </c>
      <c r="F329" s="20"/>
      <c r="G329" s="20"/>
      <c r="H329" s="20"/>
      <c r="I329" s="20"/>
      <c r="J329" s="20"/>
      <c r="K329" s="20"/>
      <c r="L329" s="22">
        <f t="shared" si="4"/>
        <v>-8</v>
      </c>
      <c r="M329" s="38">
        <f t="shared" si="5"/>
        <v>1</v>
      </c>
      <c r="N329" s="22">
        <f t="shared" si="6"/>
        <v>64</v>
      </c>
      <c r="O329" s="20"/>
      <c r="P329" s="22">
        <f t="shared" si="7"/>
        <v>-5</v>
      </c>
      <c r="Q329" s="38">
        <f t="shared" si="8"/>
        <v>1</v>
      </c>
      <c r="R329" s="22">
        <f t="shared" si="9"/>
        <v>25</v>
      </c>
      <c r="S329" s="20"/>
      <c r="T329" s="22">
        <f t="shared" si="10"/>
        <v>-22</v>
      </c>
      <c r="U329" s="38">
        <f t="shared" si="11"/>
        <v>1</v>
      </c>
      <c r="V329" s="22">
        <f t="shared" si="12"/>
        <v>484</v>
      </c>
    </row>
    <row r="330">
      <c r="A330" s="2">
        <v>41015.0</v>
      </c>
      <c r="B330" s="5">
        <v>0.0</v>
      </c>
      <c r="C330" s="22">
        <f t="shared" si="2"/>
        <v>8</v>
      </c>
      <c r="D330" s="22">
        <f t="shared" si="3"/>
        <v>5</v>
      </c>
      <c r="E330" s="22">
        <f t="shared" si="1"/>
        <v>9</v>
      </c>
      <c r="F330" s="20"/>
      <c r="G330" s="20"/>
      <c r="H330" s="20"/>
      <c r="I330" s="20"/>
      <c r="J330" s="20"/>
      <c r="K330" s="20"/>
      <c r="L330" s="22">
        <f t="shared" si="4"/>
        <v>-8</v>
      </c>
      <c r="M330" s="38">
        <f t="shared" si="5"/>
        <v>1</v>
      </c>
      <c r="N330" s="22">
        <f t="shared" si="6"/>
        <v>64</v>
      </c>
      <c r="O330" s="20"/>
      <c r="P330" s="22">
        <f t="shared" si="7"/>
        <v>-5</v>
      </c>
      <c r="Q330" s="38">
        <f t="shared" si="8"/>
        <v>1</v>
      </c>
      <c r="R330" s="22">
        <f t="shared" si="9"/>
        <v>25</v>
      </c>
      <c r="S330" s="20"/>
      <c r="T330" s="22">
        <f t="shared" si="10"/>
        <v>-9</v>
      </c>
      <c r="U330" s="38">
        <f t="shared" si="11"/>
        <v>1</v>
      </c>
      <c r="V330" s="22">
        <f t="shared" si="12"/>
        <v>81</v>
      </c>
    </row>
    <row r="331">
      <c r="A331" s="2">
        <v>41016.0</v>
      </c>
      <c r="B331" s="5">
        <v>0.0</v>
      </c>
      <c r="C331" s="22">
        <f t="shared" si="2"/>
        <v>8</v>
      </c>
      <c r="D331" s="22">
        <f t="shared" si="3"/>
        <v>5</v>
      </c>
      <c r="E331" s="22">
        <f t="shared" si="1"/>
        <v>4</v>
      </c>
      <c r="F331" s="20"/>
      <c r="G331" s="20"/>
      <c r="H331" s="20"/>
      <c r="I331" s="20"/>
      <c r="J331" s="20"/>
      <c r="K331" s="20"/>
      <c r="L331" s="22">
        <f t="shared" si="4"/>
        <v>-8</v>
      </c>
      <c r="M331" s="38">
        <f t="shared" si="5"/>
        <v>1</v>
      </c>
      <c r="N331" s="22">
        <f t="shared" si="6"/>
        <v>64</v>
      </c>
      <c r="O331" s="20"/>
      <c r="P331" s="22">
        <f t="shared" si="7"/>
        <v>-5</v>
      </c>
      <c r="Q331" s="38">
        <f t="shared" si="8"/>
        <v>1</v>
      </c>
      <c r="R331" s="22">
        <f t="shared" si="9"/>
        <v>25</v>
      </c>
      <c r="S331" s="20"/>
      <c r="T331" s="22">
        <f t="shared" si="10"/>
        <v>-4</v>
      </c>
      <c r="U331" s="38">
        <f t="shared" si="11"/>
        <v>1</v>
      </c>
      <c r="V331" s="22">
        <f t="shared" si="12"/>
        <v>16</v>
      </c>
    </row>
    <row r="332">
      <c r="A332" s="2">
        <v>41017.0</v>
      </c>
      <c r="B332" s="5">
        <v>38.0</v>
      </c>
      <c r="C332" s="22">
        <f t="shared" si="2"/>
        <v>8</v>
      </c>
      <c r="D332" s="22">
        <f t="shared" si="3"/>
        <v>5</v>
      </c>
      <c r="E332" s="22">
        <f t="shared" si="1"/>
        <v>2</v>
      </c>
      <c r="F332" s="20"/>
      <c r="G332" s="20"/>
      <c r="H332" s="20"/>
      <c r="I332" s="20"/>
      <c r="J332" s="20"/>
      <c r="K332" s="20"/>
      <c r="L332" s="22">
        <f t="shared" si="4"/>
        <v>30</v>
      </c>
      <c r="M332" s="38">
        <f t="shared" si="5"/>
        <v>0.7894736842</v>
      </c>
      <c r="N332" s="22">
        <f t="shared" si="6"/>
        <v>900</v>
      </c>
      <c r="O332" s="20"/>
      <c r="P332" s="22">
        <f t="shared" si="7"/>
        <v>33</v>
      </c>
      <c r="Q332" s="38">
        <f t="shared" si="8"/>
        <v>0.8684210526</v>
      </c>
      <c r="R332" s="22">
        <f t="shared" si="9"/>
        <v>1089</v>
      </c>
      <c r="S332" s="20"/>
      <c r="T332" s="22">
        <f t="shared" si="10"/>
        <v>36</v>
      </c>
      <c r="U332" s="38">
        <f t="shared" si="11"/>
        <v>0.9473684211</v>
      </c>
      <c r="V332" s="22">
        <f t="shared" si="12"/>
        <v>1296</v>
      </c>
    </row>
    <row r="333">
      <c r="A333" s="2">
        <v>41018.0</v>
      </c>
      <c r="B333" s="5">
        <v>0.0</v>
      </c>
      <c r="C333" s="22">
        <f t="shared" si="2"/>
        <v>15</v>
      </c>
      <c r="D333" s="22">
        <f t="shared" si="3"/>
        <v>5</v>
      </c>
      <c r="E333" s="22">
        <f t="shared" si="1"/>
        <v>24</v>
      </c>
      <c r="F333" s="20"/>
      <c r="G333" s="20"/>
      <c r="H333" s="20"/>
      <c r="I333" s="20"/>
      <c r="J333" s="20"/>
      <c r="K333" s="20"/>
      <c r="L333" s="22">
        <f t="shared" si="4"/>
        <v>-15</v>
      </c>
      <c r="M333" s="38">
        <f t="shared" si="5"/>
        <v>1</v>
      </c>
      <c r="N333" s="22">
        <f t="shared" si="6"/>
        <v>225</v>
      </c>
      <c r="O333" s="20"/>
      <c r="P333" s="22">
        <f t="shared" si="7"/>
        <v>-5</v>
      </c>
      <c r="Q333" s="38">
        <f t="shared" si="8"/>
        <v>1</v>
      </c>
      <c r="R333" s="22">
        <f t="shared" si="9"/>
        <v>25</v>
      </c>
      <c r="S333" s="20"/>
      <c r="T333" s="22">
        <f t="shared" si="10"/>
        <v>-24</v>
      </c>
      <c r="U333" s="38">
        <f t="shared" si="11"/>
        <v>1</v>
      </c>
      <c r="V333" s="22">
        <f t="shared" si="12"/>
        <v>576</v>
      </c>
    </row>
    <row r="334">
      <c r="A334" s="2">
        <v>41019.0</v>
      </c>
      <c r="B334" s="5">
        <v>0.0</v>
      </c>
      <c r="C334" s="22">
        <f t="shared" si="2"/>
        <v>8</v>
      </c>
      <c r="D334" s="22">
        <f t="shared" si="3"/>
        <v>5</v>
      </c>
      <c r="E334" s="22">
        <f t="shared" si="1"/>
        <v>10</v>
      </c>
      <c r="F334" s="20"/>
      <c r="G334" s="20"/>
      <c r="H334" s="20"/>
      <c r="I334" s="20"/>
      <c r="J334" s="20"/>
      <c r="K334" s="20"/>
      <c r="L334" s="22">
        <f t="shared" si="4"/>
        <v>-8</v>
      </c>
      <c r="M334" s="38">
        <f t="shared" si="5"/>
        <v>1</v>
      </c>
      <c r="N334" s="22">
        <f t="shared" si="6"/>
        <v>64</v>
      </c>
      <c r="O334" s="20"/>
      <c r="P334" s="22">
        <f t="shared" si="7"/>
        <v>-5</v>
      </c>
      <c r="Q334" s="38">
        <f t="shared" si="8"/>
        <v>1</v>
      </c>
      <c r="R334" s="22">
        <f t="shared" si="9"/>
        <v>25</v>
      </c>
      <c r="S334" s="20"/>
      <c r="T334" s="22">
        <f t="shared" si="10"/>
        <v>-10</v>
      </c>
      <c r="U334" s="38">
        <f t="shared" si="11"/>
        <v>1</v>
      </c>
      <c r="V334" s="22">
        <f t="shared" si="12"/>
        <v>100</v>
      </c>
    </row>
    <row r="335">
      <c r="A335" s="2">
        <v>41022.0</v>
      </c>
      <c r="B335" s="5">
        <v>39.0</v>
      </c>
      <c r="C335" s="22">
        <f t="shared" si="2"/>
        <v>8</v>
      </c>
      <c r="D335" s="22">
        <f t="shared" si="3"/>
        <v>5</v>
      </c>
      <c r="E335" s="22">
        <f t="shared" si="1"/>
        <v>4</v>
      </c>
      <c r="F335" s="20"/>
      <c r="G335" s="20"/>
      <c r="H335" s="20"/>
      <c r="I335" s="20"/>
      <c r="J335" s="20"/>
      <c r="K335" s="20"/>
      <c r="L335" s="22">
        <f t="shared" si="4"/>
        <v>31</v>
      </c>
      <c r="M335" s="38">
        <f t="shared" si="5"/>
        <v>0.7948717949</v>
      </c>
      <c r="N335" s="22">
        <f t="shared" si="6"/>
        <v>961</v>
      </c>
      <c r="O335" s="20"/>
      <c r="P335" s="22">
        <f t="shared" si="7"/>
        <v>34</v>
      </c>
      <c r="Q335" s="38">
        <f t="shared" si="8"/>
        <v>0.8717948718</v>
      </c>
      <c r="R335" s="22">
        <f t="shared" si="9"/>
        <v>1156</v>
      </c>
      <c r="S335" s="20"/>
      <c r="T335" s="22">
        <f t="shared" si="10"/>
        <v>35</v>
      </c>
      <c r="U335" s="38">
        <f t="shared" si="11"/>
        <v>0.8974358974</v>
      </c>
      <c r="V335" s="22">
        <f t="shared" si="12"/>
        <v>1225</v>
      </c>
    </row>
    <row r="336">
      <c r="A336" s="2">
        <v>41023.0</v>
      </c>
      <c r="B336" s="5">
        <v>0.0</v>
      </c>
      <c r="C336" s="22">
        <f t="shared" si="2"/>
        <v>15</v>
      </c>
      <c r="D336" s="22">
        <f t="shared" si="3"/>
        <v>5</v>
      </c>
      <c r="E336" s="22">
        <f t="shared" si="1"/>
        <v>25</v>
      </c>
      <c r="F336" s="20"/>
      <c r="G336" s="20"/>
      <c r="H336" s="20"/>
      <c r="I336" s="20"/>
      <c r="J336" s="20"/>
      <c r="K336" s="20"/>
      <c r="L336" s="22">
        <f t="shared" si="4"/>
        <v>-15</v>
      </c>
      <c r="M336" s="38">
        <f t="shared" si="5"/>
        <v>1</v>
      </c>
      <c r="N336" s="22">
        <f t="shared" si="6"/>
        <v>225</v>
      </c>
      <c r="O336" s="20"/>
      <c r="P336" s="22">
        <f t="shared" si="7"/>
        <v>-5</v>
      </c>
      <c r="Q336" s="38">
        <f t="shared" si="8"/>
        <v>1</v>
      </c>
      <c r="R336" s="22">
        <f t="shared" si="9"/>
        <v>25</v>
      </c>
      <c r="S336" s="20"/>
      <c r="T336" s="22">
        <f t="shared" si="10"/>
        <v>-25</v>
      </c>
      <c r="U336" s="38">
        <f t="shared" si="11"/>
        <v>1</v>
      </c>
      <c r="V336" s="22">
        <f t="shared" si="12"/>
        <v>625</v>
      </c>
    </row>
    <row r="337">
      <c r="A337" s="2">
        <v>41024.0</v>
      </c>
      <c r="B337" s="5">
        <v>0.0</v>
      </c>
      <c r="C337" s="22">
        <f t="shared" si="2"/>
        <v>15</v>
      </c>
      <c r="D337" s="22">
        <f t="shared" si="3"/>
        <v>5</v>
      </c>
      <c r="E337" s="22">
        <f t="shared" si="1"/>
        <v>10</v>
      </c>
      <c r="F337" s="20"/>
      <c r="G337" s="20"/>
      <c r="H337" s="20"/>
      <c r="I337" s="20"/>
      <c r="J337" s="20"/>
      <c r="K337" s="20"/>
      <c r="L337" s="22">
        <f t="shared" si="4"/>
        <v>-15</v>
      </c>
      <c r="M337" s="38">
        <f t="shared" si="5"/>
        <v>1</v>
      </c>
      <c r="N337" s="22">
        <f t="shared" si="6"/>
        <v>225</v>
      </c>
      <c r="O337" s="20"/>
      <c r="P337" s="22">
        <f t="shared" si="7"/>
        <v>-5</v>
      </c>
      <c r="Q337" s="38">
        <f t="shared" si="8"/>
        <v>1</v>
      </c>
      <c r="R337" s="22">
        <f t="shared" si="9"/>
        <v>25</v>
      </c>
      <c r="S337" s="20"/>
      <c r="T337" s="22">
        <f t="shared" si="10"/>
        <v>-10</v>
      </c>
      <c r="U337" s="38">
        <f t="shared" si="11"/>
        <v>1</v>
      </c>
      <c r="V337" s="22">
        <f t="shared" si="12"/>
        <v>100</v>
      </c>
    </row>
    <row r="338">
      <c r="A338" s="2">
        <v>41025.0</v>
      </c>
      <c r="B338" s="5">
        <v>0.0</v>
      </c>
      <c r="C338" s="22">
        <f t="shared" si="2"/>
        <v>8</v>
      </c>
      <c r="D338" s="22">
        <f t="shared" si="3"/>
        <v>5</v>
      </c>
      <c r="E338" s="22">
        <f t="shared" si="1"/>
        <v>4</v>
      </c>
      <c r="F338" s="20"/>
      <c r="G338" s="20"/>
      <c r="H338" s="20"/>
      <c r="I338" s="20"/>
      <c r="J338" s="20"/>
      <c r="K338" s="20"/>
      <c r="L338" s="22">
        <f t="shared" si="4"/>
        <v>-8</v>
      </c>
      <c r="M338" s="38">
        <f t="shared" si="5"/>
        <v>1</v>
      </c>
      <c r="N338" s="22">
        <f t="shared" si="6"/>
        <v>64</v>
      </c>
      <c r="O338" s="20"/>
      <c r="P338" s="22">
        <f t="shared" si="7"/>
        <v>-5</v>
      </c>
      <c r="Q338" s="38">
        <f t="shared" si="8"/>
        <v>1</v>
      </c>
      <c r="R338" s="22">
        <f t="shared" si="9"/>
        <v>25</v>
      </c>
      <c r="S338" s="20"/>
      <c r="T338" s="22">
        <f t="shared" si="10"/>
        <v>-4</v>
      </c>
      <c r="U338" s="38">
        <f t="shared" si="11"/>
        <v>1</v>
      </c>
      <c r="V338" s="22">
        <f t="shared" si="12"/>
        <v>16</v>
      </c>
    </row>
    <row r="339">
      <c r="A339" s="2">
        <v>41026.0</v>
      </c>
      <c r="B339" s="5">
        <v>0.0</v>
      </c>
      <c r="C339" s="22">
        <f t="shared" si="2"/>
        <v>8</v>
      </c>
      <c r="D339" s="22">
        <f t="shared" si="3"/>
        <v>5</v>
      </c>
      <c r="E339" s="22">
        <f t="shared" si="1"/>
        <v>2</v>
      </c>
      <c r="F339" s="20"/>
      <c r="G339" s="20"/>
      <c r="H339" s="20"/>
      <c r="I339" s="20"/>
      <c r="J339" s="20"/>
      <c r="K339" s="20"/>
      <c r="L339" s="22">
        <f t="shared" si="4"/>
        <v>-8</v>
      </c>
      <c r="M339" s="38">
        <f t="shared" si="5"/>
        <v>1</v>
      </c>
      <c r="N339" s="22">
        <f t="shared" si="6"/>
        <v>64</v>
      </c>
      <c r="O339" s="20"/>
      <c r="P339" s="22">
        <f t="shared" si="7"/>
        <v>-5</v>
      </c>
      <c r="Q339" s="38">
        <f t="shared" si="8"/>
        <v>1</v>
      </c>
      <c r="R339" s="22">
        <f t="shared" si="9"/>
        <v>25</v>
      </c>
      <c r="S339" s="20"/>
      <c r="T339" s="22">
        <f t="shared" si="10"/>
        <v>-2</v>
      </c>
      <c r="U339" s="38">
        <f t="shared" si="11"/>
        <v>1</v>
      </c>
      <c r="V339" s="22">
        <f t="shared" si="12"/>
        <v>4</v>
      </c>
    </row>
    <row r="340">
      <c r="A340" s="2">
        <v>41029.0</v>
      </c>
      <c r="B340" s="5">
        <v>0.0</v>
      </c>
      <c r="C340" s="22">
        <f t="shared" si="2"/>
        <v>8</v>
      </c>
      <c r="D340" s="22">
        <f t="shared" si="3"/>
        <v>5</v>
      </c>
      <c r="E340" s="22">
        <f t="shared" si="1"/>
        <v>1</v>
      </c>
      <c r="F340" s="20"/>
      <c r="G340" s="20"/>
      <c r="H340" s="20"/>
      <c r="I340" s="20"/>
      <c r="J340" s="20"/>
      <c r="K340" s="20"/>
      <c r="L340" s="22">
        <f t="shared" si="4"/>
        <v>-8</v>
      </c>
      <c r="M340" s="38">
        <f t="shared" si="5"/>
        <v>1</v>
      </c>
      <c r="N340" s="22">
        <f t="shared" si="6"/>
        <v>64</v>
      </c>
      <c r="O340" s="20"/>
      <c r="P340" s="22">
        <f t="shared" si="7"/>
        <v>-5</v>
      </c>
      <c r="Q340" s="38">
        <f t="shared" si="8"/>
        <v>1</v>
      </c>
      <c r="R340" s="22">
        <f t="shared" si="9"/>
        <v>25</v>
      </c>
      <c r="S340" s="20"/>
      <c r="T340" s="22">
        <f t="shared" si="10"/>
        <v>-1</v>
      </c>
      <c r="U340" s="38">
        <f t="shared" si="11"/>
        <v>1</v>
      </c>
      <c r="V340" s="22">
        <f t="shared" si="12"/>
        <v>1</v>
      </c>
    </row>
    <row r="341">
      <c r="A341" s="4">
        <v>41030.0</v>
      </c>
      <c r="B341" s="5">
        <v>1.0</v>
      </c>
      <c r="C341" s="22">
        <f t="shared" si="2"/>
        <v>0</v>
      </c>
      <c r="D341" s="22">
        <f t="shared" si="3"/>
        <v>5</v>
      </c>
      <c r="E341" s="22">
        <f t="shared" si="1"/>
        <v>0</v>
      </c>
      <c r="F341" s="20"/>
      <c r="G341" s="20"/>
      <c r="H341" s="20"/>
      <c r="I341" s="20"/>
      <c r="J341" s="20"/>
      <c r="K341" s="20"/>
      <c r="L341" s="22">
        <f t="shared" si="4"/>
        <v>1</v>
      </c>
      <c r="M341" s="38">
        <f t="shared" si="5"/>
        <v>1</v>
      </c>
      <c r="N341" s="22">
        <f t="shared" si="6"/>
        <v>1</v>
      </c>
      <c r="O341" s="20"/>
      <c r="P341" s="22">
        <f t="shared" si="7"/>
        <v>-4</v>
      </c>
      <c r="Q341" s="38">
        <f t="shared" si="8"/>
        <v>4</v>
      </c>
      <c r="R341" s="22">
        <f t="shared" si="9"/>
        <v>16</v>
      </c>
      <c r="S341" s="20"/>
      <c r="T341" s="22">
        <f t="shared" si="10"/>
        <v>1</v>
      </c>
      <c r="U341" s="38">
        <f t="shared" si="11"/>
        <v>1</v>
      </c>
      <c r="V341" s="22">
        <f t="shared" si="12"/>
        <v>1</v>
      </c>
    </row>
    <row r="342">
      <c r="A342" s="4">
        <v>41031.0</v>
      </c>
      <c r="B342" s="5">
        <v>37.0</v>
      </c>
      <c r="C342" s="22">
        <f t="shared" si="2"/>
        <v>0</v>
      </c>
      <c r="D342" s="22">
        <f t="shared" si="3"/>
        <v>5</v>
      </c>
      <c r="E342" s="22">
        <f t="shared" si="1"/>
        <v>1</v>
      </c>
      <c r="F342" s="20"/>
      <c r="G342" s="20"/>
      <c r="H342" s="20"/>
      <c r="I342" s="20"/>
      <c r="J342" s="20"/>
      <c r="K342" s="20"/>
      <c r="L342" s="22">
        <f t="shared" si="4"/>
        <v>37</v>
      </c>
      <c r="M342" s="38">
        <f t="shared" si="5"/>
        <v>1</v>
      </c>
      <c r="N342" s="22">
        <f t="shared" si="6"/>
        <v>1369</v>
      </c>
      <c r="O342" s="20"/>
      <c r="P342" s="22">
        <f t="shared" si="7"/>
        <v>32</v>
      </c>
      <c r="Q342" s="38">
        <f t="shared" si="8"/>
        <v>0.8648648649</v>
      </c>
      <c r="R342" s="22">
        <f t="shared" si="9"/>
        <v>1024</v>
      </c>
      <c r="S342" s="20"/>
      <c r="T342" s="22">
        <f t="shared" si="10"/>
        <v>36</v>
      </c>
      <c r="U342" s="38">
        <f t="shared" si="11"/>
        <v>0.972972973</v>
      </c>
      <c r="V342" s="22">
        <f t="shared" si="12"/>
        <v>1296</v>
      </c>
    </row>
    <row r="343">
      <c r="A343" s="4">
        <v>41032.0</v>
      </c>
      <c r="B343" s="5">
        <v>0.0</v>
      </c>
      <c r="C343" s="22">
        <f t="shared" si="2"/>
        <v>8</v>
      </c>
      <c r="D343" s="22">
        <f t="shared" si="3"/>
        <v>5</v>
      </c>
      <c r="E343" s="22">
        <f t="shared" si="1"/>
        <v>23</v>
      </c>
      <c r="F343" s="20"/>
      <c r="G343" s="20"/>
      <c r="H343" s="20"/>
      <c r="I343" s="20"/>
      <c r="J343" s="20"/>
      <c r="K343" s="20"/>
      <c r="L343" s="22">
        <f t="shared" si="4"/>
        <v>-8</v>
      </c>
      <c r="M343" s="38">
        <f t="shared" si="5"/>
        <v>1</v>
      </c>
      <c r="N343" s="22">
        <f t="shared" si="6"/>
        <v>64</v>
      </c>
      <c r="O343" s="20"/>
      <c r="P343" s="22">
        <f t="shared" si="7"/>
        <v>-5</v>
      </c>
      <c r="Q343" s="38">
        <f t="shared" si="8"/>
        <v>1</v>
      </c>
      <c r="R343" s="22">
        <f t="shared" si="9"/>
        <v>25</v>
      </c>
      <c r="S343" s="20"/>
      <c r="T343" s="22">
        <f t="shared" si="10"/>
        <v>-23</v>
      </c>
      <c r="U343" s="38">
        <f t="shared" si="11"/>
        <v>1</v>
      </c>
      <c r="V343" s="22">
        <f t="shared" si="12"/>
        <v>529</v>
      </c>
    </row>
    <row r="344">
      <c r="A344" s="4">
        <v>41033.0</v>
      </c>
      <c r="B344" s="5">
        <v>0.0</v>
      </c>
      <c r="C344" s="22">
        <f t="shared" si="2"/>
        <v>8</v>
      </c>
      <c r="D344" s="22">
        <f t="shared" si="3"/>
        <v>5</v>
      </c>
      <c r="E344" s="22">
        <f t="shared" si="1"/>
        <v>9</v>
      </c>
      <c r="F344" s="20"/>
      <c r="G344" s="20"/>
      <c r="H344" s="20"/>
      <c r="I344" s="20"/>
      <c r="J344" s="20"/>
      <c r="K344" s="20"/>
      <c r="L344" s="22">
        <f t="shared" si="4"/>
        <v>-8</v>
      </c>
      <c r="M344" s="38">
        <f t="shared" si="5"/>
        <v>1</v>
      </c>
      <c r="N344" s="22">
        <f t="shared" si="6"/>
        <v>64</v>
      </c>
      <c r="O344" s="20"/>
      <c r="P344" s="22">
        <f t="shared" si="7"/>
        <v>-5</v>
      </c>
      <c r="Q344" s="38">
        <f t="shared" si="8"/>
        <v>1</v>
      </c>
      <c r="R344" s="22">
        <f t="shared" si="9"/>
        <v>25</v>
      </c>
      <c r="S344" s="20"/>
      <c r="T344" s="22">
        <f t="shared" si="10"/>
        <v>-9</v>
      </c>
      <c r="U344" s="38">
        <f t="shared" si="11"/>
        <v>1</v>
      </c>
      <c r="V344" s="22">
        <f t="shared" si="12"/>
        <v>81</v>
      </c>
    </row>
    <row r="345">
      <c r="A345" s="4">
        <v>41036.0</v>
      </c>
      <c r="B345" s="5">
        <v>0.0</v>
      </c>
      <c r="C345" s="22">
        <f t="shared" si="2"/>
        <v>8</v>
      </c>
      <c r="D345" s="22">
        <f t="shared" si="3"/>
        <v>5</v>
      </c>
      <c r="E345" s="22">
        <f t="shared" si="1"/>
        <v>4</v>
      </c>
      <c r="F345" s="20"/>
      <c r="G345" s="20"/>
      <c r="H345" s="20"/>
      <c r="I345" s="20"/>
      <c r="J345" s="20"/>
      <c r="K345" s="20"/>
      <c r="L345" s="22">
        <f t="shared" si="4"/>
        <v>-8</v>
      </c>
      <c r="M345" s="38">
        <f t="shared" si="5"/>
        <v>1</v>
      </c>
      <c r="N345" s="22">
        <f t="shared" si="6"/>
        <v>64</v>
      </c>
      <c r="O345" s="20"/>
      <c r="P345" s="22">
        <f t="shared" si="7"/>
        <v>-5</v>
      </c>
      <c r="Q345" s="38">
        <f t="shared" si="8"/>
        <v>1</v>
      </c>
      <c r="R345" s="22">
        <f t="shared" si="9"/>
        <v>25</v>
      </c>
      <c r="S345" s="20"/>
      <c r="T345" s="22">
        <f t="shared" si="10"/>
        <v>-4</v>
      </c>
      <c r="U345" s="38">
        <f t="shared" si="11"/>
        <v>1</v>
      </c>
      <c r="V345" s="22">
        <f t="shared" si="12"/>
        <v>16</v>
      </c>
    </row>
    <row r="346">
      <c r="A346" s="4">
        <v>41037.0</v>
      </c>
      <c r="B346" s="5">
        <v>7.0</v>
      </c>
      <c r="C346" s="22">
        <f t="shared" si="2"/>
        <v>8</v>
      </c>
      <c r="D346" s="22">
        <f t="shared" si="3"/>
        <v>5</v>
      </c>
      <c r="E346" s="22">
        <f t="shared" si="1"/>
        <v>2</v>
      </c>
      <c r="F346" s="20"/>
      <c r="G346" s="20"/>
      <c r="H346" s="20"/>
      <c r="I346" s="20"/>
      <c r="J346" s="20"/>
      <c r="K346" s="20"/>
      <c r="L346" s="22">
        <f t="shared" si="4"/>
        <v>-1</v>
      </c>
      <c r="M346" s="38">
        <f t="shared" si="5"/>
        <v>0.1428571429</v>
      </c>
      <c r="N346" s="22">
        <f t="shared" si="6"/>
        <v>1</v>
      </c>
      <c r="O346" s="20"/>
      <c r="P346" s="22">
        <f t="shared" si="7"/>
        <v>2</v>
      </c>
      <c r="Q346" s="38">
        <f t="shared" si="8"/>
        <v>0.2857142857</v>
      </c>
      <c r="R346" s="22">
        <f t="shared" si="9"/>
        <v>4</v>
      </c>
      <c r="S346" s="20"/>
      <c r="T346" s="22">
        <f t="shared" si="10"/>
        <v>5</v>
      </c>
      <c r="U346" s="38">
        <f t="shared" si="11"/>
        <v>0.7142857143</v>
      </c>
      <c r="V346" s="22">
        <f t="shared" si="12"/>
        <v>25</v>
      </c>
    </row>
    <row r="347">
      <c r="A347" s="4">
        <v>41038.0</v>
      </c>
      <c r="B347" s="5">
        <v>39.0</v>
      </c>
      <c r="C347" s="22">
        <f t="shared" si="2"/>
        <v>9</v>
      </c>
      <c r="D347" s="22">
        <f t="shared" si="3"/>
        <v>5</v>
      </c>
      <c r="E347" s="22">
        <f t="shared" si="1"/>
        <v>5</v>
      </c>
      <c r="F347" s="20"/>
      <c r="G347" s="20"/>
      <c r="H347" s="20"/>
      <c r="I347" s="20"/>
      <c r="J347" s="20"/>
      <c r="K347" s="20"/>
      <c r="L347" s="22">
        <f t="shared" si="4"/>
        <v>30</v>
      </c>
      <c r="M347" s="38">
        <f t="shared" si="5"/>
        <v>0.7692307692</v>
      </c>
      <c r="N347" s="22">
        <f t="shared" si="6"/>
        <v>900</v>
      </c>
      <c r="O347" s="20"/>
      <c r="P347" s="22">
        <f t="shared" si="7"/>
        <v>34</v>
      </c>
      <c r="Q347" s="38">
        <f t="shared" si="8"/>
        <v>0.8717948718</v>
      </c>
      <c r="R347" s="22">
        <f t="shared" si="9"/>
        <v>1156</v>
      </c>
      <c r="S347" s="20"/>
      <c r="T347" s="22">
        <f t="shared" si="10"/>
        <v>34</v>
      </c>
      <c r="U347" s="38">
        <f t="shared" si="11"/>
        <v>0.8717948718</v>
      </c>
      <c r="V347" s="22">
        <f t="shared" si="12"/>
        <v>1156</v>
      </c>
    </row>
    <row r="348">
      <c r="A348" s="4">
        <v>41039.0</v>
      </c>
      <c r="B348" s="5">
        <v>0.0</v>
      </c>
      <c r="C348" s="22">
        <f t="shared" si="2"/>
        <v>9</v>
      </c>
      <c r="D348" s="22">
        <f t="shared" si="3"/>
        <v>5</v>
      </c>
      <c r="E348" s="22">
        <f t="shared" si="1"/>
        <v>25</v>
      </c>
      <c r="F348" s="20"/>
      <c r="G348" s="20"/>
      <c r="H348" s="20"/>
      <c r="I348" s="20"/>
      <c r="J348" s="20"/>
      <c r="K348" s="20"/>
      <c r="L348" s="22">
        <f t="shared" si="4"/>
        <v>-9</v>
      </c>
      <c r="M348" s="38">
        <f t="shared" si="5"/>
        <v>1</v>
      </c>
      <c r="N348" s="22">
        <f t="shared" si="6"/>
        <v>81</v>
      </c>
      <c r="O348" s="20"/>
      <c r="P348" s="22">
        <f t="shared" si="7"/>
        <v>-5</v>
      </c>
      <c r="Q348" s="38">
        <f t="shared" si="8"/>
        <v>1</v>
      </c>
      <c r="R348" s="22">
        <f t="shared" si="9"/>
        <v>25</v>
      </c>
      <c r="S348" s="20"/>
      <c r="T348" s="22">
        <f t="shared" si="10"/>
        <v>-25</v>
      </c>
      <c r="U348" s="38">
        <f t="shared" si="11"/>
        <v>1</v>
      </c>
      <c r="V348" s="22">
        <f t="shared" si="12"/>
        <v>625</v>
      </c>
    </row>
    <row r="349">
      <c r="A349" s="4">
        <v>41040.0</v>
      </c>
      <c r="B349" s="5">
        <v>0.0</v>
      </c>
      <c r="C349" s="22">
        <f t="shared" si="2"/>
        <v>9</v>
      </c>
      <c r="D349" s="22">
        <f t="shared" si="3"/>
        <v>5</v>
      </c>
      <c r="E349" s="22">
        <f t="shared" si="1"/>
        <v>10</v>
      </c>
      <c r="F349" s="20"/>
      <c r="G349" s="20"/>
      <c r="H349" s="20"/>
      <c r="I349" s="20"/>
      <c r="J349" s="20"/>
      <c r="K349" s="20"/>
      <c r="L349" s="22">
        <f t="shared" si="4"/>
        <v>-9</v>
      </c>
      <c r="M349" s="38">
        <f t="shared" si="5"/>
        <v>1</v>
      </c>
      <c r="N349" s="22">
        <f t="shared" si="6"/>
        <v>81</v>
      </c>
      <c r="O349" s="20"/>
      <c r="P349" s="22">
        <f t="shared" si="7"/>
        <v>-5</v>
      </c>
      <c r="Q349" s="38">
        <f t="shared" si="8"/>
        <v>1</v>
      </c>
      <c r="R349" s="22">
        <f t="shared" si="9"/>
        <v>25</v>
      </c>
      <c r="S349" s="20"/>
      <c r="T349" s="22">
        <f t="shared" si="10"/>
        <v>-10</v>
      </c>
      <c r="U349" s="38">
        <f t="shared" si="11"/>
        <v>1</v>
      </c>
      <c r="V349" s="22">
        <f t="shared" si="12"/>
        <v>100</v>
      </c>
    </row>
    <row r="350">
      <c r="A350" s="4">
        <v>41043.0</v>
      </c>
      <c r="B350" s="5">
        <v>0.0</v>
      </c>
      <c r="C350" s="22">
        <f t="shared" si="2"/>
        <v>9</v>
      </c>
      <c r="D350" s="22">
        <f t="shared" si="3"/>
        <v>5</v>
      </c>
      <c r="E350" s="22">
        <f t="shared" si="1"/>
        <v>4</v>
      </c>
      <c r="F350" s="20"/>
      <c r="G350" s="20"/>
      <c r="H350" s="20"/>
      <c r="I350" s="20"/>
      <c r="J350" s="20"/>
      <c r="K350" s="20"/>
      <c r="L350" s="22">
        <f t="shared" si="4"/>
        <v>-9</v>
      </c>
      <c r="M350" s="38">
        <f t="shared" si="5"/>
        <v>1</v>
      </c>
      <c r="N350" s="22">
        <f t="shared" si="6"/>
        <v>81</v>
      </c>
      <c r="O350" s="20"/>
      <c r="P350" s="22">
        <f t="shared" si="7"/>
        <v>-5</v>
      </c>
      <c r="Q350" s="38">
        <f t="shared" si="8"/>
        <v>1</v>
      </c>
      <c r="R350" s="22">
        <f t="shared" si="9"/>
        <v>25</v>
      </c>
      <c r="S350" s="20"/>
      <c r="T350" s="22">
        <f t="shared" si="10"/>
        <v>-4</v>
      </c>
      <c r="U350" s="38">
        <f t="shared" si="11"/>
        <v>1</v>
      </c>
      <c r="V350" s="22">
        <f t="shared" si="12"/>
        <v>16</v>
      </c>
    </row>
    <row r="351">
      <c r="A351" s="4">
        <v>41044.0</v>
      </c>
      <c r="B351" s="5">
        <v>3.0</v>
      </c>
      <c r="C351" s="22">
        <f t="shared" si="2"/>
        <v>9</v>
      </c>
      <c r="D351" s="22">
        <f t="shared" si="3"/>
        <v>5</v>
      </c>
      <c r="E351" s="22">
        <f t="shared" si="1"/>
        <v>2</v>
      </c>
      <c r="F351" s="20"/>
      <c r="G351" s="20"/>
      <c r="H351" s="20"/>
      <c r="I351" s="20"/>
      <c r="J351" s="20"/>
      <c r="K351" s="20"/>
      <c r="L351" s="22">
        <f t="shared" si="4"/>
        <v>-6</v>
      </c>
      <c r="M351" s="38">
        <f t="shared" si="5"/>
        <v>2</v>
      </c>
      <c r="N351" s="22">
        <f t="shared" si="6"/>
        <v>36</v>
      </c>
      <c r="O351" s="20"/>
      <c r="P351" s="22">
        <f t="shared" si="7"/>
        <v>-2</v>
      </c>
      <c r="Q351" s="38">
        <f t="shared" si="8"/>
        <v>0.6666666667</v>
      </c>
      <c r="R351" s="22">
        <f t="shared" si="9"/>
        <v>4</v>
      </c>
      <c r="S351" s="20"/>
      <c r="T351" s="22">
        <f t="shared" si="10"/>
        <v>1</v>
      </c>
      <c r="U351" s="38">
        <f t="shared" si="11"/>
        <v>0.3333333333</v>
      </c>
      <c r="V351" s="22">
        <f t="shared" si="12"/>
        <v>1</v>
      </c>
    </row>
    <row r="352">
      <c r="A352" s="4">
        <v>41045.0</v>
      </c>
      <c r="B352" s="5">
        <v>35.0</v>
      </c>
      <c r="C352" s="22">
        <f t="shared" si="2"/>
        <v>8</v>
      </c>
      <c r="D352" s="22">
        <f t="shared" si="3"/>
        <v>5</v>
      </c>
      <c r="E352" s="22">
        <f t="shared" si="1"/>
        <v>3</v>
      </c>
      <c r="F352" s="20"/>
      <c r="G352" s="20"/>
      <c r="H352" s="20"/>
      <c r="I352" s="20"/>
      <c r="J352" s="20"/>
      <c r="K352" s="20"/>
      <c r="L352" s="22">
        <f t="shared" si="4"/>
        <v>27</v>
      </c>
      <c r="M352" s="38">
        <f t="shared" si="5"/>
        <v>0.7714285714</v>
      </c>
      <c r="N352" s="22">
        <f t="shared" si="6"/>
        <v>729</v>
      </c>
      <c r="O352" s="20"/>
      <c r="P352" s="22">
        <f t="shared" si="7"/>
        <v>30</v>
      </c>
      <c r="Q352" s="38">
        <f t="shared" si="8"/>
        <v>0.8571428571</v>
      </c>
      <c r="R352" s="22">
        <f t="shared" si="9"/>
        <v>900</v>
      </c>
      <c r="S352" s="20"/>
      <c r="T352" s="22">
        <f t="shared" si="10"/>
        <v>32</v>
      </c>
      <c r="U352" s="38">
        <f t="shared" si="11"/>
        <v>0.9142857143</v>
      </c>
      <c r="V352" s="22">
        <f t="shared" si="12"/>
        <v>1024</v>
      </c>
    </row>
    <row r="353">
      <c r="A353" s="4">
        <v>41046.0</v>
      </c>
      <c r="B353" s="5">
        <v>0.0</v>
      </c>
      <c r="C353" s="22">
        <f t="shared" si="2"/>
        <v>8</v>
      </c>
      <c r="D353" s="22">
        <f t="shared" si="3"/>
        <v>5</v>
      </c>
      <c r="E353" s="22">
        <f t="shared" si="1"/>
        <v>22</v>
      </c>
      <c r="F353" s="20"/>
      <c r="G353" s="20"/>
      <c r="H353" s="20"/>
      <c r="I353" s="20"/>
      <c r="J353" s="20"/>
      <c r="K353" s="20"/>
      <c r="L353" s="22">
        <f t="shared" si="4"/>
        <v>-8</v>
      </c>
      <c r="M353" s="38">
        <f t="shared" si="5"/>
        <v>1</v>
      </c>
      <c r="N353" s="22">
        <f t="shared" si="6"/>
        <v>64</v>
      </c>
      <c r="O353" s="20"/>
      <c r="P353" s="22">
        <f t="shared" si="7"/>
        <v>-5</v>
      </c>
      <c r="Q353" s="38">
        <f t="shared" si="8"/>
        <v>1</v>
      </c>
      <c r="R353" s="22">
        <f t="shared" si="9"/>
        <v>25</v>
      </c>
      <c r="S353" s="20"/>
      <c r="T353" s="22">
        <f t="shared" si="10"/>
        <v>-22</v>
      </c>
      <c r="U353" s="38">
        <f t="shared" si="11"/>
        <v>1</v>
      </c>
      <c r="V353" s="22">
        <f t="shared" si="12"/>
        <v>484</v>
      </c>
    </row>
    <row r="354">
      <c r="A354" s="4">
        <v>41047.0</v>
      </c>
      <c r="B354" s="5">
        <v>0.0</v>
      </c>
      <c r="C354" s="22">
        <f t="shared" si="2"/>
        <v>8</v>
      </c>
      <c r="D354" s="22">
        <f t="shared" si="3"/>
        <v>5</v>
      </c>
      <c r="E354" s="22">
        <f t="shared" si="1"/>
        <v>9</v>
      </c>
      <c r="F354" s="20"/>
      <c r="G354" s="20"/>
      <c r="H354" s="20"/>
      <c r="I354" s="20"/>
      <c r="J354" s="20"/>
      <c r="K354" s="20"/>
      <c r="L354" s="22">
        <f t="shared" si="4"/>
        <v>-8</v>
      </c>
      <c r="M354" s="38">
        <f t="shared" si="5"/>
        <v>1</v>
      </c>
      <c r="N354" s="22">
        <f t="shared" si="6"/>
        <v>64</v>
      </c>
      <c r="O354" s="20"/>
      <c r="P354" s="22">
        <f t="shared" si="7"/>
        <v>-5</v>
      </c>
      <c r="Q354" s="38">
        <f t="shared" si="8"/>
        <v>1</v>
      </c>
      <c r="R354" s="22">
        <f t="shared" si="9"/>
        <v>25</v>
      </c>
      <c r="S354" s="20"/>
      <c r="T354" s="22">
        <f t="shared" si="10"/>
        <v>-9</v>
      </c>
      <c r="U354" s="38">
        <f t="shared" si="11"/>
        <v>1</v>
      </c>
      <c r="V354" s="22">
        <f t="shared" si="12"/>
        <v>81</v>
      </c>
    </row>
    <row r="355">
      <c r="A355" s="4">
        <v>41050.0</v>
      </c>
      <c r="B355" s="5">
        <v>0.0</v>
      </c>
      <c r="C355" s="22">
        <f t="shared" si="2"/>
        <v>8</v>
      </c>
      <c r="D355" s="22">
        <f t="shared" si="3"/>
        <v>5</v>
      </c>
      <c r="E355" s="22">
        <f t="shared" si="1"/>
        <v>4</v>
      </c>
      <c r="F355" s="20"/>
      <c r="G355" s="20"/>
      <c r="H355" s="20"/>
      <c r="I355" s="20"/>
      <c r="J355" s="20"/>
      <c r="K355" s="20"/>
      <c r="L355" s="22">
        <f t="shared" si="4"/>
        <v>-8</v>
      </c>
      <c r="M355" s="38">
        <f t="shared" si="5"/>
        <v>1</v>
      </c>
      <c r="N355" s="22">
        <f t="shared" si="6"/>
        <v>64</v>
      </c>
      <c r="O355" s="20"/>
      <c r="P355" s="22">
        <f t="shared" si="7"/>
        <v>-5</v>
      </c>
      <c r="Q355" s="38">
        <f t="shared" si="8"/>
        <v>1</v>
      </c>
      <c r="R355" s="22">
        <f t="shared" si="9"/>
        <v>25</v>
      </c>
      <c r="S355" s="20"/>
      <c r="T355" s="22">
        <f t="shared" si="10"/>
        <v>-4</v>
      </c>
      <c r="U355" s="38">
        <f t="shared" si="11"/>
        <v>1</v>
      </c>
      <c r="V355" s="22">
        <f t="shared" si="12"/>
        <v>16</v>
      </c>
    </row>
    <row r="356">
      <c r="A356" s="4">
        <v>41051.0</v>
      </c>
      <c r="B356" s="5">
        <v>3.0</v>
      </c>
      <c r="C356" s="22">
        <f t="shared" si="2"/>
        <v>8</v>
      </c>
      <c r="D356" s="22">
        <f t="shared" si="3"/>
        <v>5</v>
      </c>
      <c r="E356" s="22">
        <f t="shared" si="1"/>
        <v>2</v>
      </c>
      <c r="F356" s="20"/>
      <c r="G356" s="20"/>
      <c r="H356" s="20"/>
      <c r="I356" s="20"/>
      <c r="J356" s="20"/>
      <c r="K356" s="20"/>
      <c r="L356" s="22">
        <f t="shared" si="4"/>
        <v>-5</v>
      </c>
      <c r="M356" s="38">
        <f t="shared" si="5"/>
        <v>1.666666667</v>
      </c>
      <c r="N356" s="22">
        <f t="shared" si="6"/>
        <v>25</v>
      </c>
      <c r="O356" s="20"/>
      <c r="P356" s="22">
        <f t="shared" si="7"/>
        <v>-2</v>
      </c>
      <c r="Q356" s="38">
        <f t="shared" si="8"/>
        <v>0.6666666667</v>
      </c>
      <c r="R356" s="22">
        <f t="shared" si="9"/>
        <v>4</v>
      </c>
      <c r="S356" s="20"/>
      <c r="T356" s="22">
        <f t="shared" si="10"/>
        <v>1</v>
      </c>
      <c r="U356" s="38">
        <f t="shared" si="11"/>
        <v>0.3333333333</v>
      </c>
      <c r="V356" s="22">
        <f t="shared" si="12"/>
        <v>1</v>
      </c>
    </row>
    <row r="357">
      <c r="A357" s="4">
        <v>41052.0</v>
      </c>
      <c r="B357" s="5">
        <v>36.0</v>
      </c>
      <c r="C357" s="22">
        <f t="shared" si="2"/>
        <v>8</v>
      </c>
      <c r="D357" s="22">
        <f t="shared" si="3"/>
        <v>5</v>
      </c>
      <c r="E357" s="22">
        <f t="shared" si="1"/>
        <v>3</v>
      </c>
      <c r="F357" s="20"/>
      <c r="G357" s="20"/>
      <c r="H357" s="20"/>
      <c r="I357" s="20"/>
      <c r="J357" s="20"/>
      <c r="K357" s="20"/>
      <c r="L357" s="22">
        <f t="shared" si="4"/>
        <v>28</v>
      </c>
      <c r="M357" s="38">
        <f t="shared" si="5"/>
        <v>0.7777777778</v>
      </c>
      <c r="N357" s="22">
        <f t="shared" si="6"/>
        <v>784</v>
      </c>
      <c r="O357" s="20"/>
      <c r="P357" s="22">
        <f t="shared" si="7"/>
        <v>31</v>
      </c>
      <c r="Q357" s="38">
        <f t="shared" si="8"/>
        <v>0.8611111111</v>
      </c>
      <c r="R357" s="22">
        <f t="shared" si="9"/>
        <v>961</v>
      </c>
      <c r="S357" s="20"/>
      <c r="T357" s="22">
        <f t="shared" si="10"/>
        <v>33</v>
      </c>
      <c r="U357" s="38">
        <f t="shared" si="11"/>
        <v>0.9166666667</v>
      </c>
      <c r="V357" s="22">
        <f t="shared" si="12"/>
        <v>1089</v>
      </c>
    </row>
    <row r="358">
      <c r="A358" s="4">
        <v>41053.0</v>
      </c>
      <c r="B358" s="5">
        <v>0.0</v>
      </c>
      <c r="C358" s="22">
        <f t="shared" si="2"/>
        <v>8</v>
      </c>
      <c r="D358" s="22">
        <f t="shared" si="3"/>
        <v>5</v>
      </c>
      <c r="E358" s="22">
        <f t="shared" si="1"/>
        <v>23</v>
      </c>
      <c r="F358" s="20"/>
      <c r="G358" s="20"/>
      <c r="H358" s="20"/>
      <c r="I358" s="20"/>
      <c r="J358" s="20"/>
      <c r="K358" s="20"/>
      <c r="L358" s="22">
        <f t="shared" si="4"/>
        <v>-8</v>
      </c>
      <c r="M358" s="38">
        <f t="shared" si="5"/>
        <v>1</v>
      </c>
      <c r="N358" s="22">
        <f t="shared" si="6"/>
        <v>64</v>
      </c>
      <c r="O358" s="20"/>
      <c r="P358" s="22">
        <f t="shared" si="7"/>
        <v>-5</v>
      </c>
      <c r="Q358" s="38">
        <f t="shared" si="8"/>
        <v>1</v>
      </c>
      <c r="R358" s="22">
        <f t="shared" si="9"/>
        <v>25</v>
      </c>
      <c r="S358" s="20"/>
      <c r="T358" s="22">
        <f t="shared" si="10"/>
        <v>-23</v>
      </c>
      <c r="U358" s="38">
        <f t="shared" si="11"/>
        <v>1</v>
      </c>
      <c r="V358" s="22">
        <f t="shared" si="12"/>
        <v>529</v>
      </c>
    </row>
    <row r="359">
      <c r="A359" s="4">
        <v>41054.0</v>
      </c>
      <c r="B359" s="5">
        <v>0.0</v>
      </c>
      <c r="C359" s="22">
        <f t="shared" si="2"/>
        <v>8</v>
      </c>
      <c r="D359" s="22">
        <f t="shared" si="3"/>
        <v>5</v>
      </c>
      <c r="E359" s="22">
        <f t="shared" si="1"/>
        <v>9</v>
      </c>
      <c r="F359" s="20"/>
      <c r="G359" s="20"/>
      <c r="H359" s="20"/>
      <c r="I359" s="20"/>
      <c r="J359" s="20"/>
      <c r="K359" s="20"/>
      <c r="L359" s="22">
        <f t="shared" si="4"/>
        <v>-8</v>
      </c>
      <c r="M359" s="38">
        <f t="shared" si="5"/>
        <v>1</v>
      </c>
      <c r="N359" s="22">
        <f t="shared" si="6"/>
        <v>64</v>
      </c>
      <c r="O359" s="20"/>
      <c r="P359" s="22">
        <f t="shared" si="7"/>
        <v>-5</v>
      </c>
      <c r="Q359" s="38">
        <f t="shared" si="8"/>
        <v>1</v>
      </c>
      <c r="R359" s="22">
        <f t="shared" si="9"/>
        <v>25</v>
      </c>
      <c r="S359" s="20"/>
      <c r="T359" s="22">
        <f t="shared" si="10"/>
        <v>-9</v>
      </c>
      <c r="U359" s="38">
        <f t="shared" si="11"/>
        <v>1</v>
      </c>
      <c r="V359" s="22">
        <f t="shared" si="12"/>
        <v>81</v>
      </c>
    </row>
    <row r="360">
      <c r="A360" s="4">
        <v>41058.0</v>
      </c>
      <c r="B360" s="5">
        <v>0.0</v>
      </c>
      <c r="C360" s="22">
        <f t="shared" si="2"/>
        <v>8</v>
      </c>
      <c r="D360" s="22">
        <f t="shared" si="3"/>
        <v>5</v>
      </c>
      <c r="E360" s="22">
        <f t="shared" si="1"/>
        <v>4</v>
      </c>
      <c r="F360" s="20"/>
      <c r="G360" s="20"/>
      <c r="H360" s="20"/>
      <c r="I360" s="20"/>
      <c r="J360" s="20"/>
      <c r="K360" s="20"/>
      <c r="L360" s="22">
        <f t="shared" si="4"/>
        <v>-8</v>
      </c>
      <c r="M360" s="38">
        <f t="shared" si="5"/>
        <v>1</v>
      </c>
      <c r="N360" s="22">
        <f t="shared" si="6"/>
        <v>64</v>
      </c>
      <c r="O360" s="20"/>
      <c r="P360" s="22">
        <f t="shared" si="7"/>
        <v>-5</v>
      </c>
      <c r="Q360" s="38">
        <f t="shared" si="8"/>
        <v>1</v>
      </c>
      <c r="R360" s="22">
        <f t="shared" si="9"/>
        <v>25</v>
      </c>
      <c r="S360" s="20"/>
      <c r="T360" s="22">
        <f t="shared" si="10"/>
        <v>-4</v>
      </c>
      <c r="U360" s="38">
        <f t="shared" si="11"/>
        <v>1</v>
      </c>
      <c r="V360" s="22">
        <f t="shared" si="12"/>
        <v>16</v>
      </c>
    </row>
    <row r="361">
      <c r="A361" s="4">
        <v>41059.0</v>
      </c>
      <c r="B361" s="5">
        <v>41.0</v>
      </c>
      <c r="C361" s="22">
        <f t="shared" si="2"/>
        <v>8</v>
      </c>
      <c r="D361" s="22">
        <f t="shared" si="3"/>
        <v>5</v>
      </c>
      <c r="E361" s="22">
        <f t="shared" si="1"/>
        <v>2</v>
      </c>
      <c r="F361" s="20"/>
      <c r="G361" s="20"/>
      <c r="H361" s="20"/>
      <c r="I361" s="20"/>
      <c r="J361" s="20"/>
      <c r="K361" s="20"/>
      <c r="L361" s="22">
        <f t="shared" si="4"/>
        <v>33</v>
      </c>
      <c r="M361" s="38">
        <f t="shared" si="5"/>
        <v>0.8048780488</v>
      </c>
      <c r="N361" s="22">
        <f t="shared" si="6"/>
        <v>1089</v>
      </c>
      <c r="O361" s="20"/>
      <c r="P361" s="22">
        <f t="shared" si="7"/>
        <v>36</v>
      </c>
      <c r="Q361" s="38">
        <f t="shared" si="8"/>
        <v>0.8780487805</v>
      </c>
      <c r="R361" s="22">
        <f t="shared" si="9"/>
        <v>1296</v>
      </c>
      <c r="S361" s="20"/>
      <c r="T361" s="22">
        <f t="shared" si="10"/>
        <v>39</v>
      </c>
      <c r="U361" s="38">
        <f t="shared" si="11"/>
        <v>0.9512195122</v>
      </c>
      <c r="V361" s="22">
        <f t="shared" si="12"/>
        <v>1521</v>
      </c>
    </row>
    <row r="362">
      <c r="A362" s="4">
        <v>41060.0</v>
      </c>
      <c r="B362" s="5">
        <v>0.0</v>
      </c>
      <c r="C362" s="22">
        <f t="shared" si="2"/>
        <v>15</v>
      </c>
      <c r="D362" s="22">
        <f t="shared" si="3"/>
        <v>5</v>
      </c>
      <c r="E362" s="22">
        <f t="shared" si="1"/>
        <v>25</v>
      </c>
      <c r="F362" s="20"/>
      <c r="G362" s="20"/>
      <c r="H362" s="20"/>
      <c r="I362" s="20"/>
      <c r="J362" s="20"/>
      <c r="K362" s="20"/>
      <c r="L362" s="22">
        <f t="shared" si="4"/>
        <v>-15</v>
      </c>
      <c r="M362" s="38">
        <f t="shared" si="5"/>
        <v>1</v>
      </c>
      <c r="N362" s="22">
        <f t="shared" si="6"/>
        <v>225</v>
      </c>
      <c r="O362" s="20"/>
      <c r="P362" s="22">
        <f t="shared" si="7"/>
        <v>-5</v>
      </c>
      <c r="Q362" s="38">
        <f t="shared" si="8"/>
        <v>1</v>
      </c>
      <c r="R362" s="22">
        <f t="shared" si="9"/>
        <v>25</v>
      </c>
      <c r="S362" s="20"/>
      <c r="T362" s="22">
        <f t="shared" si="10"/>
        <v>-25</v>
      </c>
      <c r="U362" s="38">
        <f t="shared" si="11"/>
        <v>1</v>
      </c>
      <c r="V362" s="22">
        <f t="shared" si="12"/>
        <v>625</v>
      </c>
    </row>
    <row r="363">
      <c r="A363" s="2">
        <v>41061.0</v>
      </c>
      <c r="B363" s="5">
        <v>0.0</v>
      </c>
      <c r="C363" s="22">
        <f t="shared" si="2"/>
        <v>8</v>
      </c>
      <c r="D363" s="22">
        <f t="shared" si="3"/>
        <v>5</v>
      </c>
      <c r="E363" s="22">
        <f t="shared" si="1"/>
        <v>10</v>
      </c>
      <c r="F363" s="20"/>
      <c r="G363" s="20"/>
      <c r="H363" s="20"/>
      <c r="I363" s="20"/>
      <c r="J363" s="20"/>
      <c r="K363" s="20"/>
      <c r="L363" s="22">
        <f t="shared" si="4"/>
        <v>-8</v>
      </c>
      <c r="M363" s="38">
        <f t="shared" si="5"/>
        <v>1</v>
      </c>
      <c r="N363" s="22">
        <f t="shared" si="6"/>
        <v>64</v>
      </c>
      <c r="O363" s="20"/>
      <c r="P363" s="22">
        <f t="shared" si="7"/>
        <v>-5</v>
      </c>
      <c r="Q363" s="38">
        <f t="shared" si="8"/>
        <v>1</v>
      </c>
      <c r="R363" s="22">
        <f t="shared" si="9"/>
        <v>25</v>
      </c>
      <c r="S363" s="20"/>
      <c r="T363" s="22">
        <f t="shared" si="10"/>
        <v>-10</v>
      </c>
      <c r="U363" s="38">
        <f t="shared" si="11"/>
        <v>1</v>
      </c>
      <c r="V363" s="22">
        <f t="shared" si="12"/>
        <v>100</v>
      </c>
    </row>
    <row r="364">
      <c r="A364" s="2">
        <v>41064.0</v>
      </c>
      <c r="B364" s="5">
        <v>0.0</v>
      </c>
      <c r="C364" s="22">
        <f t="shared" si="2"/>
        <v>8</v>
      </c>
      <c r="D364" s="22">
        <f t="shared" si="3"/>
        <v>5</v>
      </c>
      <c r="E364" s="22">
        <f t="shared" si="1"/>
        <v>4</v>
      </c>
      <c r="F364" s="20"/>
      <c r="G364" s="20"/>
      <c r="H364" s="20"/>
      <c r="I364" s="20"/>
      <c r="J364" s="20"/>
      <c r="K364" s="20"/>
      <c r="L364" s="22">
        <f t="shared" si="4"/>
        <v>-8</v>
      </c>
      <c r="M364" s="38">
        <f t="shared" si="5"/>
        <v>1</v>
      </c>
      <c r="N364" s="22">
        <f t="shared" si="6"/>
        <v>64</v>
      </c>
      <c r="O364" s="20"/>
      <c r="P364" s="22">
        <f t="shared" si="7"/>
        <v>-5</v>
      </c>
      <c r="Q364" s="38">
        <f t="shared" si="8"/>
        <v>1</v>
      </c>
      <c r="R364" s="22">
        <f t="shared" si="9"/>
        <v>25</v>
      </c>
      <c r="S364" s="20"/>
      <c r="T364" s="22">
        <f t="shared" si="10"/>
        <v>-4</v>
      </c>
      <c r="U364" s="38">
        <f t="shared" si="11"/>
        <v>1</v>
      </c>
      <c r="V364" s="22">
        <f t="shared" si="12"/>
        <v>16</v>
      </c>
    </row>
    <row r="365">
      <c r="A365" s="2">
        <v>41065.0</v>
      </c>
      <c r="B365" s="5">
        <v>3.0</v>
      </c>
      <c r="C365" s="22">
        <f t="shared" si="2"/>
        <v>8</v>
      </c>
      <c r="D365" s="22">
        <f t="shared" si="3"/>
        <v>5</v>
      </c>
      <c r="E365" s="22">
        <f t="shared" si="1"/>
        <v>2</v>
      </c>
      <c r="F365" s="20"/>
      <c r="G365" s="20"/>
      <c r="H365" s="20"/>
      <c r="I365" s="20"/>
      <c r="J365" s="20"/>
      <c r="K365" s="20"/>
      <c r="L365" s="22">
        <f t="shared" si="4"/>
        <v>-5</v>
      </c>
      <c r="M365" s="38">
        <f t="shared" si="5"/>
        <v>1.666666667</v>
      </c>
      <c r="N365" s="22">
        <f t="shared" si="6"/>
        <v>25</v>
      </c>
      <c r="O365" s="20"/>
      <c r="P365" s="22">
        <f t="shared" si="7"/>
        <v>-2</v>
      </c>
      <c r="Q365" s="38">
        <f t="shared" si="8"/>
        <v>0.6666666667</v>
      </c>
      <c r="R365" s="22">
        <f t="shared" si="9"/>
        <v>4</v>
      </c>
      <c r="S365" s="20"/>
      <c r="T365" s="22">
        <f t="shared" si="10"/>
        <v>1</v>
      </c>
      <c r="U365" s="38">
        <f t="shared" si="11"/>
        <v>0.3333333333</v>
      </c>
      <c r="V365" s="22">
        <f t="shared" si="12"/>
        <v>1</v>
      </c>
    </row>
    <row r="366">
      <c r="A366" s="2">
        <v>41066.0</v>
      </c>
      <c r="B366" s="5">
        <v>38.0</v>
      </c>
      <c r="C366" s="22">
        <f t="shared" si="2"/>
        <v>9</v>
      </c>
      <c r="D366" s="22">
        <f t="shared" si="3"/>
        <v>5</v>
      </c>
      <c r="E366" s="22">
        <f t="shared" si="1"/>
        <v>3</v>
      </c>
      <c r="F366" s="20"/>
      <c r="G366" s="20"/>
      <c r="H366" s="20"/>
      <c r="I366" s="20"/>
      <c r="J366" s="20"/>
      <c r="K366" s="20"/>
      <c r="L366" s="22">
        <f t="shared" si="4"/>
        <v>29</v>
      </c>
      <c r="M366" s="38">
        <f t="shared" si="5"/>
        <v>0.7631578947</v>
      </c>
      <c r="N366" s="22">
        <f t="shared" si="6"/>
        <v>841</v>
      </c>
      <c r="O366" s="20"/>
      <c r="P366" s="22">
        <f t="shared" si="7"/>
        <v>33</v>
      </c>
      <c r="Q366" s="38">
        <f t="shared" si="8"/>
        <v>0.8684210526</v>
      </c>
      <c r="R366" s="22">
        <f t="shared" si="9"/>
        <v>1089</v>
      </c>
      <c r="S366" s="20"/>
      <c r="T366" s="22">
        <f t="shared" si="10"/>
        <v>35</v>
      </c>
      <c r="U366" s="38">
        <f t="shared" si="11"/>
        <v>0.9210526316</v>
      </c>
      <c r="V366" s="22">
        <f t="shared" si="12"/>
        <v>1225</v>
      </c>
    </row>
    <row r="367">
      <c r="A367" s="2">
        <v>41067.0</v>
      </c>
      <c r="B367" s="5">
        <v>0.0</v>
      </c>
      <c r="C367" s="22">
        <f t="shared" si="2"/>
        <v>8</v>
      </c>
      <c r="D367" s="22">
        <f t="shared" si="3"/>
        <v>5</v>
      </c>
      <c r="E367" s="22">
        <f t="shared" si="1"/>
        <v>24</v>
      </c>
      <c r="F367" s="20"/>
      <c r="G367" s="20"/>
      <c r="H367" s="20"/>
      <c r="I367" s="20"/>
      <c r="J367" s="20"/>
      <c r="K367" s="20"/>
      <c r="L367" s="22">
        <f t="shared" si="4"/>
        <v>-8</v>
      </c>
      <c r="M367" s="38">
        <f t="shared" si="5"/>
        <v>1</v>
      </c>
      <c r="N367" s="22">
        <f t="shared" si="6"/>
        <v>64</v>
      </c>
      <c r="O367" s="20"/>
      <c r="P367" s="22">
        <f t="shared" si="7"/>
        <v>-5</v>
      </c>
      <c r="Q367" s="38">
        <f t="shared" si="8"/>
        <v>1</v>
      </c>
      <c r="R367" s="22">
        <f t="shared" si="9"/>
        <v>25</v>
      </c>
      <c r="S367" s="20"/>
      <c r="T367" s="22">
        <f t="shared" si="10"/>
        <v>-24</v>
      </c>
      <c r="U367" s="38">
        <f t="shared" si="11"/>
        <v>1</v>
      </c>
      <c r="V367" s="22">
        <f t="shared" si="12"/>
        <v>576</v>
      </c>
    </row>
    <row r="368">
      <c r="A368" s="2">
        <v>41068.0</v>
      </c>
      <c r="B368" s="5">
        <v>0.0</v>
      </c>
      <c r="C368" s="22">
        <f t="shared" si="2"/>
        <v>8</v>
      </c>
      <c r="D368" s="22">
        <f t="shared" si="3"/>
        <v>5</v>
      </c>
      <c r="E368" s="22">
        <f t="shared" si="1"/>
        <v>10</v>
      </c>
      <c r="F368" s="20"/>
      <c r="G368" s="20"/>
      <c r="H368" s="20"/>
      <c r="I368" s="20"/>
      <c r="J368" s="20"/>
      <c r="K368" s="20"/>
      <c r="L368" s="22">
        <f t="shared" si="4"/>
        <v>-8</v>
      </c>
      <c r="M368" s="38">
        <f t="shared" si="5"/>
        <v>1</v>
      </c>
      <c r="N368" s="22">
        <f t="shared" si="6"/>
        <v>64</v>
      </c>
      <c r="O368" s="20"/>
      <c r="P368" s="22">
        <f t="shared" si="7"/>
        <v>-5</v>
      </c>
      <c r="Q368" s="38">
        <f t="shared" si="8"/>
        <v>1</v>
      </c>
      <c r="R368" s="22">
        <f t="shared" si="9"/>
        <v>25</v>
      </c>
      <c r="S368" s="20"/>
      <c r="T368" s="22">
        <f t="shared" si="10"/>
        <v>-10</v>
      </c>
      <c r="U368" s="38">
        <f t="shared" si="11"/>
        <v>1</v>
      </c>
      <c r="V368" s="22">
        <f t="shared" si="12"/>
        <v>100</v>
      </c>
    </row>
    <row r="369">
      <c r="A369" s="2">
        <v>41071.0</v>
      </c>
      <c r="B369" s="5">
        <v>0.0</v>
      </c>
      <c r="C369" s="22">
        <f t="shared" si="2"/>
        <v>8</v>
      </c>
      <c r="D369" s="22">
        <f t="shared" si="3"/>
        <v>5</v>
      </c>
      <c r="E369" s="22">
        <f t="shared" si="1"/>
        <v>4</v>
      </c>
      <c r="F369" s="20"/>
      <c r="G369" s="20"/>
      <c r="H369" s="20"/>
      <c r="I369" s="20"/>
      <c r="J369" s="20"/>
      <c r="K369" s="20"/>
      <c r="L369" s="22">
        <f t="shared" si="4"/>
        <v>-8</v>
      </c>
      <c r="M369" s="38">
        <f t="shared" si="5"/>
        <v>1</v>
      </c>
      <c r="N369" s="22">
        <f t="shared" si="6"/>
        <v>64</v>
      </c>
      <c r="O369" s="20"/>
      <c r="P369" s="22">
        <f t="shared" si="7"/>
        <v>-5</v>
      </c>
      <c r="Q369" s="38">
        <f t="shared" si="8"/>
        <v>1</v>
      </c>
      <c r="R369" s="22">
        <f t="shared" si="9"/>
        <v>25</v>
      </c>
      <c r="S369" s="20"/>
      <c r="T369" s="22">
        <f t="shared" si="10"/>
        <v>-4</v>
      </c>
      <c r="U369" s="38">
        <f t="shared" si="11"/>
        <v>1</v>
      </c>
      <c r="V369" s="22">
        <f t="shared" si="12"/>
        <v>16</v>
      </c>
    </row>
    <row r="370">
      <c r="A370" s="2">
        <v>41072.0</v>
      </c>
      <c r="B370" s="5">
        <v>0.0</v>
      </c>
      <c r="C370" s="22">
        <f t="shared" si="2"/>
        <v>8</v>
      </c>
      <c r="D370" s="22">
        <f t="shared" si="3"/>
        <v>5</v>
      </c>
      <c r="E370" s="22">
        <f t="shared" si="1"/>
        <v>2</v>
      </c>
      <c r="F370" s="20"/>
      <c r="G370" s="20"/>
      <c r="H370" s="20"/>
      <c r="I370" s="20"/>
      <c r="J370" s="20"/>
      <c r="K370" s="20"/>
      <c r="L370" s="22">
        <f t="shared" si="4"/>
        <v>-8</v>
      </c>
      <c r="M370" s="38">
        <f t="shared" si="5"/>
        <v>1</v>
      </c>
      <c r="N370" s="22">
        <f t="shared" si="6"/>
        <v>64</v>
      </c>
      <c r="O370" s="20"/>
      <c r="P370" s="22">
        <f t="shared" si="7"/>
        <v>-5</v>
      </c>
      <c r="Q370" s="38">
        <f t="shared" si="8"/>
        <v>1</v>
      </c>
      <c r="R370" s="22">
        <f t="shared" si="9"/>
        <v>25</v>
      </c>
      <c r="S370" s="20"/>
      <c r="T370" s="22">
        <f t="shared" si="10"/>
        <v>-2</v>
      </c>
      <c r="U370" s="38">
        <f t="shared" si="11"/>
        <v>1</v>
      </c>
      <c r="V370" s="22">
        <f t="shared" si="12"/>
        <v>4</v>
      </c>
    </row>
    <row r="371">
      <c r="A371" s="2">
        <v>41073.0</v>
      </c>
      <c r="B371" s="5">
        <v>43.0</v>
      </c>
      <c r="C371" s="22">
        <f t="shared" si="2"/>
        <v>8</v>
      </c>
      <c r="D371" s="22">
        <f t="shared" si="3"/>
        <v>5</v>
      </c>
      <c r="E371" s="22">
        <f t="shared" si="1"/>
        <v>1</v>
      </c>
      <c r="F371" s="20"/>
      <c r="G371" s="20"/>
      <c r="H371" s="20"/>
      <c r="I371" s="20"/>
      <c r="J371" s="20"/>
      <c r="K371" s="20"/>
      <c r="L371" s="22">
        <f t="shared" si="4"/>
        <v>35</v>
      </c>
      <c r="M371" s="38">
        <f t="shared" si="5"/>
        <v>0.8139534884</v>
      </c>
      <c r="N371" s="22">
        <f t="shared" si="6"/>
        <v>1225</v>
      </c>
      <c r="O371" s="20"/>
      <c r="P371" s="22">
        <f t="shared" si="7"/>
        <v>38</v>
      </c>
      <c r="Q371" s="38">
        <f t="shared" si="8"/>
        <v>0.8837209302</v>
      </c>
      <c r="R371" s="22">
        <f t="shared" si="9"/>
        <v>1444</v>
      </c>
      <c r="S371" s="20"/>
      <c r="T371" s="22">
        <f t="shared" si="10"/>
        <v>42</v>
      </c>
      <c r="U371" s="38">
        <f t="shared" si="11"/>
        <v>0.976744186</v>
      </c>
      <c r="V371" s="22">
        <f t="shared" si="12"/>
        <v>1764</v>
      </c>
    </row>
    <row r="372">
      <c r="A372" s="2">
        <v>41074.0</v>
      </c>
      <c r="B372" s="5">
        <v>0.0</v>
      </c>
      <c r="C372" s="22">
        <f t="shared" si="2"/>
        <v>9</v>
      </c>
      <c r="D372" s="22">
        <f t="shared" si="3"/>
        <v>5</v>
      </c>
      <c r="E372" s="22">
        <f t="shared" si="1"/>
        <v>26</v>
      </c>
      <c r="F372" s="20"/>
      <c r="G372" s="20"/>
      <c r="H372" s="20"/>
      <c r="I372" s="20"/>
      <c r="J372" s="20"/>
      <c r="K372" s="20"/>
      <c r="L372" s="22">
        <f t="shared" si="4"/>
        <v>-9</v>
      </c>
      <c r="M372" s="38">
        <f t="shared" si="5"/>
        <v>1</v>
      </c>
      <c r="N372" s="22">
        <f t="shared" si="6"/>
        <v>81</v>
      </c>
      <c r="O372" s="20"/>
      <c r="P372" s="22">
        <f t="shared" si="7"/>
        <v>-5</v>
      </c>
      <c r="Q372" s="38">
        <f t="shared" si="8"/>
        <v>1</v>
      </c>
      <c r="R372" s="22">
        <f t="shared" si="9"/>
        <v>25</v>
      </c>
      <c r="S372" s="20"/>
      <c r="T372" s="22">
        <f t="shared" si="10"/>
        <v>-26</v>
      </c>
      <c r="U372" s="38">
        <f t="shared" si="11"/>
        <v>1</v>
      </c>
      <c r="V372" s="22">
        <f t="shared" si="12"/>
        <v>676</v>
      </c>
    </row>
    <row r="373">
      <c r="A373" s="2">
        <v>41075.0</v>
      </c>
      <c r="B373" s="5">
        <v>0.0</v>
      </c>
      <c r="C373" s="22">
        <f t="shared" si="2"/>
        <v>9</v>
      </c>
      <c r="D373" s="22">
        <f t="shared" si="3"/>
        <v>5</v>
      </c>
      <c r="E373" s="22">
        <f t="shared" si="1"/>
        <v>10</v>
      </c>
      <c r="F373" s="20"/>
      <c r="G373" s="20"/>
      <c r="H373" s="20"/>
      <c r="I373" s="20"/>
      <c r="J373" s="20"/>
      <c r="K373" s="20"/>
      <c r="L373" s="22">
        <f t="shared" si="4"/>
        <v>-9</v>
      </c>
      <c r="M373" s="38">
        <f t="shared" si="5"/>
        <v>1</v>
      </c>
      <c r="N373" s="22">
        <f t="shared" si="6"/>
        <v>81</v>
      </c>
      <c r="O373" s="20"/>
      <c r="P373" s="22">
        <f t="shared" si="7"/>
        <v>-5</v>
      </c>
      <c r="Q373" s="38">
        <f t="shared" si="8"/>
        <v>1</v>
      </c>
      <c r="R373" s="22">
        <f t="shared" si="9"/>
        <v>25</v>
      </c>
      <c r="S373" s="20"/>
      <c r="T373" s="22">
        <f t="shared" si="10"/>
        <v>-10</v>
      </c>
      <c r="U373" s="38">
        <f t="shared" si="11"/>
        <v>1</v>
      </c>
      <c r="V373" s="22">
        <f t="shared" si="12"/>
        <v>100</v>
      </c>
    </row>
    <row r="374">
      <c r="A374" s="2">
        <v>41078.0</v>
      </c>
      <c r="B374" s="5">
        <v>0.0</v>
      </c>
      <c r="C374" s="22">
        <f t="shared" si="2"/>
        <v>9</v>
      </c>
      <c r="D374" s="22">
        <f t="shared" si="3"/>
        <v>5</v>
      </c>
      <c r="E374" s="22">
        <f t="shared" si="1"/>
        <v>4</v>
      </c>
      <c r="F374" s="20"/>
      <c r="G374" s="20"/>
      <c r="H374" s="20"/>
      <c r="I374" s="20"/>
      <c r="J374" s="20"/>
      <c r="K374" s="20"/>
      <c r="L374" s="22">
        <f t="shared" si="4"/>
        <v>-9</v>
      </c>
      <c r="M374" s="38">
        <f t="shared" si="5"/>
        <v>1</v>
      </c>
      <c r="N374" s="22">
        <f t="shared" si="6"/>
        <v>81</v>
      </c>
      <c r="O374" s="20"/>
      <c r="P374" s="22">
        <f t="shared" si="7"/>
        <v>-5</v>
      </c>
      <c r="Q374" s="38">
        <f t="shared" si="8"/>
        <v>1</v>
      </c>
      <c r="R374" s="22">
        <f t="shared" si="9"/>
        <v>25</v>
      </c>
      <c r="S374" s="20"/>
      <c r="T374" s="22">
        <f t="shared" si="10"/>
        <v>-4</v>
      </c>
      <c r="U374" s="38">
        <f t="shared" si="11"/>
        <v>1</v>
      </c>
      <c r="V374" s="22">
        <f t="shared" si="12"/>
        <v>16</v>
      </c>
    </row>
    <row r="375">
      <c r="A375" s="2">
        <v>41079.0</v>
      </c>
      <c r="B375" s="5">
        <v>0.0</v>
      </c>
      <c r="C375" s="22">
        <f t="shared" si="2"/>
        <v>9</v>
      </c>
      <c r="D375" s="22">
        <f t="shared" si="3"/>
        <v>5</v>
      </c>
      <c r="E375" s="22">
        <f t="shared" si="1"/>
        <v>2</v>
      </c>
      <c r="F375" s="20"/>
      <c r="G375" s="20"/>
      <c r="H375" s="20"/>
      <c r="I375" s="20"/>
      <c r="J375" s="20"/>
      <c r="K375" s="20"/>
      <c r="L375" s="22">
        <f t="shared" si="4"/>
        <v>-9</v>
      </c>
      <c r="M375" s="38">
        <f t="shared" si="5"/>
        <v>1</v>
      </c>
      <c r="N375" s="22">
        <f t="shared" si="6"/>
        <v>81</v>
      </c>
      <c r="O375" s="20"/>
      <c r="P375" s="22">
        <f t="shared" si="7"/>
        <v>-5</v>
      </c>
      <c r="Q375" s="38">
        <f t="shared" si="8"/>
        <v>1</v>
      </c>
      <c r="R375" s="22">
        <f t="shared" si="9"/>
        <v>25</v>
      </c>
      <c r="S375" s="20"/>
      <c r="T375" s="22">
        <f t="shared" si="10"/>
        <v>-2</v>
      </c>
      <c r="U375" s="38">
        <f t="shared" si="11"/>
        <v>1</v>
      </c>
      <c r="V375" s="22">
        <f t="shared" si="12"/>
        <v>4</v>
      </c>
    </row>
    <row r="376">
      <c r="A376" s="2">
        <v>41080.0</v>
      </c>
      <c r="B376" s="5">
        <v>42.0</v>
      </c>
      <c r="C376" s="22">
        <f t="shared" si="2"/>
        <v>9</v>
      </c>
      <c r="D376" s="22">
        <f t="shared" si="3"/>
        <v>5</v>
      </c>
      <c r="E376" s="22">
        <f t="shared" si="1"/>
        <v>1</v>
      </c>
      <c r="F376" s="20"/>
      <c r="G376" s="20"/>
      <c r="H376" s="20"/>
      <c r="I376" s="20"/>
      <c r="J376" s="20"/>
      <c r="K376" s="20"/>
      <c r="L376" s="22">
        <f t="shared" si="4"/>
        <v>33</v>
      </c>
      <c r="M376" s="38">
        <f t="shared" si="5"/>
        <v>0.7857142857</v>
      </c>
      <c r="N376" s="22">
        <f t="shared" si="6"/>
        <v>1089</v>
      </c>
      <c r="O376" s="20"/>
      <c r="P376" s="22">
        <f t="shared" si="7"/>
        <v>37</v>
      </c>
      <c r="Q376" s="38">
        <f t="shared" si="8"/>
        <v>0.880952381</v>
      </c>
      <c r="R376" s="22">
        <f t="shared" si="9"/>
        <v>1369</v>
      </c>
      <c r="S376" s="20"/>
      <c r="T376" s="22">
        <f t="shared" si="10"/>
        <v>41</v>
      </c>
      <c r="U376" s="38">
        <f t="shared" si="11"/>
        <v>0.9761904762</v>
      </c>
      <c r="V376" s="22">
        <f t="shared" si="12"/>
        <v>1681</v>
      </c>
    </row>
    <row r="377">
      <c r="A377" s="2">
        <v>41081.0</v>
      </c>
      <c r="B377" s="5">
        <v>0.0</v>
      </c>
      <c r="C377" s="22">
        <f t="shared" si="2"/>
        <v>8</v>
      </c>
      <c r="D377" s="22">
        <f t="shared" si="3"/>
        <v>5</v>
      </c>
      <c r="E377" s="22">
        <f t="shared" si="1"/>
        <v>26</v>
      </c>
      <c r="F377" s="20"/>
      <c r="G377" s="20"/>
      <c r="H377" s="20"/>
      <c r="I377" s="20"/>
      <c r="J377" s="20"/>
      <c r="K377" s="20"/>
      <c r="L377" s="22">
        <f t="shared" si="4"/>
        <v>-8</v>
      </c>
      <c r="M377" s="38">
        <f t="shared" si="5"/>
        <v>1</v>
      </c>
      <c r="N377" s="22">
        <f t="shared" si="6"/>
        <v>64</v>
      </c>
      <c r="O377" s="20"/>
      <c r="P377" s="22">
        <f t="shared" si="7"/>
        <v>-5</v>
      </c>
      <c r="Q377" s="38">
        <f t="shared" si="8"/>
        <v>1</v>
      </c>
      <c r="R377" s="22">
        <f t="shared" si="9"/>
        <v>25</v>
      </c>
      <c r="S377" s="20"/>
      <c r="T377" s="22">
        <f t="shared" si="10"/>
        <v>-26</v>
      </c>
      <c r="U377" s="38">
        <f t="shared" si="11"/>
        <v>1</v>
      </c>
      <c r="V377" s="22">
        <f t="shared" si="12"/>
        <v>676</v>
      </c>
    </row>
    <row r="378">
      <c r="A378" s="2">
        <v>41082.0</v>
      </c>
      <c r="B378" s="5">
        <v>0.0</v>
      </c>
      <c r="C378" s="22">
        <f t="shared" si="2"/>
        <v>8</v>
      </c>
      <c r="D378" s="22">
        <f t="shared" si="3"/>
        <v>5</v>
      </c>
      <c r="E378" s="22">
        <f t="shared" si="1"/>
        <v>10</v>
      </c>
      <c r="F378" s="20"/>
      <c r="G378" s="20"/>
      <c r="H378" s="20"/>
      <c r="I378" s="20"/>
      <c r="J378" s="20"/>
      <c r="K378" s="20"/>
      <c r="L378" s="22">
        <f t="shared" si="4"/>
        <v>-8</v>
      </c>
      <c r="M378" s="38">
        <f t="shared" si="5"/>
        <v>1</v>
      </c>
      <c r="N378" s="22">
        <f t="shared" si="6"/>
        <v>64</v>
      </c>
      <c r="O378" s="20"/>
      <c r="P378" s="22">
        <f t="shared" si="7"/>
        <v>-5</v>
      </c>
      <c r="Q378" s="38">
        <f t="shared" si="8"/>
        <v>1</v>
      </c>
      <c r="R378" s="22">
        <f t="shared" si="9"/>
        <v>25</v>
      </c>
      <c r="S378" s="20"/>
      <c r="T378" s="22">
        <f t="shared" si="10"/>
        <v>-10</v>
      </c>
      <c r="U378" s="38">
        <f t="shared" si="11"/>
        <v>1</v>
      </c>
      <c r="V378" s="22">
        <f t="shared" si="12"/>
        <v>100</v>
      </c>
    </row>
    <row r="379">
      <c r="A379" s="2">
        <v>41085.0</v>
      </c>
      <c r="B379" s="5">
        <v>0.0</v>
      </c>
      <c r="C379" s="22">
        <f t="shared" si="2"/>
        <v>8</v>
      </c>
      <c r="D379" s="22">
        <f t="shared" si="3"/>
        <v>5</v>
      </c>
      <c r="E379" s="22">
        <f t="shared" si="1"/>
        <v>4</v>
      </c>
      <c r="F379" s="20"/>
      <c r="G379" s="20"/>
      <c r="H379" s="20"/>
      <c r="I379" s="20"/>
      <c r="J379" s="20"/>
      <c r="K379" s="20"/>
      <c r="L379" s="22">
        <f t="shared" si="4"/>
        <v>-8</v>
      </c>
      <c r="M379" s="38">
        <f t="shared" si="5"/>
        <v>1</v>
      </c>
      <c r="N379" s="22">
        <f t="shared" si="6"/>
        <v>64</v>
      </c>
      <c r="O379" s="20"/>
      <c r="P379" s="22">
        <f t="shared" si="7"/>
        <v>-5</v>
      </c>
      <c r="Q379" s="38">
        <f t="shared" si="8"/>
        <v>1</v>
      </c>
      <c r="R379" s="22">
        <f t="shared" si="9"/>
        <v>25</v>
      </c>
      <c r="S379" s="20"/>
      <c r="T379" s="22">
        <f t="shared" si="10"/>
        <v>-4</v>
      </c>
      <c r="U379" s="38">
        <f t="shared" si="11"/>
        <v>1</v>
      </c>
      <c r="V379" s="22">
        <f t="shared" si="12"/>
        <v>16</v>
      </c>
    </row>
    <row r="380">
      <c r="A380" s="2">
        <v>41086.0</v>
      </c>
      <c r="B380" s="5">
        <v>0.0</v>
      </c>
      <c r="C380" s="22">
        <f t="shared" si="2"/>
        <v>8</v>
      </c>
      <c r="D380" s="22">
        <f t="shared" si="3"/>
        <v>5</v>
      </c>
      <c r="E380" s="22">
        <f t="shared" si="1"/>
        <v>2</v>
      </c>
      <c r="F380" s="20"/>
      <c r="G380" s="20"/>
      <c r="H380" s="20"/>
      <c r="I380" s="20"/>
      <c r="J380" s="20"/>
      <c r="K380" s="20"/>
      <c r="L380" s="22">
        <f t="shared" si="4"/>
        <v>-8</v>
      </c>
      <c r="M380" s="38">
        <f t="shared" si="5"/>
        <v>1</v>
      </c>
      <c r="N380" s="22">
        <f t="shared" si="6"/>
        <v>64</v>
      </c>
      <c r="O380" s="20"/>
      <c r="P380" s="22">
        <f t="shared" si="7"/>
        <v>-5</v>
      </c>
      <c r="Q380" s="38">
        <f t="shared" si="8"/>
        <v>1</v>
      </c>
      <c r="R380" s="22">
        <f t="shared" si="9"/>
        <v>25</v>
      </c>
      <c r="S380" s="20"/>
      <c r="T380" s="22">
        <f t="shared" si="10"/>
        <v>-2</v>
      </c>
      <c r="U380" s="38">
        <f t="shared" si="11"/>
        <v>1</v>
      </c>
      <c r="V380" s="22">
        <f t="shared" si="12"/>
        <v>4</v>
      </c>
    </row>
    <row r="381">
      <c r="A381" s="2">
        <v>41087.0</v>
      </c>
      <c r="B381" s="5">
        <v>42.0</v>
      </c>
      <c r="C381" s="22">
        <f t="shared" si="2"/>
        <v>8</v>
      </c>
      <c r="D381" s="22">
        <f t="shared" si="3"/>
        <v>5</v>
      </c>
      <c r="E381" s="22">
        <f t="shared" si="1"/>
        <v>1</v>
      </c>
      <c r="F381" s="20"/>
      <c r="G381" s="20"/>
      <c r="H381" s="20"/>
      <c r="I381" s="20"/>
      <c r="J381" s="20"/>
      <c r="K381" s="20"/>
      <c r="L381" s="22">
        <f t="shared" si="4"/>
        <v>34</v>
      </c>
      <c r="M381" s="38">
        <f t="shared" si="5"/>
        <v>0.8095238095</v>
      </c>
      <c r="N381" s="22">
        <f t="shared" si="6"/>
        <v>1156</v>
      </c>
      <c r="O381" s="20"/>
      <c r="P381" s="22">
        <f t="shared" si="7"/>
        <v>37</v>
      </c>
      <c r="Q381" s="38">
        <f t="shared" si="8"/>
        <v>0.880952381</v>
      </c>
      <c r="R381" s="22">
        <f t="shared" si="9"/>
        <v>1369</v>
      </c>
      <c r="S381" s="20"/>
      <c r="T381" s="22">
        <f t="shared" si="10"/>
        <v>41</v>
      </c>
      <c r="U381" s="38">
        <f t="shared" si="11"/>
        <v>0.9761904762</v>
      </c>
      <c r="V381" s="22">
        <f t="shared" si="12"/>
        <v>1681</v>
      </c>
    </row>
    <row r="382">
      <c r="A382" s="2">
        <v>41088.0</v>
      </c>
      <c r="B382" s="5">
        <v>0.0</v>
      </c>
      <c r="C382" s="22">
        <f t="shared" si="2"/>
        <v>8</v>
      </c>
      <c r="D382" s="22">
        <f t="shared" si="3"/>
        <v>5</v>
      </c>
      <c r="E382" s="22">
        <f t="shared" si="1"/>
        <v>26</v>
      </c>
      <c r="F382" s="20"/>
      <c r="G382" s="20"/>
      <c r="H382" s="20"/>
      <c r="I382" s="20"/>
      <c r="J382" s="20"/>
      <c r="K382" s="20"/>
      <c r="L382" s="22">
        <f t="shared" si="4"/>
        <v>-8</v>
      </c>
      <c r="M382" s="38">
        <f t="shared" si="5"/>
        <v>1</v>
      </c>
      <c r="N382" s="22">
        <f t="shared" si="6"/>
        <v>64</v>
      </c>
      <c r="O382" s="20"/>
      <c r="P382" s="22">
        <f t="shared" si="7"/>
        <v>-5</v>
      </c>
      <c r="Q382" s="38">
        <f t="shared" si="8"/>
        <v>1</v>
      </c>
      <c r="R382" s="22">
        <f t="shared" si="9"/>
        <v>25</v>
      </c>
      <c r="S382" s="20"/>
      <c r="T382" s="22">
        <f t="shared" si="10"/>
        <v>-26</v>
      </c>
      <c r="U382" s="38">
        <f t="shared" si="11"/>
        <v>1</v>
      </c>
      <c r="V382" s="22">
        <f t="shared" si="12"/>
        <v>676</v>
      </c>
    </row>
    <row r="383">
      <c r="A383" s="2">
        <v>41089.0</v>
      </c>
      <c r="B383" s="5">
        <v>0.0</v>
      </c>
      <c r="C383" s="22">
        <f t="shared" si="2"/>
        <v>8</v>
      </c>
      <c r="D383" s="22">
        <f t="shared" si="3"/>
        <v>5</v>
      </c>
      <c r="E383" s="22">
        <f t="shared" si="1"/>
        <v>10</v>
      </c>
      <c r="F383" s="20"/>
      <c r="G383" s="20"/>
      <c r="H383" s="20"/>
      <c r="I383" s="20"/>
      <c r="J383" s="20"/>
      <c r="K383" s="20"/>
      <c r="L383" s="22">
        <f t="shared" si="4"/>
        <v>-8</v>
      </c>
      <c r="M383" s="38">
        <f t="shared" si="5"/>
        <v>1</v>
      </c>
      <c r="N383" s="22">
        <f t="shared" si="6"/>
        <v>64</v>
      </c>
      <c r="O383" s="20"/>
      <c r="P383" s="22">
        <f t="shared" si="7"/>
        <v>-5</v>
      </c>
      <c r="Q383" s="38">
        <f t="shared" si="8"/>
        <v>1</v>
      </c>
      <c r="R383" s="22">
        <f t="shared" si="9"/>
        <v>25</v>
      </c>
      <c r="S383" s="20"/>
      <c r="T383" s="22">
        <f t="shared" si="10"/>
        <v>-10</v>
      </c>
      <c r="U383" s="38">
        <f t="shared" si="11"/>
        <v>1</v>
      </c>
      <c r="V383" s="22">
        <f t="shared" si="12"/>
        <v>100</v>
      </c>
    </row>
    <row r="384">
      <c r="A384" s="2">
        <v>41092.0</v>
      </c>
      <c r="B384" s="5">
        <v>8.0</v>
      </c>
      <c r="C384" s="22">
        <f t="shared" si="2"/>
        <v>8</v>
      </c>
      <c r="D384" s="22">
        <f t="shared" si="3"/>
        <v>5</v>
      </c>
      <c r="E384" s="22">
        <f t="shared" si="1"/>
        <v>4</v>
      </c>
      <c r="F384" s="20"/>
      <c r="G384" s="20"/>
      <c r="H384" s="20"/>
      <c r="I384" s="20"/>
      <c r="J384" s="20"/>
      <c r="K384" s="20"/>
      <c r="L384" s="22">
        <f t="shared" si="4"/>
        <v>0</v>
      </c>
      <c r="M384" s="38">
        <f t="shared" si="5"/>
        <v>0</v>
      </c>
      <c r="N384" s="22">
        <f t="shared" si="6"/>
        <v>0</v>
      </c>
      <c r="O384" s="20"/>
      <c r="P384" s="22">
        <f t="shared" si="7"/>
        <v>3</v>
      </c>
      <c r="Q384" s="38">
        <f t="shared" si="8"/>
        <v>0.375</v>
      </c>
      <c r="R384" s="22">
        <f t="shared" si="9"/>
        <v>9</v>
      </c>
      <c r="S384" s="20"/>
      <c r="T384" s="22">
        <f t="shared" si="10"/>
        <v>4</v>
      </c>
      <c r="U384" s="38">
        <f t="shared" si="11"/>
        <v>0.5</v>
      </c>
      <c r="V384" s="22">
        <f t="shared" si="12"/>
        <v>16</v>
      </c>
    </row>
    <row r="385">
      <c r="A385" s="2">
        <v>41093.0</v>
      </c>
      <c r="B385" s="5">
        <v>33.0</v>
      </c>
      <c r="C385" s="22">
        <f t="shared" si="2"/>
        <v>10</v>
      </c>
      <c r="D385" s="22">
        <f t="shared" si="3"/>
        <v>5</v>
      </c>
      <c r="E385" s="22">
        <f t="shared" si="1"/>
        <v>6</v>
      </c>
      <c r="F385" s="20"/>
      <c r="G385" s="20"/>
      <c r="H385" s="20"/>
      <c r="I385" s="20"/>
      <c r="J385" s="20"/>
      <c r="K385" s="20"/>
      <c r="L385" s="22">
        <f t="shared" si="4"/>
        <v>23</v>
      </c>
      <c r="M385" s="38">
        <f t="shared" si="5"/>
        <v>0.696969697</v>
      </c>
      <c r="N385" s="22">
        <f t="shared" si="6"/>
        <v>529</v>
      </c>
      <c r="O385" s="20"/>
      <c r="P385" s="22">
        <f t="shared" si="7"/>
        <v>28</v>
      </c>
      <c r="Q385" s="38">
        <f t="shared" si="8"/>
        <v>0.8484848485</v>
      </c>
      <c r="R385" s="22">
        <f t="shared" si="9"/>
        <v>784</v>
      </c>
      <c r="S385" s="20"/>
      <c r="T385" s="22">
        <f t="shared" si="10"/>
        <v>27</v>
      </c>
      <c r="U385" s="38">
        <f t="shared" si="11"/>
        <v>0.8181818182</v>
      </c>
      <c r="V385" s="22">
        <f t="shared" si="12"/>
        <v>729</v>
      </c>
    </row>
    <row r="386">
      <c r="A386" s="2">
        <v>41095.0</v>
      </c>
      <c r="B386" s="5">
        <v>0.0</v>
      </c>
      <c r="C386" s="22">
        <f t="shared" si="2"/>
        <v>17</v>
      </c>
      <c r="D386" s="22">
        <f t="shared" si="3"/>
        <v>5</v>
      </c>
      <c r="E386" s="22">
        <f t="shared" si="1"/>
        <v>22</v>
      </c>
      <c r="F386" s="20"/>
      <c r="G386" s="20"/>
      <c r="H386" s="20"/>
      <c r="I386" s="20"/>
      <c r="J386" s="20"/>
      <c r="K386" s="20"/>
      <c r="L386" s="22">
        <f t="shared" si="4"/>
        <v>-17</v>
      </c>
      <c r="M386" s="38">
        <f t="shared" si="5"/>
        <v>1</v>
      </c>
      <c r="N386" s="22">
        <f t="shared" si="6"/>
        <v>289</v>
      </c>
      <c r="O386" s="20"/>
      <c r="P386" s="22">
        <f t="shared" si="7"/>
        <v>-5</v>
      </c>
      <c r="Q386" s="38">
        <f t="shared" si="8"/>
        <v>1</v>
      </c>
      <c r="R386" s="22">
        <f t="shared" si="9"/>
        <v>25</v>
      </c>
      <c r="S386" s="20"/>
      <c r="T386" s="22">
        <f t="shared" si="10"/>
        <v>-22</v>
      </c>
      <c r="U386" s="38">
        <f t="shared" si="11"/>
        <v>1</v>
      </c>
      <c r="V386" s="22">
        <f t="shared" si="12"/>
        <v>484</v>
      </c>
    </row>
    <row r="387">
      <c r="A387" s="2">
        <v>41096.0</v>
      </c>
      <c r="B387" s="5">
        <v>0.0</v>
      </c>
      <c r="C387" s="22">
        <f t="shared" si="2"/>
        <v>8</v>
      </c>
      <c r="D387" s="22">
        <f t="shared" si="3"/>
        <v>5</v>
      </c>
      <c r="E387" s="22">
        <f t="shared" si="1"/>
        <v>9</v>
      </c>
      <c r="F387" s="20"/>
      <c r="G387" s="20"/>
      <c r="H387" s="20"/>
      <c r="I387" s="20"/>
      <c r="J387" s="20"/>
      <c r="K387" s="20"/>
      <c r="L387" s="22">
        <f t="shared" si="4"/>
        <v>-8</v>
      </c>
      <c r="M387" s="38">
        <f t="shared" si="5"/>
        <v>1</v>
      </c>
      <c r="N387" s="22">
        <f t="shared" si="6"/>
        <v>64</v>
      </c>
      <c r="O387" s="20"/>
      <c r="P387" s="22">
        <f t="shared" si="7"/>
        <v>-5</v>
      </c>
      <c r="Q387" s="38">
        <f t="shared" si="8"/>
        <v>1</v>
      </c>
      <c r="R387" s="22">
        <f t="shared" si="9"/>
        <v>25</v>
      </c>
      <c r="S387" s="20"/>
      <c r="T387" s="22">
        <f t="shared" si="10"/>
        <v>-9</v>
      </c>
      <c r="U387" s="38">
        <f t="shared" si="11"/>
        <v>1</v>
      </c>
      <c r="V387" s="22">
        <f t="shared" si="12"/>
        <v>81</v>
      </c>
    </row>
    <row r="388">
      <c r="A388" s="2">
        <v>41099.0</v>
      </c>
      <c r="B388" s="5">
        <v>0.0</v>
      </c>
      <c r="C388" s="22">
        <f t="shared" si="2"/>
        <v>8</v>
      </c>
      <c r="D388" s="22">
        <f t="shared" si="3"/>
        <v>5</v>
      </c>
      <c r="E388" s="22">
        <f t="shared" si="1"/>
        <v>4</v>
      </c>
      <c r="F388" s="20"/>
      <c r="G388" s="20"/>
      <c r="H388" s="20"/>
      <c r="I388" s="20"/>
      <c r="J388" s="20"/>
      <c r="K388" s="20"/>
      <c r="L388" s="22">
        <f t="shared" si="4"/>
        <v>-8</v>
      </c>
      <c r="M388" s="38">
        <f t="shared" si="5"/>
        <v>1</v>
      </c>
      <c r="N388" s="22">
        <f t="shared" si="6"/>
        <v>64</v>
      </c>
      <c r="O388" s="20"/>
      <c r="P388" s="22">
        <f t="shared" si="7"/>
        <v>-5</v>
      </c>
      <c r="Q388" s="38">
        <f t="shared" si="8"/>
        <v>1</v>
      </c>
      <c r="R388" s="22">
        <f t="shared" si="9"/>
        <v>25</v>
      </c>
      <c r="S388" s="20"/>
      <c r="T388" s="22">
        <f t="shared" si="10"/>
        <v>-4</v>
      </c>
      <c r="U388" s="38">
        <f t="shared" si="11"/>
        <v>1</v>
      </c>
      <c r="V388" s="22">
        <f t="shared" si="12"/>
        <v>16</v>
      </c>
    </row>
    <row r="389">
      <c r="A389" s="2">
        <v>41100.0</v>
      </c>
      <c r="B389" s="5">
        <v>0.0</v>
      </c>
      <c r="C389" s="22">
        <f t="shared" si="2"/>
        <v>8</v>
      </c>
      <c r="D389" s="22">
        <f t="shared" si="3"/>
        <v>5</v>
      </c>
      <c r="E389" s="22">
        <f t="shared" si="1"/>
        <v>2</v>
      </c>
      <c r="F389" s="20"/>
      <c r="G389" s="20"/>
      <c r="H389" s="20"/>
      <c r="I389" s="20"/>
      <c r="J389" s="20"/>
      <c r="K389" s="20"/>
      <c r="L389" s="22">
        <f t="shared" si="4"/>
        <v>-8</v>
      </c>
      <c r="M389" s="38">
        <f t="shared" si="5"/>
        <v>1</v>
      </c>
      <c r="N389" s="22">
        <f t="shared" si="6"/>
        <v>64</v>
      </c>
      <c r="O389" s="20"/>
      <c r="P389" s="22">
        <f t="shared" si="7"/>
        <v>-5</v>
      </c>
      <c r="Q389" s="38">
        <f t="shared" si="8"/>
        <v>1</v>
      </c>
      <c r="R389" s="22">
        <f t="shared" si="9"/>
        <v>25</v>
      </c>
      <c r="S389" s="20"/>
      <c r="T389" s="22">
        <f t="shared" si="10"/>
        <v>-2</v>
      </c>
      <c r="U389" s="38">
        <f t="shared" si="11"/>
        <v>1</v>
      </c>
      <c r="V389" s="22">
        <f t="shared" si="12"/>
        <v>4</v>
      </c>
    </row>
    <row r="390">
      <c r="A390" s="2">
        <v>41101.0</v>
      </c>
      <c r="B390" s="5">
        <v>40.0</v>
      </c>
      <c r="C390" s="22">
        <f t="shared" si="2"/>
        <v>7</v>
      </c>
      <c r="D390" s="22">
        <f t="shared" si="3"/>
        <v>5</v>
      </c>
      <c r="E390" s="22">
        <f t="shared" si="1"/>
        <v>1</v>
      </c>
      <c r="F390" s="20"/>
      <c r="G390" s="20"/>
      <c r="H390" s="20"/>
      <c r="I390" s="20"/>
      <c r="J390" s="20"/>
      <c r="K390" s="20"/>
      <c r="L390" s="22">
        <f t="shared" si="4"/>
        <v>33</v>
      </c>
      <c r="M390" s="38">
        <f t="shared" si="5"/>
        <v>0.825</v>
      </c>
      <c r="N390" s="22">
        <f t="shared" si="6"/>
        <v>1089</v>
      </c>
      <c r="O390" s="20"/>
      <c r="P390" s="22">
        <f t="shared" si="7"/>
        <v>35</v>
      </c>
      <c r="Q390" s="38">
        <f t="shared" si="8"/>
        <v>0.875</v>
      </c>
      <c r="R390" s="22">
        <f t="shared" si="9"/>
        <v>1225</v>
      </c>
      <c r="S390" s="20"/>
      <c r="T390" s="22">
        <f t="shared" si="10"/>
        <v>39</v>
      </c>
      <c r="U390" s="38">
        <f t="shared" si="11"/>
        <v>0.975</v>
      </c>
      <c r="V390" s="22">
        <f t="shared" si="12"/>
        <v>1521</v>
      </c>
    </row>
    <row r="391">
      <c r="A391" s="2">
        <v>41102.0</v>
      </c>
      <c r="B391" s="5">
        <v>0.0</v>
      </c>
      <c r="C391" s="22">
        <f t="shared" si="2"/>
        <v>8</v>
      </c>
      <c r="D391" s="22">
        <f t="shared" si="3"/>
        <v>5</v>
      </c>
      <c r="E391" s="22">
        <f t="shared" si="1"/>
        <v>24</v>
      </c>
      <c r="F391" s="20"/>
      <c r="G391" s="20"/>
      <c r="H391" s="20"/>
      <c r="I391" s="20"/>
      <c r="J391" s="20"/>
      <c r="K391" s="20"/>
      <c r="L391" s="22">
        <f t="shared" si="4"/>
        <v>-8</v>
      </c>
      <c r="M391" s="38">
        <f t="shared" si="5"/>
        <v>1</v>
      </c>
      <c r="N391" s="22">
        <f t="shared" si="6"/>
        <v>64</v>
      </c>
      <c r="O391" s="20"/>
      <c r="P391" s="22">
        <f t="shared" si="7"/>
        <v>-5</v>
      </c>
      <c r="Q391" s="38">
        <f t="shared" si="8"/>
        <v>1</v>
      </c>
      <c r="R391" s="22">
        <f t="shared" si="9"/>
        <v>25</v>
      </c>
      <c r="S391" s="20"/>
      <c r="T391" s="22">
        <f t="shared" si="10"/>
        <v>-24</v>
      </c>
      <c r="U391" s="38">
        <f t="shared" si="11"/>
        <v>1</v>
      </c>
      <c r="V391" s="22">
        <f t="shared" si="12"/>
        <v>576</v>
      </c>
    </row>
    <row r="392">
      <c r="A392" s="2">
        <v>41103.0</v>
      </c>
      <c r="B392" s="5">
        <v>0.0</v>
      </c>
      <c r="C392" s="22">
        <f t="shared" si="2"/>
        <v>8</v>
      </c>
      <c r="D392" s="22">
        <f t="shared" si="3"/>
        <v>5</v>
      </c>
      <c r="E392" s="22">
        <f t="shared" si="1"/>
        <v>10</v>
      </c>
      <c r="F392" s="20"/>
      <c r="G392" s="20"/>
      <c r="H392" s="20"/>
      <c r="I392" s="20"/>
      <c r="J392" s="20"/>
      <c r="K392" s="20"/>
      <c r="L392" s="22">
        <f t="shared" si="4"/>
        <v>-8</v>
      </c>
      <c r="M392" s="38">
        <f t="shared" si="5"/>
        <v>1</v>
      </c>
      <c r="N392" s="22">
        <f t="shared" si="6"/>
        <v>64</v>
      </c>
      <c r="O392" s="20"/>
      <c r="P392" s="22">
        <f t="shared" si="7"/>
        <v>-5</v>
      </c>
      <c r="Q392" s="38">
        <f t="shared" si="8"/>
        <v>1</v>
      </c>
      <c r="R392" s="22">
        <f t="shared" si="9"/>
        <v>25</v>
      </c>
      <c r="S392" s="20"/>
      <c r="T392" s="22">
        <f t="shared" si="10"/>
        <v>-10</v>
      </c>
      <c r="U392" s="38">
        <f t="shared" si="11"/>
        <v>1</v>
      </c>
      <c r="V392" s="22">
        <f t="shared" si="12"/>
        <v>100</v>
      </c>
    </row>
    <row r="393">
      <c r="A393" s="2">
        <v>41106.0</v>
      </c>
      <c r="B393" s="5">
        <v>0.0</v>
      </c>
      <c r="C393" s="22">
        <f t="shared" si="2"/>
        <v>8</v>
      </c>
      <c r="D393" s="22">
        <f t="shared" si="3"/>
        <v>5</v>
      </c>
      <c r="E393" s="22">
        <f t="shared" si="1"/>
        <v>4</v>
      </c>
      <c r="F393" s="20"/>
      <c r="G393" s="20"/>
      <c r="H393" s="20"/>
      <c r="I393" s="20"/>
      <c r="J393" s="20"/>
      <c r="K393" s="20"/>
      <c r="L393" s="22">
        <f t="shared" si="4"/>
        <v>-8</v>
      </c>
      <c r="M393" s="38">
        <f t="shared" si="5"/>
        <v>1</v>
      </c>
      <c r="N393" s="22">
        <f t="shared" si="6"/>
        <v>64</v>
      </c>
      <c r="O393" s="20"/>
      <c r="P393" s="22">
        <f t="shared" si="7"/>
        <v>-5</v>
      </c>
      <c r="Q393" s="38">
        <f t="shared" si="8"/>
        <v>1</v>
      </c>
      <c r="R393" s="22">
        <f t="shared" si="9"/>
        <v>25</v>
      </c>
      <c r="S393" s="20"/>
      <c r="T393" s="22">
        <f t="shared" si="10"/>
        <v>-4</v>
      </c>
      <c r="U393" s="38">
        <f t="shared" si="11"/>
        <v>1</v>
      </c>
      <c r="V393" s="22">
        <f t="shared" si="12"/>
        <v>16</v>
      </c>
    </row>
    <row r="394">
      <c r="A394" s="2">
        <v>41107.0</v>
      </c>
      <c r="B394" s="5">
        <v>0.0</v>
      </c>
      <c r="C394" s="22">
        <f t="shared" si="2"/>
        <v>8</v>
      </c>
      <c r="D394" s="22">
        <f t="shared" si="3"/>
        <v>5</v>
      </c>
      <c r="E394" s="22">
        <f t="shared" si="1"/>
        <v>2</v>
      </c>
      <c r="F394" s="20"/>
      <c r="G394" s="20"/>
      <c r="H394" s="20"/>
      <c r="I394" s="20"/>
      <c r="J394" s="20"/>
      <c r="K394" s="20"/>
      <c r="L394" s="22">
        <f t="shared" si="4"/>
        <v>-8</v>
      </c>
      <c r="M394" s="38">
        <f t="shared" si="5"/>
        <v>1</v>
      </c>
      <c r="N394" s="22">
        <f t="shared" si="6"/>
        <v>64</v>
      </c>
      <c r="O394" s="20"/>
      <c r="P394" s="22">
        <f t="shared" si="7"/>
        <v>-5</v>
      </c>
      <c r="Q394" s="38">
        <f t="shared" si="8"/>
        <v>1</v>
      </c>
      <c r="R394" s="22">
        <f t="shared" si="9"/>
        <v>25</v>
      </c>
      <c r="S394" s="20"/>
      <c r="T394" s="22">
        <f t="shared" si="10"/>
        <v>-2</v>
      </c>
      <c r="U394" s="38">
        <f t="shared" si="11"/>
        <v>1</v>
      </c>
      <c r="V394" s="22">
        <f t="shared" si="12"/>
        <v>4</v>
      </c>
    </row>
    <row r="395">
      <c r="A395" s="2">
        <v>41108.0</v>
      </c>
      <c r="B395" s="5">
        <v>42.0</v>
      </c>
      <c r="C395" s="22">
        <f t="shared" si="2"/>
        <v>8</v>
      </c>
      <c r="D395" s="22">
        <f t="shared" si="3"/>
        <v>5</v>
      </c>
      <c r="E395" s="22">
        <f t="shared" si="1"/>
        <v>1</v>
      </c>
      <c r="F395" s="20"/>
      <c r="G395" s="20"/>
      <c r="H395" s="20"/>
      <c r="I395" s="20"/>
      <c r="J395" s="20"/>
      <c r="K395" s="20"/>
      <c r="L395" s="22">
        <f t="shared" si="4"/>
        <v>34</v>
      </c>
      <c r="M395" s="38">
        <f t="shared" si="5"/>
        <v>0.8095238095</v>
      </c>
      <c r="N395" s="22">
        <f t="shared" si="6"/>
        <v>1156</v>
      </c>
      <c r="O395" s="20"/>
      <c r="P395" s="22">
        <f t="shared" si="7"/>
        <v>37</v>
      </c>
      <c r="Q395" s="38">
        <f t="shared" si="8"/>
        <v>0.880952381</v>
      </c>
      <c r="R395" s="22">
        <f t="shared" si="9"/>
        <v>1369</v>
      </c>
      <c r="S395" s="20"/>
      <c r="T395" s="22">
        <f t="shared" si="10"/>
        <v>41</v>
      </c>
      <c r="U395" s="38">
        <f t="shared" si="11"/>
        <v>0.9761904762</v>
      </c>
      <c r="V395" s="22">
        <f t="shared" si="12"/>
        <v>1681</v>
      </c>
    </row>
    <row r="396">
      <c r="A396" s="2">
        <v>41109.0</v>
      </c>
      <c r="B396" s="5">
        <v>0.0</v>
      </c>
      <c r="C396" s="22">
        <f t="shared" si="2"/>
        <v>8</v>
      </c>
      <c r="D396" s="22">
        <f t="shared" si="3"/>
        <v>5</v>
      </c>
      <c r="E396" s="22">
        <f t="shared" si="1"/>
        <v>26</v>
      </c>
      <c r="F396" s="20"/>
      <c r="G396" s="20"/>
      <c r="H396" s="20"/>
      <c r="I396" s="20"/>
      <c r="J396" s="20"/>
      <c r="K396" s="20"/>
      <c r="L396" s="22">
        <f t="shared" si="4"/>
        <v>-8</v>
      </c>
      <c r="M396" s="38">
        <f t="shared" si="5"/>
        <v>1</v>
      </c>
      <c r="N396" s="22">
        <f t="shared" si="6"/>
        <v>64</v>
      </c>
      <c r="O396" s="20"/>
      <c r="P396" s="22">
        <f t="shared" si="7"/>
        <v>-5</v>
      </c>
      <c r="Q396" s="38">
        <f t="shared" si="8"/>
        <v>1</v>
      </c>
      <c r="R396" s="22">
        <f t="shared" si="9"/>
        <v>25</v>
      </c>
      <c r="S396" s="20"/>
      <c r="T396" s="22">
        <f t="shared" si="10"/>
        <v>-26</v>
      </c>
      <c r="U396" s="38">
        <f t="shared" si="11"/>
        <v>1</v>
      </c>
      <c r="V396" s="22">
        <f t="shared" si="12"/>
        <v>676</v>
      </c>
    </row>
    <row r="397">
      <c r="A397" s="2">
        <v>41110.0</v>
      </c>
      <c r="B397" s="5">
        <v>0.0</v>
      </c>
      <c r="C397" s="22">
        <f t="shared" si="2"/>
        <v>8</v>
      </c>
      <c r="D397" s="22">
        <f t="shared" si="3"/>
        <v>5</v>
      </c>
      <c r="E397" s="22">
        <f t="shared" si="1"/>
        <v>10</v>
      </c>
      <c r="F397" s="20"/>
      <c r="G397" s="20"/>
      <c r="H397" s="20"/>
      <c r="I397" s="20"/>
      <c r="J397" s="20"/>
      <c r="K397" s="20"/>
      <c r="L397" s="22">
        <f t="shared" si="4"/>
        <v>-8</v>
      </c>
      <c r="M397" s="38">
        <f t="shared" si="5"/>
        <v>1</v>
      </c>
      <c r="N397" s="22">
        <f t="shared" si="6"/>
        <v>64</v>
      </c>
      <c r="O397" s="20"/>
      <c r="P397" s="22">
        <f t="shared" si="7"/>
        <v>-5</v>
      </c>
      <c r="Q397" s="38">
        <f t="shared" si="8"/>
        <v>1</v>
      </c>
      <c r="R397" s="22">
        <f t="shared" si="9"/>
        <v>25</v>
      </c>
      <c r="S397" s="20"/>
      <c r="T397" s="22">
        <f t="shared" si="10"/>
        <v>-10</v>
      </c>
      <c r="U397" s="38">
        <f t="shared" si="11"/>
        <v>1</v>
      </c>
      <c r="V397" s="22">
        <f t="shared" si="12"/>
        <v>100</v>
      </c>
    </row>
    <row r="398">
      <c r="A398" s="2">
        <v>41113.0</v>
      </c>
      <c r="B398" s="5">
        <v>0.0</v>
      </c>
      <c r="C398" s="22">
        <f t="shared" si="2"/>
        <v>8</v>
      </c>
      <c r="D398" s="22">
        <f t="shared" si="3"/>
        <v>5</v>
      </c>
      <c r="E398" s="22">
        <f t="shared" si="1"/>
        <v>4</v>
      </c>
      <c r="F398" s="20"/>
      <c r="G398" s="20"/>
      <c r="H398" s="20"/>
      <c r="I398" s="20"/>
      <c r="J398" s="20"/>
      <c r="K398" s="20"/>
      <c r="L398" s="22">
        <f t="shared" si="4"/>
        <v>-8</v>
      </c>
      <c r="M398" s="38">
        <f t="shared" si="5"/>
        <v>1</v>
      </c>
      <c r="N398" s="22">
        <f t="shared" si="6"/>
        <v>64</v>
      </c>
      <c r="O398" s="20"/>
      <c r="P398" s="22">
        <f t="shared" si="7"/>
        <v>-5</v>
      </c>
      <c r="Q398" s="38">
        <f t="shared" si="8"/>
        <v>1</v>
      </c>
      <c r="R398" s="22">
        <f t="shared" si="9"/>
        <v>25</v>
      </c>
      <c r="S398" s="20"/>
      <c r="T398" s="22">
        <f t="shared" si="10"/>
        <v>-4</v>
      </c>
      <c r="U398" s="38">
        <f t="shared" si="11"/>
        <v>1</v>
      </c>
      <c r="V398" s="22">
        <f t="shared" si="12"/>
        <v>16</v>
      </c>
    </row>
    <row r="399">
      <c r="A399" s="2">
        <v>41114.0</v>
      </c>
      <c r="B399" s="5">
        <v>0.0</v>
      </c>
      <c r="C399" s="22">
        <f t="shared" si="2"/>
        <v>8</v>
      </c>
      <c r="D399" s="22">
        <f t="shared" si="3"/>
        <v>5</v>
      </c>
      <c r="E399" s="22">
        <f t="shared" si="1"/>
        <v>2</v>
      </c>
      <c r="F399" s="20"/>
      <c r="G399" s="20"/>
      <c r="H399" s="20"/>
      <c r="I399" s="20"/>
      <c r="J399" s="20"/>
      <c r="K399" s="20"/>
      <c r="L399" s="22">
        <f t="shared" si="4"/>
        <v>-8</v>
      </c>
      <c r="M399" s="38">
        <f t="shared" si="5"/>
        <v>1</v>
      </c>
      <c r="N399" s="22">
        <f t="shared" si="6"/>
        <v>64</v>
      </c>
      <c r="O399" s="20"/>
      <c r="P399" s="22">
        <f t="shared" si="7"/>
        <v>-5</v>
      </c>
      <c r="Q399" s="38">
        <f t="shared" si="8"/>
        <v>1</v>
      </c>
      <c r="R399" s="22">
        <f t="shared" si="9"/>
        <v>25</v>
      </c>
      <c r="S399" s="20"/>
      <c r="T399" s="22">
        <f t="shared" si="10"/>
        <v>-2</v>
      </c>
      <c r="U399" s="38">
        <f t="shared" si="11"/>
        <v>1</v>
      </c>
      <c r="V399" s="22">
        <f t="shared" si="12"/>
        <v>4</v>
      </c>
    </row>
    <row r="400">
      <c r="A400" s="2">
        <v>41115.0</v>
      </c>
      <c r="B400" s="5">
        <v>55.0</v>
      </c>
      <c r="C400" s="22">
        <f t="shared" si="2"/>
        <v>8</v>
      </c>
      <c r="D400" s="22">
        <f t="shared" si="3"/>
        <v>5</v>
      </c>
      <c r="E400" s="22">
        <f t="shared" si="1"/>
        <v>1</v>
      </c>
      <c r="F400" s="20"/>
      <c r="G400" s="20"/>
      <c r="H400" s="20"/>
      <c r="I400" s="20"/>
      <c r="J400" s="20"/>
      <c r="K400" s="20"/>
      <c r="L400" s="22">
        <f t="shared" si="4"/>
        <v>47</v>
      </c>
      <c r="M400" s="38">
        <f t="shared" si="5"/>
        <v>0.8545454545</v>
      </c>
      <c r="N400" s="22">
        <f t="shared" si="6"/>
        <v>2209</v>
      </c>
      <c r="O400" s="20"/>
      <c r="P400" s="22">
        <f t="shared" si="7"/>
        <v>50</v>
      </c>
      <c r="Q400" s="38">
        <f t="shared" si="8"/>
        <v>0.9090909091</v>
      </c>
      <c r="R400" s="22">
        <f t="shared" si="9"/>
        <v>2500</v>
      </c>
      <c r="S400" s="20"/>
      <c r="T400" s="22">
        <f t="shared" si="10"/>
        <v>54</v>
      </c>
      <c r="U400" s="38">
        <f t="shared" si="11"/>
        <v>0.9818181818</v>
      </c>
      <c r="V400" s="22">
        <f t="shared" si="12"/>
        <v>2916</v>
      </c>
    </row>
    <row r="401">
      <c r="A401" s="2">
        <v>41116.0</v>
      </c>
      <c r="B401" s="5">
        <v>0.0</v>
      </c>
      <c r="C401" s="22">
        <f t="shared" si="2"/>
        <v>11</v>
      </c>
      <c r="D401" s="22">
        <f t="shared" si="3"/>
        <v>6</v>
      </c>
      <c r="E401" s="22">
        <f t="shared" si="1"/>
        <v>33</v>
      </c>
      <c r="F401" s="20"/>
      <c r="G401" s="20"/>
      <c r="H401" s="20"/>
      <c r="I401" s="20"/>
      <c r="J401" s="20"/>
      <c r="K401" s="20"/>
      <c r="L401" s="22">
        <f t="shared" si="4"/>
        <v>-11</v>
      </c>
      <c r="M401" s="38">
        <f t="shared" si="5"/>
        <v>1</v>
      </c>
      <c r="N401" s="22">
        <f t="shared" si="6"/>
        <v>121</v>
      </c>
      <c r="O401" s="20"/>
      <c r="P401" s="22">
        <f t="shared" si="7"/>
        <v>-6</v>
      </c>
      <c r="Q401" s="38">
        <f t="shared" si="8"/>
        <v>1</v>
      </c>
      <c r="R401" s="22">
        <f t="shared" si="9"/>
        <v>36</v>
      </c>
      <c r="S401" s="20"/>
      <c r="T401" s="22">
        <f t="shared" si="10"/>
        <v>-33</v>
      </c>
      <c r="U401" s="38">
        <f t="shared" si="11"/>
        <v>1</v>
      </c>
      <c r="V401" s="22">
        <f t="shared" si="12"/>
        <v>1089</v>
      </c>
    </row>
    <row r="402">
      <c r="A402" s="2">
        <v>41117.0</v>
      </c>
      <c r="B402" s="5">
        <v>0.0</v>
      </c>
      <c r="C402" s="22">
        <f t="shared" si="2"/>
        <v>11</v>
      </c>
      <c r="D402" s="22">
        <f t="shared" si="3"/>
        <v>6</v>
      </c>
      <c r="E402" s="22">
        <f t="shared" si="1"/>
        <v>13</v>
      </c>
      <c r="F402" s="20"/>
      <c r="G402" s="20"/>
      <c r="H402" s="20"/>
      <c r="I402" s="20"/>
      <c r="J402" s="20"/>
      <c r="K402" s="20"/>
      <c r="L402" s="22">
        <f t="shared" si="4"/>
        <v>-11</v>
      </c>
      <c r="M402" s="38">
        <f t="shared" si="5"/>
        <v>1</v>
      </c>
      <c r="N402" s="22">
        <f t="shared" si="6"/>
        <v>121</v>
      </c>
      <c r="O402" s="20"/>
      <c r="P402" s="22">
        <f t="shared" si="7"/>
        <v>-6</v>
      </c>
      <c r="Q402" s="38">
        <f t="shared" si="8"/>
        <v>1</v>
      </c>
      <c r="R402" s="22">
        <f t="shared" si="9"/>
        <v>36</v>
      </c>
      <c r="S402" s="20"/>
      <c r="T402" s="22">
        <f t="shared" si="10"/>
        <v>-13</v>
      </c>
      <c r="U402" s="38">
        <f t="shared" si="11"/>
        <v>1</v>
      </c>
      <c r="V402" s="22">
        <f t="shared" si="12"/>
        <v>169</v>
      </c>
    </row>
    <row r="403">
      <c r="A403" s="2">
        <v>41120.0</v>
      </c>
      <c r="B403" s="5">
        <v>0.0</v>
      </c>
      <c r="C403" s="22">
        <f t="shared" si="2"/>
        <v>11</v>
      </c>
      <c r="D403" s="22">
        <f t="shared" si="3"/>
        <v>6</v>
      </c>
      <c r="E403" s="22">
        <f t="shared" si="1"/>
        <v>5</v>
      </c>
      <c r="F403" s="20"/>
      <c r="G403" s="20"/>
      <c r="H403" s="20"/>
      <c r="I403" s="20"/>
      <c r="J403" s="20"/>
      <c r="K403" s="20"/>
      <c r="L403" s="22">
        <f t="shared" si="4"/>
        <v>-11</v>
      </c>
      <c r="M403" s="38">
        <f t="shared" si="5"/>
        <v>1</v>
      </c>
      <c r="N403" s="22">
        <f t="shared" si="6"/>
        <v>121</v>
      </c>
      <c r="O403" s="20"/>
      <c r="P403" s="22">
        <f t="shared" si="7"/>
        <v>-6</v>
      </c>
      <c r="Q403" s="38">
        <f t="shared" si="8"/>
        <v>1</v>
      </c>
      <c r="R403" s="22">
        <f t="shared" si="9"/>
        <v>36</v>
      </c>
      <c r="S403" s="20"/>
      <c r="T403" s="22">
        <f t="shared" si="10"/>
        <v>-5</v>
      </c>
      <c r="U403" s="38">
        <f t="shared" si="11"/>
        <v>1</v>
      </c>
      <c r="V403" s="22">
        <f t="shared" si="12"/>
        <v>25</v>
      </c>
    </row>
    <row r="404">
      <c r="A404" s="2">
        <v>41121.0</v>
      </c>
      <c r="B404" s="5">
        <v>0.0</v>
      </c>
      <c r="C404" s="22">
        <f t="shared" si="2"/>
        <v>11</v>
      </c>
      <c r="D404" s="22">
        <f t="shared" si="3"/>
        <v>6</v>
      </c>
      <c r="E404" s="22">
        <f t="shared" si="1"/>
        <v>2</v>
      </c>
      <c r="F404" s="20"/>
      <c r="G404" s="20"/>
      <c r="H404" s="20"/>
      <c r="I404" s="20"/>
      <c r="J404" s="20"/>
      <c r="K404" s="20"/>
      <c r="L404" s="22">
        <f t="shared" si="4"/>
        <v>-11</v>
      </c>
      <c r="M404" s="38">
        <f t="shared" si="5"/>
        <v>1</v>
      </c>
      <c r="N404" s="22">
        <f t="shared" si="6"/>
        <v>121</v>
      </c>
      <c r="O404" s="20"/>
      <c r="P404" s="22">
        <f t="shared" si="7"/>
        <v>-6</v>
      </c>
      <c r="Q404" s="38">
        <f t="shared" si="8"/>
        <v>1</v>
      </c>
      <c r="R404" s="22">
        <f t="shared" si="9"/>
        <v>36</v>
      </c>
      <c r="S404" s="20"/>
      <c r="T404" s="22">
        <f t="shared" si="10"/>
        <v>-2</v>
      </c>
      <c r="U404" s="38">
        <f t="shared" si="11"/>
        <v>1</v>
      </c>
      <c r="V404" s="22">
        <f t="shared" si="12"/>
        <v>4</v>
      </c>
    </row>
    <row r="405">
      <c r="A405" s="2">
        <v>41122.0</v>
      </c>
      <c r="B405" s="5">
        <v>54.0</v>
      </c>
      <c r="C405" s="22">
        <f t="shared" si="2"/>
        <v>11</v>
      </c>
      <c r="D405" s="22">
        <f t="shared" si="3"/>
        <v>6</v>
      </c>
      <c r="E405" s="22">
        <f t="shared" si="1"/>
        <v>1</v>
      </c>
      <c r="F405" s="20"/>
      <c r="G405" s="20"/>
      <c r="H405" s="20"/>
      <c r="I405" s="20"/>
      <c r="J405" s="20"/>
      <c r="K405" s="20"/>
      <c r="L405" s="22">
        <f t="shared" si="4"/>
        <v>43</v>
      </c>
      <c r="M405" s="38">
        <f t="shared" si="5"/>
        <v>0.7962962963</v>
      </c>
      <c r="N405" s="22">
        <f t="shared" si="6"/>
        <v>1849</v>
      </c>
      <c r="O405" s="20"/>
      <c r="P405" s="22">
        <f t="shared" si="7"/>
        <v>48</v>
      </c>
      <c r="Q405" s="38">
        <f t="shared" si="8"/>
        <v>0.8888888889</v>
      </c>
      <c r="R405" s="22">
        <f t="shared" si="9"/>
        <v>2304</v>
      </c>
      <c r="S405" s="20"/>
      <c r="T405" s="22">
        <f t="shared" si="10"/>
        <v>53</v>
      </c>
      <c r="U405" s="38">
        <f t="shared" si="11"/>
        <v>0.9814814815</v>
      </c>
      <c r="V405" s="22">
        <f t="shared" si="12"/>
        <v>2809</v>
      </c>
    </row>
    <row r="406">
      <c r="A406" s="2">
        <v>41123.0</v>
      </c>
      <c r="B406" s="5">
        <v>0.0</v>
      </c>
      <c r="C406" s="22">
        <f t="shared" si="2"/>
        <v>11</v>
      </c>
      <c r="D406" s="22">
        <f t="shared" si="3"/>
        <v>6</v>
      </c>
      <c r="E406" s="22">
        <f t="shared" si="1"/>
        <v>33</v>
      </c>
      <c r="F406" s="20"/>
      <c r="G406" s="20"/>
      <c r="H406" s="20"/>
      <c r="I406" s="20"/>
      <c r="J406" s="20"/>
      <c r="K406" s="20"/>
      <c r="L406" s="22">
        <f t="shared" si="4"/>
        <v>-11</v>
      </c>
      <c r="M406" s="38">
        <f t="shared" si="5"/>
        <v>1</v>
      </c>
      <c r="N406" s="22">
        <f t="shared" si="6"/>
        <v>121</v>
      </c>
      <c r="O406" s="20"/>
      <c r="P406" s="22">
        <f t="shared" si="7"/>
        <v>-6</v>
      </c>
      <c r="Q406" s="38">
        <f t="shared" si="8"/>
        <v>1</v>
      </c>
      <c r="R406" s="22">
        <f t="shared" si="9"/>
        <v>36</v>
      </c>
      <c r="S406" s="20"/>
      <c r="T406" s="22">
        <f t="shared" si="10"/>
        <v>-33</v>
      </c>
      <c r="U406" s="38">
        <f t="shared" si="11"/>
        <v>1</v>
      </c>
      <c r="V406" s="22">
        <f t="shared" si="12"/>
        <v>1089</v>
      </c>
    </row>
    <row r="407">
      <c r="A407" s="2">
        <v>41124.0</v>
      </c>
      <c r="B407" s="5">
        <v>0.0</v>
      </c>
      <c r="C407" s="22">
        <f t="shared" si="2"/>
        <v>11</v>
      </c>
      <c r="D407" s="22">
        <f t="shared" si="3"/>
        <v>6</v>
      </c>
      <c r="E407" s="22">
        <f t="shared" si="1"/>
        <v>13</v>
      </c>
      <c r="F407" s="20"/>
      <c r="G407" s="20"/>
      <c r="H407" s="20"/>
      <c r="I407" s="20"/>
      <c r="J407" s="20"/>
      <c r="K407" s="20"/>
      <c r="L407" s="22">
        <f t="shared" si="4"/>
        <v>-11</v>
      </c>
      <c r="M407" s="38">
        <f t="shared" si="5"/>
        <v>1</v>
      </c>
      <c r="N407" s="22">
        <f t="shared" si="6"/>
        <v>121</v>
      </c>
      <c r="O407" s="20"/>
      <c r="P407" s="22">
        <f t="shared" si="7"/>
        <v>-6</v>
      </c>
      <c r="Q407" s="38">
        <f t="shared" si="8"/>
        <v>1</v>
      </c>
      <c r="R407" s="22">
        <f t="shared" si="9"/>
        <v>36</v>
      </c>
      <c r="S407" s="20"/>
      <c r="T407" s="22">
        <f t="shared" si="10"/>
        <v>-13</v>
      </c>
      <c r="U407" s="38">
        <f t="shared" si="11"/>
        <v>1</v>
      </c>
      <c r="V407" s="22">
        <f t="shared" si="12"/>
        <v>169</v>
      </c>
    </row>
    <row r="408">
      <c r="A408" s="2">
        <v>41127.0</v>
      </c>
      <c r="B408" s="5">
        <v>0.0</v>
      </c>
      <c r="C408" s="22">
        <f t="shared" si="2"/>
        <v>11</v>
      </c>
      <c r="D408" s="22">
        <f t="shared" si="3"/>
        <v>6</v>
      </c>
      <c r="E408" s="22">
        <f t="shared" si="1"/>
        <v>5</v>
      </c>
      <c r="F408" s="20"/>
      <c r="G408" s="20"/>
      <c r="H408" s="20"/>
      <c r="I408" s="20"/>
      <c r="J408" s="20"/>
      <c r="K408" s="20"/>
      <c r="L408" s="22">
        <f t="shared" si="4"/>
        <v>-11</v>
      </c>
      <c r="M408" s="38">
        <f t="shared" si="5"/>
        <v>1</v>
      </c>
      <c r="N408" s="22">
        <f t="shared" si="6"/>
        <v>121</v>
      </c>
      <c r="O408" s="20"/>
      <c r="P408" s="22">
        <f t="shared" si="7"/>
        <v>-6</v>
      </c>
      <c r="Q408" s="38">
        <f t="shared" si="8"/>
        <v>1</v>
      </c>
      <c r="R408" s="22">
        <f t="shared" si="9"/>
        <v>36</v>
      </c>
      <c r="S408" s="20"/>
      <c r="T408" s="22">
        <f t="shared" si="10"/>
        <v>-5</v>
      </c>
      <c r="U408" s="38">
        <f t="shared" si="11"/>
        <v>1</v>
      </c>
      <c r="V408" s="22">
        <f t="shared" si="12"/>
        <v>25</v>
      </c>
    </row>
    <row r="409">
      <c r="A409" s="2">
        <v>41128.0</v>
      </c>
      <c r="B409" s="5">
        <v>0.0</v>
      </c>
      <c r="C409" s="22">
        <f t="shared" si="2"/>
        <v>11</v>
      </c>
      <c r="D409" s="22">
        <f t="shared" si="3"/>
        <v>6</v>
      </c>
      <c r="E409" s="22">
        <f t="shared" si="1"/>
        <v>2</v>
      </c>
      <c r="F409" s="20"/>
      <c r="G409" s="20"/>
      <c r="H409" s="20"/>
      <c r="I409" s="20"/>
      <c r="J409" s="20"/>
      <c r="K409" s="20"/>
      <c r="L409" s="22">
        <f t="shared" si="4"/>
        <v>-11</v>
      </c>
      <c r="M409" s="38">
        <f t="shared" si="5"/>
        <v>1</v>
      </c>
      <c r="N409" s="22">
        <f t="shared" si="6"/>
        <v>121</v>
      </c>
      <c r="O409" s="20"/>
      <c r="P409" s="22">
        <f t="shared" si="7"/>
        <v>-6</v>
      </c>
      <c r="Q409" s="38">
        <f t="shared" si="8"/>
        <v>1</v>
      </c>
      <c r="R409" s="22">
        <f t="shared" si="9"/>
        <v>36</v>
      </c>
      <c r="S409" s="20"/>
      <c r="T409" s="22">
        <f t="shared" si="10"/>
        <v>-2</v>
      </c>
      <c r="U409" s="38">
        <f t="shared" si="11"/>
        <v>1</v>
      </c>
      <c r="V409" s="22">
        <f t="shared" si="12"/>
        <v>4</v>
      </c>
    </row>
    <row r="410">
      <c r="A410" s="2">
        <v>41129.0</v>
      </c>
      <c r="B410" s="5">
        <v>70.0</v>
      </c>
      <c r="C410" s="22">
        <f t="shared" si="2"/>
        <v>11</v>
      </c>
      <c r="D410" s="22">
        <f t="shared" si="3"/>
        <v>6</v>
      </c>
      <c r="E410" s="22">
        <f t="shared" si="1"/>
        <v>1</v>
      </c>
      <c r="F410" s="20"/>
      <c r="G410" s="20"/>
      <c r="H410" s="20"/>
      <c r="I410" s="20"/>
      <c r="J410" s="20"/>
      <c r="K410" s="20"/>
      <c r="L410" s="22">
        <f t="shared" si="4"/>
        <v>59</v>
      </c>
      <c r="M410" s="38">
        <f t="shared" si="5"/>
        <v>0.8428571429</v>
      </c>
      <c r="N410" s="22">
        <f t="shared" si="6"/>
        <v>3481</v>
      </c>
      <c r="O410" s="20"/>
      <c r="P410" s="22">
        <f t="shared" si="7"/>
        <v>64</v>
      </c>
      <c r="Q410" s="38">
        <f t="shared" si="8"/>
        <v>0.9142857143</v>
      </c>
      <c r="R410" s="22">
        <f t="shared" si="9"/>
        <v>4096</v>
      </c>
      <c r="S410" s="20"/>
      <c r="T410" s="22">
        <f t="shared" si="10"/>
        <v>69</v>
      </c>
      <c r="U410" s="38">
        <f t="shared" si="11"/>
        <v>0.9857142857</v>
      </c>
      <c r="V410" s="22">
        <f t="shared" si="12"/>
        <v>4761</v>
      </c>
    </row>
    <row r="411">
      <c r="A411" s="2">
        <v>41130.0</v>
      </c>
      <c r="B411" s="5">
        <v>0.0</v>
      </c>
      <c r="C411" s="22">
        <f t="shared" si="2"/>
        <v>14</v>
      </c>
      <c r="D411" s="22">
        <f t="shared" si="3"/>
        <v>6</v>
      </c>
      <c r="E411" s="22">
        <f t="shared" si="1"/>
        <v>42</v>
      </c>
      <c r="F411" s="20"/>
      <c r="G411" s="20"/>
      <c r="H411" s="20"/>
      <c r="I411" s="20"/>
      <c r="J411" s="20"/>
      <c r="K411" s="20"/>
      <c r="L411" s="22">
        <f t="shared" si="4"/>
        <v>-14</v>
      </c>
      <c r="M411" s="38">
        <f t="shared" si="5"/>
        <v>1</v>
      </c>
      <c r="N411" s="22">
        <f t="shared" si="6"/>
        <v>196</v>
      </c>
      <c r="O411" s="20"/>
      <c r="P411" s="22">
        <f t="shared" si="7"/>
        <v>-6</v>
      </c>
      <c r="Q411" s="38">
        <f t="shared" si="8"/>
        <v>1</v>
      </c>
      <c r="R411" s="22">
        <f t="shared" si="9"/>
        <v>36</v>
      </c>
      <c r="S411" s="20"/>
      <c r="T411" s="22">
        <f t="shared" si="10"/>
        <v>-42</v>
      </c>
      <c r="U411" s="38">
        <f t="shared" si="11"/>
        <v>1</v>
      </c>
      <c r="V411" s="22">
        <f t="shared" si="12"/>
        <v>1764</v>
      </c>
    </row>
    <row r="412">
      <c r="A412" s="2">
        <v>41131.0</v>
      </c>
      <c r="B412" s="5">
        <v>0.0</v>
      </c>
      <c r="C412" s="22">
        <f t="shared" si="2"/>
        <v>14</v>
      </c>
      <c r="D412" s="22">
        <f t="shared" si="3"/>
        <v>6</v>
      </c>
      <c r="E412" s="22">
        <f t="shared" si="1"/>
        <v>17</v>
      </c>
      <c r="F412" s="20"/>
      <c r="G412" s="20"/>
      <c r="H412" s="20"/>
      <c r="I412" s="20"/>
      <c r="J412" s="20"/>
      <c r="K412" s="20"/>
      <c r="L412" s="22">
        <f t="shared" si="4"/>
        <v>-14</v>
      </c>
      <c r="M412" s="38">
        <f t="shared" si="5"/>
        <v>1</v>
      </c>
      <c r="N412" s="22">
        <f t="shared" si="6"/>
        <v>196</v>
      </c>
      <c r="O412" s="20"/>
      <c r="P412" s="22">
        <f t="shared" si="7"/>
        <v>-6</v>
      </c>
      <c r="Q412" s="38">
        <f t="shared" si="8"/>
        <v>1</v>
      </c>
      <c r="R412" s="22">
        <f t="shared" si="9"/>
        <v>36</v>
      </c>
      <c r="S412" s="20"/>
      <c r="T412" s="22">
        <f t="shared" si="10"/>
        <v>-17</v>
      </c>
      <c r="U412" s="38">
        <f t="shared" si="11"/>
        <v>1</v>
      </c>
      <c r="V412" s="22">
        <f t="shared" si="12"/>
        <v>289</v>
      </c>
    </row>
    <row r="413">
      <c r="A413" s="2">
        <v>41134.0</v>
      </c>
      <c r="B413" s="5">
        <v>0.0</v>
      </c>
      <c r="C413" s="22">
        <f t="shared" si="2"/>
        <v>14</v>
      </c>
      <c r="D413" s="22">
        <f t="shared" si="3"/>
        <v>6</v>
      </c>
      <c r="E413" s="22">
        <f t="shared" si="1"/>
        <v>7</v>
      </c>
      <c r="F413" s="20"/>
      <c r="G413" s="20"/>
      <c r="H413" s="20"/>
      <c r="I413" s="20"/>
      <c r="J413" s="20"/>
      <c r="K413" s="20"/>
      <c r="L413" s="22">
        <f t="shared" si="4"/>
        <v>-14</v>
      </c>
      <c r="M413" s="38">
        <f t="shared" si="5"/>
        <v>1</v>
      </c>
      <c r="N413" s="22">
        <f t="shared" si="6"/>
        <v>196</v>
      </c>
      <c r="O413" s="20"/>
      <c r="P413" s="22">
        <f t="shared" si="7"/>
        <v>-6</v>
      </c>
      <c r="Q413" s="38">
        <f t="shared" si="8"/>
        <v>1</v>
      </c>
      <c r="R413" s="22">
        <f t="shared" si="9"/>
        <v>36</v>
      </c>
      <c r="S413" s="20"/>
      <c r="T413" s="22">
        <f t="shared" si="10"/>
        <v>-7</v>
      </c>
      <c r="U413" s="38">
        <f t="shared" si="11"/>
        <v>1</v>
      </c>
      <c r="V413" s="22">
        <f t="shared" si="12"/>
        <v>49</v>
      </c>
    </row>
    <row r="414">
      <c r="A414" s="2">
        <v>41135.0</v>
      </c>
      <c r="B414" s="5">
        <v>0.0</v>
      </c>
      <c r="C414" s="22">
        <f t="shared" si="2"/>
        <v>14</v>
      </c>
      <c r="D414" s="22">
        <f t="shared" si="3"/>
        <v>6</v>
      </c>
      <c r="E414" s="22">
        <f t="shared" si="1"/>
        <v>3</v>
      </c>
      <c r="F414" s="20"/>
      <c r="G414" s="20"/>
      <c r="H414" s="20"/>
      <c r="I414" s="20"/>
      <c r="J414" s="20"/>
      <c r="K414" s="20"/>
      <c r="L414" s="22">
        <f t="shared" si="4"/>
        <v>-14</v>
      </c>
      <c r="M414" s="38">
        <f t="shared" si="5"/>
        <v>1</v>
      </c>
      <c r="N414" s="22">
        <f t="shared" si="6"/>
        <v>196</v>
      </c>
      <c r="O414" s="20"/>
      <c r="P414" s="22">
        <f t="shared" si="7"/>
        <v>-6</v>
      </c>
      <c r="Q414" s="38">
        <f t="shared" si="8"/>
        <v>1</v>
      </c>
      <c r="R414" s="22">
        <f t="shared" si="9"/>
        <v>36</v>
      </c>
      <c r="S414" s="20"/>
      <c r="T414" s="22">
        <f t="shared" si="10"/>
        <v>-3</v>
      </c>
      <c r="U414" s="38">
        <f t="shared" si="11"/>
        <v>1</v>
      </c>
      <c r="V414" s="22">
        <f t="shared" si="12"/>
        <v>9</v>
      </c>
    </row>
    <row r="415">
      <c r="A415" s="2">
        <v>41136.0</v>
      </c>
      <c r="B415" s="5">
        <v>52.0</v>
      </c>
      <c r="C415" s="22">
        <f t="shared" si="2"/>
        <v>14</v>
      </c>
      <c r="D415" s="22">
        <f t="shared" si="3"/>
        <v>6</v>
      </c>
      <c r="E415" s="22">
        <f t="shared" si="1"/>
        <v>1</v>
      </c>
      <c r="F415" s="20"/>
      <c r="G415" s="20"/>
      <c r="H415" s="20"/>
      <c r="I415" s="20"/>
      <c r="J415" s="20"/>
      <c r="K415" s="20"/>
      <c r="L415" s="22">
        <f t="shared" si="4"/>
        <v>38</v>
      </c>
      <c r="M415" s="38">
        <f t="shared" si="5"/>
        <v>0.7307692308</v>
      </c>
      <c r="N415" s="22">
        <f t="shared" si="6"/>
        <v>1444</v>
      </c>
      <c r="O415" s="20"/>
      <c r="P415" s="22">
        <f t="shared" si="7"/>
        <v>46</v>
      </c>
      <c r="Q415" s="38">
        <f t="shared" si="8"/>
        <v>0.8846153846</v>
      </c>
      <c r="R415" s="22">
        <f t="shared" si="9"/>
        <v>2116</v>
      </c>
      <c r="S415" s="20"/>
      <c r="T415" s="22">
        <f t="shared" si="10"/>
        <v>51</v>
      </c>
      <c r="U415" s="38">
        <f t="shared" si="11"/>
        <v>0.9807692308</v>
      </c>
      <c r="V415" s="22">
        <f t="shared" si="12"/>
        <v>2601</v>
      </c>
    </row>
    <row r="416">
      <c r="A416" s="2">
        <v>41137.0</v>
      </c>
      <c r="B416" s="5">
        <v>0.0</v>
      </c>
      <c r="C416" s="22">
        <f t="shared" si="2"/>
        <v>10</v>
      </c>
      <c r="D416" s="22">
        <f t="shared" si="3"/>
        <v>6</v>
      </c>
      <c r="E416" s="22">
        <f t="shared" si="1"/>
        <v>32</v>
      </c>
      <c r="F416" s="20"/>
      <c r="G416" s="20"/>
      <c r="H416" s="20"/>
      <c r="I416" s="20"/>
      <c r="J416" s="20"/>
      <c r="K416" s="20"/>
      <c r="L416" s="22">
        <f t="shared" si="4"/>
        <v>-10</v>
      </c>
      <c r="M416" s="38">
        <f t="shared" si="5"/>
        <v>1</v>
      </c>
      <c r="N416" s="22">
        <f t="shared" si="6"/>
        <v>100</v>
      </c>
      <c r="O416" s="20"/>
      <c r="P416" s="22">
        <f t="shared" si="7"/>
        <v>-6</v>
      </c>
      <c r="Q416" s="38">
        <f t="shared" si="8"/>
        <v>1</v>
      </c>
      <c r="R416" s="22">
        <f t="shared" si="9"/>
        <v>36</v>
      </c>
      <c r="S416" s="20"/>
      <c r="T416" s="22">
        <f t="shared" si="10"/>
        <v>-32</v>
      </c>
      <c r="U416" s="38">
        <f t="shared" si="11"/>
        <v>1</v>
      </c>
      <c r="V416" s="22">
        <f t="shared" si="12"/>
        <v>1024</v>
      </c>
    </row>
    <row r="417">
      <c r="A417" s="2">
        <v>41138.0</v>
      </c>
      <c r="B417" s="5">
        <v>0.0</v>
      </c>
      <c r="C417" s="22">
        <f t="shared" si="2"/>
        <v>10</v>
      </c>
      <c r="D417" s="22">
        <f t="shared" si="3"/>
        <v>6</v>
      </c>
      <c r="E417" s="22">
        <f t="shared" si="1"/>
        <v>13</v>
      </c>
      <c r="F417" s="20"/>
      <c r="G417" s="20"/>
      <c r="H417" s="20"/>
      <c r="I417" s="20"/>
      <c r="J417" s="20"/>
      <c r="K417" s="20"/>
      <c r="L417" s="22">
        <f t="shared" si="4"/>
        <v>-10</v>
      </c>
      <c r="M417" s="38">
        <f t="shared" si="5"/>
        <v>1</v>
      </c>
      <c r="N417" s="22">
        <f t="shared" si="6"/>
        <v>100</v>
      </c>
      <c r="O417" s="20"/>
      <c r="P417" s="22">
        <f t="shared" si="7"/>
        <v>-6</v>
      </c>
      <c r="Q417" s="38">
        <f t="shared" si="8"/>
        <v>1</v>
      </c>
      <c r="R417" s="22">
        <f t="shared" si="9"/>
        <v>36</v>
      </c>
      <c r="S417" s="20"/>
      <c r="T417" s="22">
        <f t="shared" si="10"/>
        <v>-13</v>
      </c>
      <c r="U417" s="38">
        <f t="shared" si="11"/>
        <v>1</v>
      </c>
      <c r="V417" s="22">
        <f t="shared" si="12"/>
        <v>169</v>
      </c>
    </row>
    <row r="418">
      <c r="A418" s="2">
        <v>41141.0</v>
      </c>
      <c r="B418" s="5">
        <v>0.0</v>
      </c>
      <c r="C418" s="22">
        <f t="shared" si="2"/>
        <v>10</v>
      </c>
      <c r="D418" s="22">
        <f t="shared" si="3"/>
        <v>6</v>
      </c>
      <c r="E418" s="22">
        <f t="shared" si="1"/>
        <v>5</v>
      </c>
      <c r="F418" s="20"/>
      <c r="G418" s="20"/>
      <c r="H418" s="20"/>
      <c r="I418" s="20"/>
      <c r="J418" s="20"/>
      <c r="K418" s="20"/>
      <c r="L418" s="22">
        <f t="shared" si="4"/>
        <v>-10</v>
      </c>
      <c r="M418" s="38">
        <f t="shared" si="5"/>
        <v>1</v>
      </c>
      <c r="N418" s="22">
        <f t="shared" si="6"/>
        <v>100</v>
      </c>
      <c r="O418" s="20"/>
      <c r="P418" s="22">
        <f t="shared" si="7"/>
        <v>-6</v>
      </c>
      <c r="Q418" s="38">
        <f t="shared" si="8"/>
        <v>1</v>
      </c>
      <c r="R418" s="22">
        <f t="shared" si="9"/>
        <v>36</v>
      </c>
      <c r="S418" s="20"/>
      <c r="T418" s="22">
        <f t="shared" si="10"/>
        <v>-5</v>
      </c>
      <c r="U418" s="38">
        <f t="shared" si="11"/>
        <v>1</v>
      </c>
      <c r="V418" s="22">
        <f t="shared" si="12"/>
        <v>25</v>
      </c>
    </row>
    <row r="419">
      <c r="A419" s="2">
        <v>41142.0</v>
      </c>
      <c r="B419" s="5">
        <v>0.0</v>
      </c>
      <c r="C419" s="22">
        <f t="shared" si="2"/>
        <v>10</v>
      </c>
      <c r="D419" s="22">
        <f t="shared" si="3"/>
        <v>6</v>
      </c>
      <c r="E419" s="22">
        <f t="shared" si="1"/>
        <v>2</v>
      </c>
      <c r="F419" s="20"/>
      <c r="G419" s="20"/>
      <c r="H419" s="20"/>
      <c r="I419" s="20"/>
      <c r="J419" s="20"/>
      <c r="K419" s="20"/>
      <c r="L419" s="22">
        <f t="shared" si="4"/>
        <v>-10</v>
      </c>
      <c r="M419" s="38">
        <f t="shared" si="5"/>
        <v>1</v>
      </c>
      <c r="N419" s="22">
        <f t="shared" si="6"/>
        <v>100</v>
      </c>
      <c r="O419" s="20"/>
      <c r="P419" s="22">
        <f t="shared" si="7"/>
        <v>-6</v>
      </c>
      <c r="Q419" s="38">
        <f t="shared" si="8"/>
        <v>1</v>
      </c>
      <c r="R419" s="22">
        <f t="shared" si="9"/>
        <v>36</v>
      </c>
      <c r="S419" s="20"/>
      <c r="T419" s="22">
        <f t="shared" si="10"/>
        <v>-2</v>
      </c>
      <c r="U419" s="38">
        <f t="shared" si="11"/>
        <v>1</v>
      </c>
      <c r="V419" s="22">
        <f t="shared" si="12"/>
        <v>4</v>
      </c>
    </row>
    <row r="420">
      <c r="A420" s="2">
        <v>41143.0</v>
      </c>
      <c r="B420" s="5">
        <v>52.0</v>
      </c>
      <c r="C420" s="22">
        <f t="shared" si="2"/>
        <v>10</v>
      </c>
      <c r="D420" s="22">
        <f t="shared" si="3"/>
        <v>6</v>
      </c>
      <c r="E420" s="22">
        <f t="shared" si="1"/>
        <v>1</v>
      </c>
      <c r="F420" s="20"/>
      <c r="G420" s="20"/>
      <c r="H420" s="20"/>
      <c r="I420" s="20"/>
      <c r="J420" s="20"/>
      <c r="K420" s="20"/>
      <c r="L420" s="22">
        <f t="shared" si="4"/>
        <v>42</v>
      </c>
      <c r="M420" s="38">
        <f t="shared" si="5"/>
        <v>0.8076923077</v>
      </c>
      <c r="N420" s="22">
        <f t="shared" si="6"/>
        <v>1764</v>
      </c>
      <c r="O420" s="20"/>
      <c r="P420" s="22">
        <f t="shared" si="7"/>
        <v>46</v>
      </c>
      <c r="Q420" s="38">
        <f t="shared" si="8"/>
        <v>0.8846153846</v>
      </c>
      <c r="R420" s="22">
        <f t="shared" si="9"/>
        <v>2116</v>
      </c>
      <c r="S420" s="20"/>
      <c r="T420" s="22">
        <f t="shared" si="10"/>
        <v>51</v>
      </c>
      <c r="U420" s="38">
        <f t="shared" si="11"/>
        <v>0.9807692308</v>
      </c>
      <c r="V420" s="22">
        <f t="shared" si="12"/>
        <v>2601</v>
      </c>
    </row>
    <row r="421">
      <c r="A421" s="2">
        <v>41144.0</v>
      </c>
      <c r="B421" s="5">
        <v>0.0</v>
      </c>
      <c r="C421" s="22">
        <f t="shared" si="2"/>
        <v>10</v>
      </c>
      <c r="D421" s="22">
        <f t="shared" si="3"/>
        <v>6</v>
      </c>
      <c r="E421" s="22">
        <f t="shared" si="1"/>
        <v>32</v>
      </c>
      <c r="F421" s="20"/>
      <c r="G421" s="20"/>
      <c r="H421" s="20"/>
      <c r="I421" s="20"/>
      <c r="J421" s="20"/>
      <c r="K421" s="20"/>
      <c r="L421" s="22">
        <f t="shared" si="4"/>
        <v>-10</v>
      </c>
      <c r="M421" s="38">
        <f t="shared" si="5"/>
        <v>1</v>
      </c>
      <c r="N421" s="22">
        <f t="shared" si="6"/>
        <v>100</v>
      </c>
      <c r="O421" s="20"/>
      <c r="P421" s="22">
        <f t="shared" si="7"/>
        <v>-6</v>
      </c>
      <c r="Q421" s="38">
        <f t="shared" si="8"/>
        <v>1</v>
      </c>
      <c r="R421" s="22">
        <f t="shared" si="9"/>
        <v>36</v>
      </c>
      <c r="S421" s="20"/>
      <c r="T421" s="22">
        <f t="shared" si="10"/>
        <v>-32</v>
      </c>
      <c r="U421" s="38">
        <f t="shared" si="11"/>
        <v>1</v>
      </c>
      <c r="V421" s="22">
        <f t="shared" si="12"/>
        <v>1024</v>
      </c>
    </row>
    <row r="422">
      <c r="A422" s="2">
        <v>41145.0</v>
      </c>
      <c r="B422" s="5">
        <v>0.0</v>
      </c>
      <c r="C422" s="22">
        <f t="shared" si="2"/>
        <v>10</v>
      </c>
      <c r="D422" s="22">
        <f t="shared" si="3"/>
        <v>6</v>
      </c>
      <c r="E422" s="22">
        <f t="shared" si="1"/>
        <v>13</v>
      </c>
      <c r="F422" s="20"/>
      <c r="G422" s="20"/>
      <c r="H422" s="20"/>
      <c r="I422" s="20"/>
      <c r="J422" s="20"/>
      <c r="K422" s="20"/>
      <c r="L422" s="22">
        <f t="shared" si="4"/>
        <v>-10</v>
      </c>
      <c r="M422" s="38">
        <f t="shared" si="5"/>
        <v>1</v>
      </c>
      <c r="N422" s="22">
        <f t="shared" si="6"/>
        <v>100</v>
      </c>
      <c r="O422" s="20"/>
      <c r="P422" s="22">
        <f t="shared" si="7"/>
        <v>-6</v>
      </c>
      <c r="Q422" s="38">
        <f t="shared" si="8"/>
        <v>1</v>
      </c>
      <c r="R422" s="22">
        <f t="shared" si="9"/>
        <v>36</v>
      </c>
      <c r="S422" s="20"/>
      <c r="T422" s="22">
        <f t="shared" si="10"/>
        <v>-13</v>
      </c>
      <c r="U422" s="38">
        <f t="shared" si="11"/>
        <v>1</v>
      </c>
      <c r="V422" s="22">
        <f t="shared" si="12"/>
        <v>169</v>
      </c>
    </row>
    <row r="423">
      <c r="A423" s="2">
        <v>41148.0</v>
      </c>
      <c r="B423" s="5">
        <v>0.0</v>
      </c>
      <c r="C423" s="22">
        <f t="shared" si="2"/>
        <v>10</v>
      </c>
      <c r="D423" s="22">
        <f t="shared" si="3"/>
        <v>6</v>
      </c>
      <c r="E423" s="22">
        <f t="shared" si="1"/>
        <v>5</v>
      </c>
      <c r="F423" s="20"/>
      <c r="G423" s="20"/>
      <c r="H423" s="20"/>
      <c r="I423" s="20"/>
      <c r="J423" s="20"/>
      <c r="K423" s="20"/>
      <c r="L423" s="22">
        <f t="shared" si="4"/>
        <v>-10</v>
      </c>
      <c r="M423" s="38">
        <f t="shared" si="5"/>
        <v>1</v>
      </c>
      <c r="N423" s="22">
        <f t="shared" si="6"/>
        <v>100</v>
      </c>
      <c r="O423" s="20"/>
      <c r="P423" s="22">
        <f t="shared" si="7"/>
        <v>-6</v>
      </c>
      <c r="Q423" s="38">
        <f t="shared" si="8"/>
        <v>1</v>
      </c>
      <c r="R423" s="22">
        <f t="shared" si="9"/>
        <v>36</v>
      </c>
      <c r="S423" s="20"/>
      <c r="T423" s="22">
        <f t="shared" si="10"/>
        <v>-5</v>
      </c>
      <c r="U423" s="38">
        <f t="shared" si="11"/>
        <v>1</v>
      </c>
      <c r="V423" s="22">
        <f t="shared" si="12"/>
        <v>25</v>
      </c>
    </row>
    <row r="424">
      <c r="A424" s="2">
        <v>41149.0</v>
      </c>
      <c r="B424" s="5">
        <v>0.0</v>
      </c>
      <c r="C424" s="22">
        <f t="shared" si="2"/>
        <v>10</v>
      </c>
      <c r="D424" s="22">
        <f t="shared" si="3"/>
        <v>6</v>
      </c>
      <c r="E424" s="22">
        <f t="shared" si="1"/>
        <v>2</v>
      </c>
      <c r="F424" s="20"/>
      <c r="G424" s="20"/>
      <c r="H424" s="20"/>
      <c r="I424" s="20"/>
      <c r="J424" s="20"/>
      <c r="K424" s="20"/>
      <c r="L424" s="22">
        <f t="shared" si="4"/>
        <v>-10</v>
      </c>
      <c r="M424" s="38">
        <f t="shared" si="5"/>
        <v>1</v>
      </c>
      <c r="N424" s="22">
        <f t="shared" si="6"/>
        <v>100</v>
      </c>
      <c r="O424" s="20"/>
      <c r="P424" s="22">
        <f t="shared" si="7"/>
        <v>-6</v>
      </c>
      <c r="Q424" s="38">
        <f t="shared" si="8"/>
        <v>1</v>
      </c>
      <c r="R424" s="22">
        <f t="shared" si="9"/>
        <v>36</v>
      </c>
      <c r="S424" s="20"/>
      <c r="T424" s="22">
        <f t="shared" si="10"/>
        <v>-2</v>
      </c>
      <c r="U424" s="38">
        <f t="shared" si="11"/>
        <v>1</v>
      </c>
      <c r="V424" s="22">
        <f t="shared" si="12"/>
        <v>4</v>
      </c>
    </row>
    <row r="425">
      <c r="A425" s="2">
        <v>41150.0</v>
      </c>
      <c r="B425" s="5">
        <v>52.0</v>
      </c>
      <c r="C425" s="22">
        <f t="shared" si="2"/>
        <v>10</v>
      </c>
      <c r="D425" s="22">
        <f t="shared" si="3"/>
        <v>6</v>
      </c>
      <c r="E425" s="22">
        <f t="shared" si="1"/>
        <v>1</v>
      </c>
      <c r="F425" s="20"/>
      <c r="G425" s="20"/>
      <c r="H425" s="20"/>
      <c r="I425" s="20"/>
      <c r="J425" s="20"/>
      <c r="K425" s="20"/>
      <c r="L425" s="22">
        <f t="shared" si="4"/>
        <v>42</v>
      </c>
      <c r="M425" s="38">
        <f t="shared" si="5"/>
        <v>0.8076923077</v>
      </c>
      <c r="N425" s="22">
        <f t="shared" si="6"/>
        <v>1764</v>
      </c>
      <c r="O425" s="20"/>
      <c r="P425" s="22">
        <f t="shared" si="7"/>
        <v>46</v>
      </c>
      <c r="Q425" s="38">
        <f t="shared" si="8"/>
        <v>0.8846153846</v>
      </c>
      <c r="R425" s="22">
        <f t="shared" si="9"/>
        <v>2116</v>
      </c>
      <c r="S425" s="20"/>
      <c r="T425" s="22">
        <f t="shared" si="10"/>
        <v>51</v>
      </c>
      <c r="U425" s="38">
        <f t="shared" si="11"/>
        <v>0.9807692308</v>
      </c>
      <c r="V425" s="22">
        <f t="shared" si="12"/>
        <v>2601</v>
      </c>
    </row>
    <row r="426">
      <c r="A426" s="2">
        <v>41151.0</v>
      </c>
      <c r="B426" s="5">
        <v>0.0</v>
      </c>
      <c r="C426" s="22">
        <f t="shared" si="2"/>
        <v>10</v>
      </c>
      <c r="D426" s="22">
        <f t="shared" si="3"/>
        <v>6</v>
      </c>
      <c r="E426" s="22">
        <f t="shared" si="1"/>
        <v>32</v>
      </c>
      <c r="F426" s="20"/>
      <c r="G426" s="20"/>
      <c r="H426" s="20"/>
      <c r="I426" s="20"/>
      <c r="J426" s="20"/>
      <c r="K426" s="20"/>
      <c r="L426" s="22">
        <f t="shared" si="4"/>
        <v>-10</v>
      </c>
      <c r="M426" s="38">
        <f t="shared" si="5"/>
        <v>1</v>
      </c>
      <c r="N426" s="22">
        <f t="shared" si="6"/>
        <v>100</v>
      </c>
      <c r="O426" s="20"/>
      <c r="P426" s="22">
        <f t="shared" si="7"/>
        <v>-6</v>
      </c>
      <c r="Q426" s="38">
        <f t="shared" si="8"/>
        <v>1</v>
      </c>
      <c r="R426" s="22">
        <f t="shared" si="9"/>
        <v>36</v>
      </c>
      <c r="S426" s="20"/>
      <c r="T426" s="22">
        <f t="shared" si="10"/>
        <v>-32</v>
      </c>
      <c r="U426" s="38">
        <f t="shared" si="11"/>
        <v>1</v>
      </c>
      <c r="V426" s="22">
        <f t="shared" si="12"/>
        <v>1024</v>
      </c>
    </row>
    <row r="427">
      <c r="A427" s="2">
        <v>41152.0</v>
      </c>
      <c r="B427" s="5">
        <v>0.0</v>
      </c>
      <c r="C427" s="22">
        <f t="shared" si="2"/>
        <v>10</v>
      </c>
      <c r="D427" s="22">
        <f t="shared" si="3"/>
        <v>6</v>
      </c>
      <c r="E427" s="22">
        <f t="shared" si="1"/>
        <v>13</v>
      </c>
      <c r="F427" s="20"/>
      <c r="G427" s="20"/>
      <c r="H427" s="20"/>
      <c r="I427" s="20"/>
      <c r="J427" s="20"/>
      <c r="K427" s="20"/>
      <c r="L427" s="22">
        <f t="shared" si="4"/>
        <v>-10</v>
      </c>
      <c r="M427" s="38">
        <f t="shared" si="5"/>
        <v>1</v>
      </c>
      <c r="N427" s="22">
        <f t="shared" si="6"/>
        <v>100</v>
      </c>
      <c r="O427" s="20"/>
      <c r="P427" s="22">
        <f t="shared" si="7"/>
        <v>-6</v>
      </c>
      <c r="Q427" s="38">
        <f t="shared" si="8"/>
        <v>1</v>
      </c>
      <c r="R427" s="22">
        <f t="shared" si="9"/>
        <v>36</v>
      </c>
      <c r="S427" s="20"/>
      <c r="T427" s="22">
        <f t="shared" si="10"/>
        <v>-13</v>
      </c>
      <c r="U427" s="38">
        <f t="shared" si="11"/>
        <v>1</v>
      </c>
      <c r="V427" s="22">
        <f t="shared" si="12"/>
        <v>169</v>
      </c>
    </row>
    <row r="428">
      <c r="A428" s="2">
        <v>41156.0</v>
      </c>
      <c r="B428" s="5">
        <v>0.0</v>
      </c>
      <c r="C428" s="22">
        <f t="shared" si="2"/>
        <v>10</v>
      </c>
      <c r="D428" s="22">
        <f t="shared" si="3"/>
        <v>6</v>
      </c>
      <c r="E428" s="22">
        <f t="shared" si="1"/>
        <v>5</v>
      </c>
      <c r="F428" s="20"/>
      <c r="G428" s="20"/>
      <c r="H428" s="20"/>
      <c r="I428" s="20"/>
      <c r="J428" s="20"/>
      <c r="K428" s="20"/>
      <c r="L428" s="22">
        <f t="shared" si="4"/>
        <v>-10</v>
      </c>
      <c r="M428" s="38">
        <f t="shared" si="5"/>
        <v>1</v>
      </c>
      <c r="N428" s="22">
        <f t="shared" si="6"/>
        <v>100</v>
      </c>
      <c r="O428" s="20"/>
      <c r="P428" s="22">
        <f t="shared" si="7"/>
        <v>-6</v>
      </c>
      <c r="Q428" s="38">
        <f t="shared" si="8"/>
        <v>1</v>
      </c>
      <c r="R428" s="22">
        <f t="shared" si="9"/>
        <v>36</v>
      </c>
      <c r="S428" s="20"/>
      <c r="T428" s="22">
        <f t="shared" si="10"/>
        <v>-5</v>
      </c>
      <c r="U428" s="38">
        <f t="shared" si="11"/>
        <v>1</v>
      </c>
      <c r="V428" s="22">
        <f t="shared" si="12"/>
        <v>25</v>
      </c>
    </row>
    <row r="429">
      <c r="A429" s="2">
        <v>41157.0</v>
      </c>
      <c r="B429" s="5">
        <v>53.0</v>
      </c>
      <c r="C429" s="22">
        <f t="shared" si="2"/>
        <v>10</v>
      </c>
      <c r="D429" s="22">
        <f t="shared" si="3"/>
        <v>6</v>
      </c>
      <c r="E429" s="22">
        <f t="shared" si="1"/>
        <v>2</v>
      </c>
      <c r="F429" s="20"/>
      <c r="G429" s="20"/>
      <c r="H429" s="20"/>
      <c r="I429" s="20"/>
      <c r="J429" s="20"/>
      <c r="K429" s="20"/>
      <c r="L429" s="22">
        <f t="shared" si="4"/>
        <v>43</v>
      </c>
      <c r="M429" s="38">
        <f t="shared" si="5"/>
        <v>0.8113207547</v>
      </c>
      <c r="N429" s="22">
        <f t="shared" si="6"/>
        <v>1849</v>
      </c>
      <c r="O429" s="20"/>
      <c r="P429" s="22">
        <f t="shared" si="7"/>
        <v>47</v>
      </c>
      <c r="Q429" s="38">
        <f t="shared" si="8"/>
        <v>0.8867924528</v>
      </c>
      <c r="R429" s="22">
        <f t="shared" si="9"/>
        <v>2209</v>
      </c>
      <c r="S429" s="20"/>
      <c r="T429" s="22">
        <f t="shared" si="10"/>
        <v>51</v>
      </c>
      <c r="U429" s="38">
        <f t="shared" si="11"/>
        <v>0.9622641509</v>
      </c>
      <c r="V429" s="22">
        <f t="shared" si="12"/>
        <v>2601</v>
      </c>
    </row>
    <row r="430">
      <c r="A430" s="2">
        <v>41158.0</v>
      </c>
      <c r="B430" s="5">
        <v>0.0</v>
      </c>
      <c r="C430" s="22">
        <f t="shared" si="2"/>
        <v>21</v>
      </c>
      <c r="D430" s="22">
        <f t="shared" si="3"/>
        <v>6</v>
      </c>
      <c r="E430" s="22">
        <f t="shared" si="1"/>
        <v>33</v>
      </c>
      <c r="F430" s="20"/>
      <c r="G430" s="20"/>
      <c r="H430" s="20"/>
      <c r="I430" s="20"/>
      <c r="J430" s="20"/>
      <c r="K430" s="20"/>
      <c r="L430" s="22">
        <f t="shared" si="4"/>
        <v>-21</v>
      </c>
      <c r="M430" s="38">
        <f t="shared" si="5"/>
        <v>1</v>
      </c>
      <c r="N430" s="22">
        <f t="shared" si="6"/>
        <v>441</v>
      </c>
      <c r="O430" s="20"/>
      <c r="P430" s="22">
        <f t="shared" si="7"/>
        <v>-6</v>
      </c>
      <c r="Q430" s="38">
        <f t="shared" si="8"/>
        <v>1</v>
      </c>
      <c r="R430" s="22">
        <f t="shared" si="9"/>
        <v>36</v>
      </c>
      <c r="S430" s="20"/>
      <c r="T430" s="22">
        <f t="shared" si="10"/>
        <v>-33</v>
      </c>
      <c r="U430" s="38">
        <f t="shared" si="11"/>
        <v>1</v>
      </c>
      <c r="V430" s="22">
        <f t="shared" si="12"/>
        <v>1089</v>
      </c>
    </row>
    <row r="431">
      <c r="A431" s="2">
        <v>41159.0</v>
      </c>
      <c r="B431" s="5">
        <v>0.0</v>
      </c>
      <c r="C431" s="22">
        <f t="shared" si="2"/>
        <v>11</v>
      </c>
      <c r="D431" s="22">
        <f t="shared" si="3"/>
        <v>6</v>
      </c>
      <c r="E431" s="22">
        <f t="shared" si="1"/>
        <v>13</v>
      </c>
      <c r="F431" s="20"/>
      <c r="G431" s="20"/>
      <c r="H431" s="20"/>
      <c r="I431" s="20"/>
      <c r="J431" s="20"/>
      <c r="K431" s="20"/>
      <c r="L431" s="22">
        <f t="shared" si="4"/>
        <v>-11</v>
      </c>
      <c r="M431" s="38">
        <f t="shared" si="5"/>
        <v>1</v>
      </c>
      <c r="N431" s="22">
        <f t="shared" si="6"/>
        <v>121</v>
      </c>
      <c r="O431" s="20"/>
      <c r="P431" s="22">
        <f t="shared" si="7"/>
        <v>-6</v>
      </c>
      <c r="Q431" s="38">
        <f t="shared" si="8"/>
        <v>1</v>
      </c>
      <c r="R431" s="22">
        <f t="shared" si="9"/>
        <v>36</v>
      </c>
      <c r="S431" s="20"/>
      <c r="T431" s="22">
        <f t="shared" si="10"/>
        <v>-13</v>
      </c>
      <c r="U431" s="38">
        <f t="shared" si="11"/>
        <v>1</v>
      </c>
      <c r="V431" s="22">
        <f t="shared" si="12"/>
        <v>169</v>
      </c>
    </row>
    <row r="432">
      <c r="A432" s="2">
        <v>41162.0</v>
      </c>
      <c r="B432" s="5">
        <v>0.0</v>
      </c>
      <c r="C432" s="22">
        <f t="shared" si="2"/>
        <v>11</v>
      </c>
      <c r="D432" s="22">
        <f t="shared" si="3"/>
        <v>6</v>
      </c>
      <c r="E432" s="22">
        <f t="shared" si="1"/>
        <v>5</v>
      </c>
      <c r="F432" s="20"/>
      <c r="G432" s="20"/>
      <c r="H432" s="20"/>
      <c r="I432" s="20"/>
      <c r="J432" s="20"/>
      <c r="K432" s="20"/>
      <c r="L432" s="22">
        <f t="shared" si="4"/>
        <v>-11</v>
      </c>
      <c r="M432" s="38">
        <f t="shared" si="5"/>
        <v>1</v>
      </c>
      <c r="N432" s="22">
        <f t="shared" si="6"/>
        <v>121</v>
      </c>
      <c r="O432" s="20"/>
      <c r="P432" s="22">
        <f t="shared" si="7"/>
        <v>-6</v>
      </c>
      <c r="Q432" s="38">
        <f t="shared" si="8"/>
        <v>1</v>
      </c>
      <c r="R432" s="22">
        <f t="shared" si="9"/>
        <v>36</v>
      </c>
      <c r="S432" s="20"/>
      <c r="T432" s="22">
        <f t="shared" si="10"/>
        <v>-5</v>
      </c>
      <c r="U432" s="38">
        <f t="shared" si="11"/>
        <v>1</v>
      </c>
      <c r="V432" s="22">
        <f t="shared" si="12"/>
        <v>25</v>
      </c>
    </row>
    <row r="433">
      <c r="A433" s="2">
        <v>41163.0</v>
      </c>
      <c r="B433" s="5">
        <v>0.0</v>
      </c>
      <c r="C433" s="22">
        <f t="shared" si="2"/>
        <v>11</v>
      </c>
      <c r="D433" s="22">
        <f t="shared" si="3"/>
        <v>6</v>
      </c>
      <c r="E433" s="22">
        <f t="shared" si="1"/>
        <v>2</v>
      </c>
      <c r="F433" s="20"/>
      <c r="G433" s="20"/>
      <c r="H433" s="20"/>
      <c r="I433" s="20"/>
      <c r="J433" s="20"/>
      <c r="K433" s="20"/>
      <c r="L433" s="22">
        <f t="shared" si="4"/>
        <v>-11</v>
      </c>
      <c r="M433" s="38">
        <f t="shared" si="5"/>
        <v>1</v>
      </c>
      <c r="N433" s="22">
        <f t="shared" si="6"/>
        <v>121</v>
      </c>
      <c r="O433" s="20"/>
      <c r="P433" s="22">
        <f t="shared" si="7"/>
        <v>-6</v>
      </c>
      <c r="Q433" s="38">
        <f t="shared" si="8"/>
        <v>1</v>
      </c>
      <c r="R433" s="22">
        <f t="shared" si="9"/>
        <v>36</v>
      </c>
      <c r="S433" s="20"/>
      <c r="T433" s="22">
        <f t="shared" si="10"/>
        <v>-2</v>
      </c>
      <c r="U433" s="38">
        <f t="shared" si="11"/>
        <v>1</v>
      </c>
      <c r="V433" s="22">
        <f t="shared" si="12"/>
        <v>4</v>
      </c>
    </row>
    <row r="434">
      <c r="A434" s="2">
        <v>41164.0</v>
      </c>
      <c r="B434" s="5">
        <v>53.0</v>
      </c>
      <c r="C434" s="22">
        <f t="shared" si="2"/>
        <v>11</v>
      </c>
      <c r="D434" s="22">
        <f t="shared" si="3"/>
        <v>6</v>
      </c>
      <c r="E434" s="22">
        <f t="shared" si="1"/>
        <v>1</v>
      </c>
      <c r="F434" s="20"/>
      <c r="G434" s="20"/>
      <c r="H434" s="20"/>
      <c r="I434" s="20"/>
      <c r="J434" s="20"/>
      <c r="K434" s="20"/>
      <c r="L434" s="22">
        <f t="shared" si="4"/>
        <v>42</v>
      </c>
      <c r="M434" s="38">
        <f t="shared" si="5"/>
        <v>0.7924528302</v>
      </c>
      <c r="N434" s="22">
        <f t="shared" si="6"/>
        <v>1764</v>
      </c>
      <c r="O434" s="20"/>
      <c r="P434" s="22">
        <f t="shared" si="7"/>
        <v>47</v>
      </c>
      <c r="Q434" s="38">
        <f t="shared" si="8"/>
        <v>0.8867924528</v>
      </c>
      <c r="R434" s="22">
        <f t="shared" si="9"/>
        <v>2209</v>
      </c>
      <c r="S434" s="20"/>
      <c r="T434" s="22">
        <f t="shared" si="10"/>
        <v>52</v>
      </c>
      <c r="U434" s="38">
        <f t="shared" si="11"/>
        <v>0.9811320755</v>
      </c>
      <c r="V434" s="22">
        <f t="shared" si="12"/>
        <v>2704</v>
      </c>
    </row>
    <row r="435">
      <c r="A435" s="2">
        <v>41165.0</v>
      </c>
      <c r="B435" s="5">
        <v>0.0</v>
      </c>
      <c r="C435" s="22">
        <f t="shared" si="2"/>
        <v>11</v>
      </c>
      <c r="D435" s="22">
        <f t="shared" si="3"/>
        <v>6</v>
      </c>
      <c r="E435" s="22">
        <f t="shared" si="1"/>
        <v>32</v>
      </c>
      <c r="F435" s="20"/>
      <c r="G435" s="20"/>
      <c r="H435" s="20"/>
      <c r="I435" s="20"/>
      <c r="J435" s="20"/>
      <c r="K435" s="20"/>
      <c r="L435" s="22">
        <f t="shared" si="4"/>
        <v>-11</v>
      </c>
      <c r="M435" s="38">
        <f t="shared" si="5"/>
        <v>1</v>
      </c>
      <c r="N435" s="22">
        <f t="shared" si="6"/>
        <v>121</v>
      </c>
      <c r="O435" s="20"/>
      <c r="P435" s="22">
        <f t="shared" si="7"/>
        <v>-6</v>
      </c>
      <c r="Q435" s="38">
        <f t="shared" si="8"/>
        <v>1</v>
      </c>
      <c r="R435" s="22">
        <f t="shared" si="9"/>
        <v>36</v>
      </c>
      <c r="S435" s="20"/>
      <c r="T435" s="22">
        <f t="shared" si="10"/>
        <v>-32</v>
      </c>
      <c r="U435" s="38">
        <f t="shared" si="11"/>
        <v>1</v>
      </c>
      <c r="V435" s="22">
        <f t="shared" si="12"/>
        <v>1024</v>
      </c>
    </row>
    <row r="436">
      <c r="A436" s="2">
        <v>41166.0</v>
      </c>
      <c r="B436" s="5">
        <v>0.0</v>
      </c>
      <c r="C436" s="22">
        <f t="shared" si="2"/>
        <v>11</v>
      </c>
      <c r="D436" s="22">
        <f t="shared" si="3"/>
        <v>6</v>
      </c>
      <c r="E436" s="22">
        <f t="shared" si="1"/>
        <v>13</v>
      </c>
      <c r="F436" s="20"/>
      <c r="G436" s="20"/>
      <c r="H436" s="20"/>
      <c r="I436" s="20"/>
      <c r="J436" s="20"/>
      <c r="K436" s="20"/>
      <c r="L436" s="22">
        <f t="shared" si="4"/>
        <v>-11</v>
      </c>
      <c r="M436" s="38">
        <f t="shared" si="5"/>
        <v>1</v>
      </c>
      <c r="N436" s="22">
        <f t="shared" si="6"/>
        <v>121</v>
      </c>
      <c r="O436" s="20"/>
      <c r="P436" s="22">
        <f t="shared" si="7"/>
        <v>-6</v>
      </c>
      <c r="Q436" s="38">
        <f t="shared" si="8"/>
        <v>1</v>
      </c>
      <c r="R436" s="22">
        <f t="shared" si="9"/>
        <v>36</v>
      </c>
      <c r="S436" s="20"/>
      <c r="T436" s="22">
        <f t="shared" si="10"/>
        <v>-13</v>
      </c>
      <c r="U436" s="38">
        <f t="shared" si="11"/>
        <v>1</v>
      </c>
      <c r="V436" s="22">
        <f t="shared" si="12"/>
        <v>169</v>
      </c>
    </row>
    <row r="437">
      <c r="A437" s="2">
        <v>41169.0</v>
      </c>
      <c r="B437" s="5">
        <v>0.0</v>
      </c>
      <c r="C437" s="22">
        <f t="shared" si="2"/>
        <v>11</v>
      </c>
      <c r="D437" s="22">
        <f t="shared" si="3"/>
        <v>6</v>
      </c>
      <c r="E437" s="22">
        <f t="shared" si="1"/>
        <v>5</v>
      </c>
      <c r="F437" s="20"/>
      <c r="G437" s="20"/>
      <c r="H437" s="20"/>
      <c r="I437" s="20"/>
      <c r="J437" s="20"/>
      <c r="K437" s="20"/>
      <c r="L437" s="22">
        <f t="shared" si="4"/>
        <v>-11</v>
      </c>
      <c r="M437" s="38">
        <f t="shared" si="5"/>
        <v>1</v>
      </c>
      <c r="N437" s="22">
        <f t="shared" si="6"/>
        <v>121</v>
      </c>
      <c r="O437" s="20"/>
      <c r="P437" s="22">
        <f t="shared" si="7"/>
        <v>-6</v>
      </c>
      <c r="Q437" s="38">
        <f t="shared" si="8"/>
        <v>1</v>
      </c>
      <c r="R437" s="22">
        <f t="shared" si="9"/>
        <v>36</v>
      </c>
      <c r="S437" s="20"/>
      <c r="T437" s="22">
        <f t="shared" si="10"/>
        <v>-5</v>
      </c>
      <c r="U437" s="38">
        <f t="shared" si="11"/>
        <v>1</v>
      </c>
      <c r="V437" s="22">
        <f t="shared" si="12"/>
        <v>25</v>
      </c>
    </row>
    <row r="438">
      <c r="A438" s="2">
        <v>41170.0</v>
      </c>
      <c r="B438" s="5">
        <v>8.0</v>
      </c>
      <c r="C438" s="22">
        <f t="shared" si="2"/>
        <v>11</v>
      </c>
      <c r="D438" s="22">
        <f t="shared" si="3"/>
        <v>6</v>
      </c>
      <c r="E438" s="22">
        <f t="shared" si="1"/>
        <v>2</v>
      </c>
      <c r="F438" s="20"/>
      <c r="G438" s="20"/>
      <c r="H438" s="20"/>
      <c r="I438" s="20"/>
      <c r="J438" s="20"/>
      <c r="K438" s="20"/>
      <c r="L438" s="22">
        <f t="shared" si="4"/>
        <v>-3</v>
      </c>
      <c r="M438" s="38">
        <f t="shared" si="5"/>
        <v>0.375</v>
      </c>
      <c r="N438" s="22">
        <f t="shared" si="6"/>
        <v>9</v>
      </c>
      <c r="O438" s="20"/>
      <c r="P438" s="22">
        <f t="shared" si="7"/>
        <v>2</v>
      </c>
      <c r="Q438" s="38">
        <f t="shared" si="8"/>
        <v>0.25</v>
      </c>
      <c r="R438" s="22">
        <f t="shared" si="9"/>
        <v>4</v>
      </c>
      <c r="S438" s="20"/>
      <c r="T438" s="22">
        <f t="shared" si="10"/>
        <v>6</v>
      </c>
      <c r="U438" s="38">
        <f t="shared" si="11"/>
        <v>0.75</v>
      </c>
      <c r="V438" s="22">
        <f t="shared" si="12"/>
        <v>36</v>
      </c>
    </row>
    <row r="439">
      <c r="A439" s="2">
        <v>41171.0</v>
      </c>
      <c r="B439" s="5">
        <v>51.0</v>
      </c>
      <c r="C439" s="22">
        <f t="shared" si="2"/>
        <v>12</v>
      </c>
      <c r="D439" s="22">
        <f t="shared" si="3"/>
        <v>6</v>
      </c>
      <c r="E439" s="22">
        <f t="shared" si="1"/>
        <v>6</v>
      </c>
      <c r="F439" s="20"/>
      <c r="G439" s="20"/>
      <c r="H439" s="20"/>
      <c r="I439" s="20"/>
      <c r="J439" s="20"/>
      <c r="K439" s="20"/>
      <c r="L439" s="22">
        <f t="shared" si="4"/>
        <v>39</v>
      </c>
      <c r="M439" s="38">
        <f t="shared" si="5"/>
        <v>0.7647058824</v>
      </c>
      <c r="N439" s="22">
        <f t="shared" si="6"/>
        <v>1521</v>
      </c>
      <c r="O439" s="20"/>
      <c r="P439" s="22">
        <f t="shared" si="7"/>
        <v>45</v>
      </c>
      <c r="Q439" s="38">
        <f t="shared" si="8"/>
        <v>0.8823529412</v>
      </c>
      <c r="R439" s="22">
        <f t="shared" si="9"/>
        <v>2025</v>
      </c>
      <c r="S439" s="20"/>
      <c r="T439" s="22">
        <f t="shared" si="10"/>
        <v>45</v>
      </c>
      <c r="U439" s="38">
        <f t="shared" si="11"/>
        <v>0.8823529412</v>
      </c>
      <c r="V439" s="22">
        <f t="shared" si="12"/>
        <v>2025</v>
      </c>
    </row>
    <row r="440">
      <c r="A440" s="2">
        <v>41172.0</v>
      </c>
      <c r="B440" s="5">
        <v>0.0</v>
      </c>
      <c r="C440" s="22">
        <f t="shared" si="2"/>
        <v>12</v>
      </c>
      <c r="D440" s="22">
        <f t="shared" si="3"/>
        <v>6</v>
      </c>
      <c r="E440" s="22">
        <f t="shared" si="1"/>
        <v>33</v>
      </c>
      <c r="F440" s="20"/>
      <c r="G440" s="20"/>
      <c r="H440" s="20"/>
      <c r="I440" s="20"/>
      <c r="J440" s="20"/>
      <c r="K440" s="20"/>
      <c r="L440" s="22">
        <f t="shared" si="4"/>
        <v>-12</v>
      </c>
      <c r="M440" s="38">
        <f t="shared" si="5"/>
        <v>1</v>
      </c>
      <c r="N440" s="22">
        <f t="shared" si="6"/>
        <v>144</v>
      </c>
      <c r="O440" s="20"/>
      <c r="P440" s="22">
        <f t="shared" si="7"/>
        <v>-6</v>
      </c>
      <c r="Q440" s="38">
        <f t="shared" si="8"/>
        <v>1</v>
      </c>
      <c r="R440" s="22">
        <f t="shared" si="9"/>
        <v>36</v>
      </c>
      <c r="S440" s="20"/>
      <c r="T440" s="22">
        <f t="shared" si="10"/>
        <v>-33</v>
      </c>
      <c r="U440" s="38">
        <f t="shared" si="11"/>
        <v>1</v>
      </c>
      <c r="V440" s="22">
        <f t="shared" si="12"/>
        <v>1089</v>
      </c>
    </row>
    <row r="441">
      <c r="A441" s="2">
        <v>41173.0</v>
      </c>
      <c r="B441" s="5">
        <v>0.0</v>
      </c>
      <c r="C441" s="22">
        <f t="shared" si="2"/>
        <v>12</v>
      </c>
      <c r="D441" s="22">
        <f t="shared" si="3"/>
        <v>6</v>
      </c>
      <c r="E441" s="22">
        <f t="shared" si="1"/>
        <v>13</v>
      </c>
      <c r="F441" s="20"/>
      <c r="G441" s="20"/>
      <c r="H441" s="20"/>
      <c r="I441" s="20"/>
      <c r="J441" s="20"/>
      <c r="K441" s="20"/>
      <c r="L441" s="22">
        <f t="shared" si="4"/>
        <v>-12</v>
      </c>
      <c r="M441" s="38">
        <f t="shared" si="5"/>
        <v>1</v>
      </c>
      <c r="N441" s="22">
        <f t="shared" si="6"/>
        <v>144</v>
      </c>
      <c r="O441" s="20"/>
      <c r="P441" s="22">
        <f t="shared" si="7"/>
        <v>-6</v>
      </c>
      <c r="Q441" s="38">
        <f t="shared" si="8"/>
        <v>1</v>
      </c>
      <c r="R441" s="22">
        <f t="shared" si="9"/>
        <v>36</v>
      </c>
      <c r="S441" s="20"/>
      <c r="T441" s="22">
        <f t="shared" si="10"/>
        <v>-13</v>
      </c>
      <c r="U441" s="38">
        <f t="shared" si="11"/>
        <v>1</v>
      </c>
      <c r="V441" s="22">
        <f t="shared" si="12"/>
        <v>169</v>
      </c>
    </row>
    <row r="442">
      <c r="A442" s="2">
        <v>41176.0</v>
      </c>
      <c r="B442" s="5">
        <v>0.0</v>
      </c>
      <c r="C442" s="22">
        <f t="shared" si="2"/>
        <v>12</v>
      </c>
      <c r="D442" s="22">
        <f t="shared" si="3"/>
        <v>6</v>
      </c>
      <c r="E442" s="22">
        <f t="shared" si="1"/>
        <v>5</v>
      </c>
      <c r="F442" s="20"/>
      <c r="G442" s="20"/>
      <c r="H442" s="20"/>
      <c r="I442" s="20"/>
      <c r="J442" s="20"/>
      <c r="K442" s="20"/>
      <c r="L442" s="22">
        <f t="shared" si="4"/>
        <v>-12</v>
      </c>
      <c r="M442" s="38">
        <f t="shared" si="5"/>
        <v>1</v>
      </c>
      <c r="N442" s="22">
        <f t="shared" si="6"/>
        <v>144</v>
      </c>
      <c r="O442" s="20"/>
      <c r="P442" s="22">
        <f t="shared" si="7"/>
        <v>-6</v>
      </c>
      <c r="Q442" s="38">
        <f t="shared" si="8"/>
        <v>1</v>
      </c>
      <c r="R442" s="22">
        <f t="shared" si="9"/>
        <v>36</v>
      </c>
      <c r="S442" s="20"/>
      <c r="T442" s="22">
        <f t="shared" si="10"/>
        <v>-5</v>
      </c>
      <c r="U442" s="38">
        <f t="shared" si="11"/>
        <v>1</v>
      </c>
      <c r="V442" s="22">
        <f t="shared" si="12"/>
        <v>25</v>
      </c>
    </row>
    <row r="443">
      <c r="A443" s="2">
        <v>41177.0</v>
      </c>
      <c r="B443" s="5">
        <v>8.0</v>
      </c>
      <c r="C443" s="22">
        <f t="shared" si="2"/>
        <v>12</v>
      </c>
      <c r="D443" s="22">
        <f t="shared" si="3"/>
        <v>6</v>
      </c>
      <c r="E443" s="22">
        <f t="shared" si="1"/>
        <v>2</v>
      </c>
      <c r="F443" s="20"/>
      <c r="G443" s="20"/>
      <c r="H443" s="20"/>
      <c r="I443" s="20"/>
      <c r="J443" s="20"/>
      <c r="K443" s="20"/>
      <c r="L443" s="22">
        <f t="shared" si="4"/>
        <v>-4</v>
      </c>
      <c r="M443" s="38">
        <f t="shared" si="5"/>
        <v>0.5</v>
      </c>
      <c r="N443" s="22">
        <f t="shared" si="6"/>
        <v>16</v>
      </c>
      <c r="O443" s="20"/>
      <c r="P443" s="22">
        <f t="shared" si="7"/>
        <v>2</v>
      </c>
      <c r="Q443" s="38">
        <f t="shared" si="8"/>
        <v>0.25</v>
      </c>
      <c r="R443" s="22">
        <f t="shared" si="9"/>
        <v>4</v>
      </c>
      <c r="S443" s="20"/>
      <c r="T443" s="22">
        <f t="shared" si="10"/>
        <v>6</v>
      </c>
      <c r="U443" s="38">
        <f t="shared" si="11"/>
        <v>0.75</v>
      </c>
      <c r="V443" s="22">
        <f t="shared" si="12"/>
        <v>36</v>
      </c>
    </row>
    <row r="444">
      <c r="A444" s="2">
        <v>41178.0</v>
      </c>
      <c r="B444" s="5">
        <v>56.0</v>
      </c>
      <c r="C444" s="22">
        <f t="shared" si="2"/>
        <v>12</v>
      </c>
      <c r="D444" s="22">
        <f t="shared" si="3"/>
        <v>6</v>
      </c>
      <c r="E444" s="22">
        <f t="shared" si="1"/>
        <v>6</v>
      </c>
      <c r="F444" s="20"/>
      <c r="G444" s="20"/>
      <c r="H444" s="20"/>
      <c r="I444" s="20"/>
      <c r="J444" s="20"/>
      <c r="K444" s="20"/>
      <c r="L444" s="22">
        <f t="shared" si="4"/>
        <v>44</v>
      </c>
      <c r="M444" s="38">
        <f t="shared" si="5"/>
        <v>0.7857142857</v>
      </c>
      <c r="N444" s="22">
        <f t="shared" si="6"/>
        <v>1936</v>
      </c>
      <c r="O444" s="20"/>
      <c r="P444" s="22">
        <f t="shared" si="7"/>
        <v>50</v>
      </c>
      <c r="Q444" s="38">
        <f t="shared" si="8"/>
        <v>0.8928571429</v>
      </c>
      <c r="R444" s="22">
        <f t="shared" si="9"/>
        <v>2500</v>
      </c>
      <c r="S444" s="20"/>
      <c r="T444" s="22">
        <f t="shared" si="10"/>
        <v>50</v>
      </c>
      <c r="U444" s="38">
        <f t="shared" si="11"/>
        <v>0.8928571429</v>
      </c>
      <c r="V444" s="22">
        <f t="shared" si="12"/>
        <v>2500</v>
      </c>
    </row>
    <row r="445">
      <c r="A445" s="2">
        <v>41179.0</v>
      </c>
      <c r="B445" s="5">
        <v>0.0</v>
      </c>
      <c r="C445" s="22">
        <f t="shared" si="2"/>
        <v>13</v>
      </c>
      <c r="D445" s="22">
        <f t="shared" si="3"/>
        <v>6</v>
      </c>
      <c r="E445" s="22">
        <f t="shared" si="1"/>
        <v>36</v>
      </c>
      <c r="F445" s="20"/>
      <c r="G445" s="20"/>
      <c r="H445" s="20"/>
      <c r="I445" s="20"/>
      <c r="J445" s="20"/>
      <c r="K445" s="20"/>
      <c r="L445" s="22">
        <f t="shared" si="4"/>
        <v>-13</v>
      </c>
      <c r="M445" s="38">
        <f t="shared" si="5"/>
        <v>1</v>
      </c>
      <c r="N445" s="22">
        <f t="shared" si="6"/>
        <v>169</v>
      </c>
      <c r="O445" s="20"/>
      <c r="P445" s="22">
        <f t="shared" si="7"/>
        <v>-6</v>
      </c>
      <c r="Q445" s="38">
        <f t="shared" si="8"/>
        <v>1</v>
      </c>
      <c r="R445" s="22">
        <f t="shared" si="9"/>
        <v>36</v>
      </c>
      <c r="S445" s="20"/>
      <c r="T445" s="22">
        <f t="shared" si="10"/>
        <v>-36</v>
      </c>
      <c r="U445" s="38">
        <f t="shared" si="11"/>
        <v>1</v>
      </c>
      <c r="V445" s="22">
        <f t="shared" si="12"/>
        <v>1296</v>
      </c>
    </row>
    <row r="446">
      <c r="A446" s="2">
        <v>41180.0</v>
      </c>
      <c r="B446" s="5">
        <v>0.0</v>
      </c>
      <c r="C446" s="22">
        <f t="shared" si="2"/>
        <v>13</v>
      </c>
      <c r="D446" s="22">
        <f t="shared" si="3"/>
        <v>6</v>
      </c>
      <c r="E446" s="22">
        <f t="shared" si="1"/>
        <v>14</v>
      </c>
      <c r="F446" s="20"/>
      <c r="G446" s="20"/>
      <c r="H446" s="20"/>
      <c r="I446" s="20"/>
      <c r="J446" s="20"/>
      <c r="K446" s="20"/>
      <c r="L446" s="22">
        <f t="shared" si="4"/>
        <v>-13</v>
      </c>
      <c r="M446" s="38">
        <f t="shared" si="5"/>
        <v>1</v>
      </c>
      <c r="N446" s="22">
        <f t="shared" si="6"/>
        <v>169</v>
      </c>
      <c r="O446" s="20"/>
      <c r="P446" s="22">
        <f t="shared" si="7"/>
        <v>-6</v>
      </c>
      <c r="Q446" s="38">
        <f t="shared" si="8"/>
        <v>1</v>
      </c>
      <c r="R446" s="22">
        <f t="shared" si="9"/>
        <v>36</v>
      </c>
      <c r="S446" s="20"/>
      <c r="T446" s="22">
        <f t="shared" si="10"/>
        <v>-14</v>
      </c>
      <c r="U446" s="38">
        <f t="shared" si="11"/>
        <v>1</v>
      </c>
      <c r="V446" s="22">
        <f t="shared" si="12"/>
        <v>196</v>
      </c>
    </row>
    <row r="447">
      <c r="A447" s="2">
        <v>41183.0</v>
      </c>
      <c r="B447" s="5">
        <v>0.0</v>
      </c>
      <c r="C447" s="22">
        <f t="shared" si="2"/>
        <v>13</v>
      </c>
      <c r="D447" s="22">
        <f t="shared" si="3"/>
        <v>6</v>
      </c>
      <c r="E447" s="22">
        <f t="shared" si="1"/>
        <v>6</v>
      </c>
      <c r="F447" s="20"/>
      <c r="G447" s="20"/>
      <c r="H447" s="20"/>
      <c r="I447" s="20"/>
      <c r="J447" s="20"/>
      <c r="K447" s="20"/>
      <c r="L447" s="22">
        <f t="shared" si="4"/>
        <v>-13</v>
      </c>
      <c r="M447" s="38">
        <f t="shared" si="5"/>
        <v>1</v>
      </c>
      <c r="N447" s="22">
        <f t="shared" si="6"/>
        <v>169</v>
      </c>
      <c r="O447" s="20"/>
      <c r="P447" s="22">
        <f t="shared" si="7"/>
        <v>-6</v>
      </c>
      <c r="Q447" s="38">
        <f t="shared" si="8"/>
        <v>1</v>
      </c>
      <c r="R447" s="22">
        <f t="shared" si="9"/>
        <v>36</v>
      </c>
      <c r="S447" s="20"/>
      <c r="T447" s="22">
        <f t="shared" si="10"/>
        <v>-6</v>
      </c>
      <c r="U447" s="38">
        <f t="shared" si="11"/>
        <v>1</v>
      </c>
      <c r="V447" s="22">
        <f t="shared" si="12"/>
        <v>36</v>
      </c>
    </row>
    <row r="448">
      <c r="A448" s="2">
        <v>41184.0</v>
      </c>
      <c r="B448" s="5">
        <v>0.0</v>
      </c>
      <c r="C448" s="22">
        <f t="shared" si="2"/>
        <v>13</v>
      </c>
      <c r="D448" s="22">
        <f t="shared" si="3"/>
        <v>6</v>
      </c>
      <c r="E448" s="22">
        <f t="shared" si="1"/>
        <v>2</v>
      </c>
      <c r="F448" s="20"/>
      <c r="G448" s="20"/>
      <c r="H448" s="20"/>
      <c r="I448" s="20"/>
      <c r="J448" s="20"/>
      <c r="K448" s="20"/>
      <c r="L448" s="22">
        <f t="shared" si="4"/>
        <v>-13</v>
      </c>
      <c r="M448" s="38">
        <f t="shared" si="5"/>
        <v>1</v>
      </c>
      <c r="N448" s="22">
        <f t="shared" si="6"/>
        <v>169</v>
      </c>
      <c r="O448" s="20"/>
      <c r="P448" s="22">
        <f t="shared" si="7"/>
        <v>-6</v>
      </c>
      <c r="Q448" s="38">
        <f t="shared" si="8"/>
        <v>1</v>
      </c>
      <c r="R448" s="22">
        <f t="shared" si="9"/>
        <v>36</v>
      </c>
      <c r="S448" s="20"/>
      <c r="T448" s="22">
        <f t="shared" si="10"/>
        <v>-2</v>
      </c>
      <c r="U448" s="38">
        <f t="shared" si="11"/>
        <v>1</v>
      </c>
      <c r="V448" s="22">
        <f t="shared" si="12"/>
        <v>4</v>
      </c>
    </row>
    <row r="449">
      <c r="A449" s="2">
        <v>41185.0</v>
      </c>
      <c r="B449" s="5">
        <v>62.0</v>
      </c>
      <c r="C449" s="22">
        <f t="shared" si="2"/>
        <v>11</v>
      </c>
      <c r="D449" s="22">
        <f t="shared" si="3"/>
        <v>6</v>
      </c>
      <c r="E449" s="22">
        <f t="shared" si="1"/>
        <v>1</v>
      </c>
      <c r="F449" s="20"/>
      <c r="G449" s="20"/>
      <c r="H449" s="20"/>
      <c r="I449" s="20"/>
      <c r="J449" s="20"/>
      <c r="K449" s="20"/>
      <c r="L449" s="22">
        <f t="shared" si="4"/>
        <v>51</v>
      </c>
      <c r="M449" s="38">
        <f t="shared" si="5"/>
        <v>0.8225806452</v>
      </c>
      <c r="N449" s="22">
        <f t="shared" si="6"/>
        <v>2601</v>
      </c>
      <c r="O449" s="20"/>
      <c r="P449" s="22">
        <f t="shared" si="7"/>
        <v>56</v>
      </c>
      <c r="Q449" s="38">
        <f t="shared" si="8"/>
        <v>0.9032258065</v>
      </c>
      <c r="R449" s="22">
        <f t="shared" si="9"/>
        <v>3136</v>
      </c>
      <c r="S449" s="20"/>
      <c r="T449" s="22">
        <f t="shared" si="10"/>
        <v>61</v>
      </c>
      <c r="U449" s="38">
        <f t="shared" si="11"/>
        <v>0.9838709677</v>
      </c>
      <c r="V449" s="22">
        <f t="shared" si="12"/>
        <v>3721</v>
      </c>
    </row>
    <row r="450">
      <c r="A450" s="2">
        <v>41186.0</v>
      </c>
      <c r="B450" s="5">
        <v>0.0</v>
      </c>
      <c r="C450" s="22">
        <f t="shared" si="2"/>
        <v>12</v>
      </c>
      <c r="D450" s="22">
        <f t="shared" si="3"/>
        <v>6</v>
      </c>
      <c r="E450" s="22">
        <f t="shared" si="1"/>
        <v>38</v>
      </c>
      <c r="F450" s="20"/>
      <c r="G450" s="20"/>
      <c r="H450" s="20"/>
      <c r="I450" s="20"/>
      <c r="J450" s="20"/>
      <c r="K450" s="20"/>
      <c r="L450" s="22">
        <f t="shared" si="4"/>
        <v>-12</v>
      </c>
      <c r="M450" s="38">
        <f t="shared" si="5"/>
        <v>1</v>
      </c>
      <c r="N450" s="22">
        <f t="shared" si="6"/>
        <v>144</v>
      </c>
      <c r="O450" s="20"/>
      <c r="P450" s="22">
        <f t="shared" si="7"/>
        <v>-6</v>
      </c>
      <c r="Q450" s="38">
        <f t="shared" si="8"/>
        <v>1</v>
      </c>
      <c r="R450" s="22">
        <f t="shared" si="9"/>
        <v>36</v>
      </c>
      <c r="S450" s="20"/>
      <c r="T450" s="22">
        <f t="shared" si="10"/>
        <v>-38</v>
      </c>
      <c r="U450" s="38">
        <f t="shared" si="11"/>
        <v>1</v>
      </c>
      <c r="V450" s="22">
        <f t="shared" si="12"/>
        <v>1444</v>
      </c>
    </row>
    <row r="451">
      <c r="A451" s="2">
        <v>41187.0</v>
      </c>
      <c r="B451" s="5">
        <v>0.0</v>
      </c>
      <c r="C451" s="22">
        <f t="shared" si="2"/>
        <v>12</v>
      </c>
      <c r="D451" s="22">
        <f t="shared" si="3"/>
        <v>6</v>
      </c>
      <c r="E451" s="22">
        <f t="shared" si="1"/>
        <v>15</v>
      </c>
      <c r="F451" s="20"/>
      <c r="G451" s="20"/>
      <c r="H451" s="20"/>
      <c r="I451" s="20"/>
      <c r="J451" s="20"/>
      <c r="K451" s="20"/>
      <c r="L451" s="22">
        <f t="shared" si="4"/>
        <v>-12</v>
      </c>
      <c r="M451" s="38">
        <f t="shared" si="5"/>
        <v>1</v>
      </c>
      <c r="N451" s="22">
        <f t="shared" si="6"/>
        <v>144</v>
      </c>
      <c r="O451" s="20"/>
      <c r="P451" s="22">
        <f t="shared" si="7"/>
        <v>-6</v>
      </c>
      <c r="Q451" s="38">
        <f t="shared" si="8"/>
        <v>1</v>
      </c>
      <c r="R451" s="22">
        <f t="shared" si="9"/>
        <v>36</v>
      </c>
      <c r="S451" s="20"/>
      <c r="T451" s="22">
        <f t="shared" si="10"/>
        <v>-15</v>
      </c>
      <c r="U451" s="38">
        <f t="shared" si="11"/>
        <v>1</v>
      </c>
      <c r="V451" s="22">
        <f t="shared" si="12"/>
        <v>225</v>
      </c>
    </row>
    <row r="452">
      <c r="A452" s="2">
        <v>41190.0</v>
      </c>
      <c r="B452" s="5">
        <v>0.0</v>
      </c>
      <c r="C452" s="22">
        <f t="shared" si="2"/>
        <v>12</v>
      </c>
      <c r="D452" s="22">
        <f t="shared" si="3"/>
        <v>6</v>
      </c>
      <c r="E452" s="22">
        <f t="shared" si="1"/>
        <v>6</v>
      </c>
      <c r="F452" s="20"/>
      <c r="G452" s="20"/>
      <c r="H452" s="20"/>
      <c r="I452" s="20"/>
      <c r="J452" s="20"/>
      <c r="K452" s="20"/>
      <c r="L452" s="22">
        <f t="shared" si="4"/>
        <v>-12</v>
      </c>
      <c r="M452" s="38">
        <f t="shared" si="5"/>
        <v>1</v>
      </c>
      <c r="N452" s="22">
        <f t="shared" si="6"/>
        <v>144</v>
      </c>
      <c r="O452" s="20"/>
      <c r="P452" s="22">
        <f t="shared" si="7"/>
        <v>-6</v>
      </c>
      <c r="Q452" s="38">
        <f t="shared" si="8"/>
        <v>1</v>
      </c>
      <c r="R452" s="22">
        <f t="shared" si="9"/>
        <v>36</v>
      </c>
      <c r="S452" s="20"/>
      <c r="T452" s="22">
        <f t="shared" si="10"/>
        <v>-6</v>
      </c>
      <c r="U452" s="38">
        <f t="shared" si="11"/>
        <v>1</v>
      </c>
      <c r="V452" s="22">
        <f t="shared" si="12"/>
        <v>36</v>
      </c>
    </row>
    <row r="453">
      <c r="A453" s="2">
        <v>41191.0</v>
      </c>
      <c r="B453" s="5">
        <v>0.0</v>
      </c>
      <c r="C453" s="22">
        <f t="shared" si="2"/>
        <v>12</v>
      </c>
      <c r="D453" s="22">
        <f t="shared" si="3"/>
        <v>6</v>
      </c>
      <c r="E453" s="22">
        <f t="shared" si="1"/>
        <v>2</v>
      </c>
      <c r="F453" s="20"/>
      <c r="G453" s="20"/>
      <c r="H453" s="20"/>
      <c r="I453" s="20"/>
      <c r="J453" s="20"/>
      <c r="K453" s="20"/>
      <c r="L453" s="22">
        <f t="shared" si="4"/>
        <v>-12</v>
      </c>
      <c r="M453" s="38">
        <f t="shared" si="5"/>
        <v>1</v>
      </c>
      <c r="N453" s="22">
        <f t="shared" si="6"/>
        <v>144</v>
      </c>
      <c r="O453" s="20"/>
      <c r="P453" s="22">
        <f t="shared" si="7"/>
        <v>-6</v>
      </c>
      <c r="Q453" s="38">
        <f t="shared" si="8"/>
        <v>1</v>
      </c>
      <c r="R453" s="22">
        <f t="shared" si="9"/>
        <v>36</v>
      </c>
      <c r="S453" s="20"/>
      <c r="T453" s="22">
        <f t="shared" si="10"/>
        <v>-2</v>
      </c>
      <c r="U453" s="38">
        <f t="shared" si="11"/>
        <v>1</v>
      </c>
      <c r="V453" s="22">
        <f t="shared" si="12"/>
        <v>4</v>
      </c>
    </row>
    <row r="454">
      <c r="A454" s="2">
        <v>41192.0</v>
      </c>
      <c r="B454" s="5">
        <v>62.0</v>
      </c>
      <c r="C454" s="22">
        <f t="shared" si="2"/>
        <v>12</v>
      </c>
      <c r="D454" s="22">
        <f t="shared" si="3"/>
        <v>6</v>
      </c>
      <c r="E454" s="22">
        <f t="shared" si="1"/>
        <v>1</v>
      </c>
      <c r="F454" s="20"/>
      <c r="G454" s="20"/>
      <c r="H454" s="20"/>
      <c r="I454" s="20"/>
      <c r="J454" s="20"/>
      <c r="K454" s="20"/>
      <c r="L454" s="22">
        <f t="shared" si="4"/>
        <v>50</v>
      </c>
      <c r="M454" s="38">
        <f t="shared" si="5"/>
        <v>0.8064516129</v>
      </c>
      <c r="N454" s="22">
        <f t="shared" si="6"/>
        <v>2500</v>
      </c>
      <c r="O454" s="20"/>
      <c r="P454" s="22">
        <f t="shared" si="7"/>
        <v>56</v>
      </c>
      <c r="Q454" s="38">
        <f t="shared" si="8"/>
        <v>0.9032258065</v>
      </c>
      <c r="R454" s="22">
        <f t="shared" si="9"/>
        <v>3136</v>
      </c>
      <c r="S454" s="20"/>
      <c r="T454" s="22">
        <f t="shared" si="10"/>
        <v>61</v>
      </c>
      <c r="U454" s="38">
        <f t="shared" si="11"/>
        <v>0.9838709677</v>
      </c>
      <c r="V454" s="22">
        <f t="shared" si="12"/>
        <v>3721</v>
      </c>
    </row>
    <row r="455">
      <c r="A455" s="2">
        <v>41193.0</v>
      </c>
      <c r="B455" s="5">
        <v>0.0</v>
      </c>
      <c r="C455" s="22">
        <f t="shared" si="2"/>
        <v>12</v>
      </c>
      <c r="D455" s="22">
        <f t="shared" si="3"/>
        <v>6</v>
      </c>
      <c r="E455" s="22">
        <f t="shared" si="1"/>
        <v>38</v>
      </c>
      <c r="F455" s="20"/>
      <c r="G455" s="20"/>
      <c r="H455" s="20"/>
      <c r="I455" s="20"/>
      <c r="J455" s="20"/>
      <c r="K455" s="20"/>
      <c r="L455" s="22">
        <f t="shared" si="4"/>
        <v>-12</v>
      </c>
      <c r="M455" s="38">
        <f t="shared" si="5"/>
        <v>1</v>
      </c>
      <c r="N455" s="22">
        <f t="shared" si="6"/>
        <v>144</v>
      </c>
      <c r="O455" s="20"/>
      <c r="P455" s="22">
        <f t="shared" si="7"/>
        <v>-6</v>
      </c>
      <c r="Q455" s="38">
        <f t="shared" si="8"/>
        <v>1</v>
      </c>
      <c r="R455" s="22">
        <f t="shared" si="9"/>
        <v>36</v>
      </c>
      <c r="S455" s="20"/>
      <c r="T455" s="22">
        <f t="shared" si="10"/>
        <v>-38</v>
      </c>
      <c r="U455" s="38">
        <f t="shared" si="11"/>
        <v>1</v>
      </c>
      <c r="V455" s="22">
        <f t="shared" si="12"/>
        <v>1444</v>
      </c>
    </row>
    <row r="456">
      <c r="A456" s="2">
        <v>41194.0</v>
      </c>
      <c r="B456" s="5">
        <v>0.0</v>
      </c>
      <c r="C456" s="22">
        <f t="shared" si="2"/>
        <v>12</v>
      </c>
      <c r="D456" s="22">
        <f t="shared" si="3"/>
        <v>6</v>
      </c>
      <c r="E456" s="22">
        <f t="shared" si="1"/>
        <v>15</v>
      </c>
      <c r="F456" s="20"/>
      <c r="G456" s="20"/>
      <c r="H456" s="20"/>
      <c r="I456" s="20"/>
      <c r="J456" s="20"/>
      <c r="K456" s="20"/>
      <c r="L456" s="22">
        <f t="shared" si="4"/>
        <v>-12</v>
      </c>
      <c r="M456" s="38">
        <f t="shared" si="5"/>
        <v>1</v>
      </c>
      <c r="N456" s="22">
        <f t="shared" si="6"/>
        <v>144</v>
      </c>
      <c r="O456" s="20"/>
      <c r="P456" s="22">
        <f t="shared" si="7"/>
        <v>-6</v>
      </c>
      <c r="Q456" s="38">
        <f t="shared" si="8"/>
        <v>1</v>
      </c>
      <c r="R456" s="22">
        <f t="shared" si="9"/>
        <v>36</v>
      </c>
      <c r="S456" s="20"/>
      <c r="T456" s="22">
        <f t="shared" si="10"/>
        <v>-15</v>
      </c>
      <c r="U456" s="38">
        <f t="shared" si="11"/>
        <v>1</v>
      </c>
      <c r="V456" s="22">
        <f t="shared" si="12"/>
        <v>225</v>
      </c>
    </row>
    <row r="457">
      <c r="A457" s="2">
        <v>41197.0</v>
      </c>
      <c r="B457" s="5">
        <v>0.0</v>
      </c>
      <c r="C457" s="22">
        <f t="shared" si="2"/>
        <v>12</v>
      </c>
      <c r="D457" s="22">
        <f t="shared" si="3"/>
        <v>6</v>
      </c>
      <c r="E457" s="22">
        <f t="shared" si="1"/>
        <v>6</v>
      </c>
      <c r="F457" s="20"/>
      <c r="G457" s="20"/>
      <c r="H457" s="20"/>
      <c r="I457" s="20"/>
      <c r="J457" s="20"/>
      <c r="K457" s="20"/>
      <c r="L457" s="22">
        <f t="shared" si="4"/>
        <v>-12</v>
      </c>
      <c r="M457" s="38">
        <f t="shared" si="5"/>
        <v>1</v>
      </c>
      <c r="N457" s="22">
        <f t="shared" si="6"/>
        <v>144</v>
      </c>
      <c r="O457" s="20"/>
      <c r="P457" s="22">
        <f t="shared" si="7"/>
        <v>-6</v>
      </c>
      <c r="Q457" s="38">
        <f t="shared" si="8"/>
        <v>1</v>
      </c>
      <c r="R457" s="22">
        <f t="shared" si="9"/>
        <v>36</v>
      </c>
      <c r="S457" s="20"/>
      <c r="T457" s="22">
        <f t="shared" si="10"/>
        <v>-6</v>
      </c>
      <c r="U457" s="38">
        <f t="shared" si="11"/>
        <v>1</v>
      </c>
      <c r="V457" s="22">
        <f t="shared" si="12"/>
        <v>36</v>
      </c>
    </row>
    <row r="458">
      <c r="A458" s="2">
        <v>41198.0</v>
      </c>
      <c r="B458" s="5">
        <v>10.0</v>
      </c>
      <c r="C458" s="22">
        <f t="shared" si="2"/>
        <v>12</v>
      </c>
      <c r="D458" s="22">
        <f t="shared" si="3"/>
        <v>6</v>
      </c>
      <c r="E458" s="22">
        <f t="shared" si="1"/>
        <v>2</v>
      </c>
      <c r="F458" s="20"/>
      <c r="G458" s="20"/>
      <c r="H458" s="20"/>
      <c r="I458" s="20"/>
      <c r="J458" s="20"/>
      <c r="K458" s="20"/>
      <c r="L458" s="22">
        <f t="shared" si="4"/>
        <v>-2</v>
      </c>
      <c r="M458" s="38">
        <f t="shared" si="5"/>
        <v>0.2</v>
      </c>
      <c r="N458" s="22">
        <f t="shared" si="6"/>
        <v>4</v>
      </c>
      <c r="O458" s="20"/>
      <c r="P458" s="22">
        <f t="shared" si="7"/>
        <v>4</v>
      </c>
      <c r="Q458" s="38">
        <f t="shared" si="8"/>
        <v>0.4</v>
      </c>
      <c r="R458" s="22">
        <f t="shared" si="9"/>
        <v>16</v>
      </c>
      <c r="S458" s="20"/>
      <c r="T458" s="22">
        <f t="shared" si="10"/>
        <v>8</v>
      </c>
      <c r="U458" s="38">
        <f t="shared" si="11"/>
        <v>0.8</v>
      </c>
      <c r="V458" s="22">
        <f t="shared" si="12"/>
        <v>64</v>
      </c>
    </row>
    <row r="459">
      <c r="A459" s="2">
        <v>41199.0</v>
      </c>
      <c r="B459" s="5">
        <v>52.0</v>
      </c>
      <c r="C459" s="22">
        <f t="shared" si="2"/>
        <v>14</v>
      </c>
      <c r="D459" s="22">
        <f t="shared" si="3"/>
        <v>6</v>
      </c>
      <c r="E459" s="22">
        <f t="shared" si="1"/>
        <v>7</v>
      </c>
      <c r="F459" s="20"/>
      <c r="G459" s="20"/>
      <c r="H459" s="20"/>
      <c r="I459" s="20"/>
      <c r="J459" s="20"/>
      <c r="K459" s="20"/>
      <c r="L459" s="22">
        <f t="shared" si="4"/>
        <v>38</v>
      </c>
      <c r="M459" s="38">
        <f t="shared" si="5"/>
        <v>0.7307692308</v>
      </c>
      <c r="N459" s="22">
        <f t="shared" si="6"/>
        <v>1444</v>
      </c>
      <c r="O459" s="20"/>
      <c r="P459" s="22">
        <f t="shared" si="7"/>
        <v>46</v>
      </c>
      <c r="Q459" s="38">
        <f t="shared" si="8"/>
        <v>0.8846153846</v>
      </c>
      <c r="R459" s="22">
        <f t="shared" si="9"/>
        <v>2116</v>
      </c>
      <c r="S459" s="20"/>
      <c r="T459" s="22">
        <f t="shared" si="10"/>
        <v>45</v>
      </c>
      <c r="U459" s="38">
        <f t="shared" si="11"/>
        <v>0.8653846154</v>
      </c>
      <c r="V459" s="22">
        <f t="shared" si="12"/>
        <v>2025</v>
      </c>
    </row>
    <row r="460">
      <c r="A460" s="2">
        <v>41200.0</v>
      </c>
      <c r="B460" s="5">
        <v>0.0</v>
      </c>
      <c r="C460" s="22">
        <f t="shared" si="2"/>
        <v>12</v>
      </c>
      <c r="D460" s="22">
        <f t="shared" si="3"/>
        <v>6</v>
      </c>
      <c r="E460" s="22">
        <f t="shared" si="1"/>
        <v>34</v>
      </c>
      <c r="F460" s="20"/>
      <c r="G460" s="20"/>
      <c r="H460" s="20"/>
      <c r="I460" s="20"/>
      <c r="J460" s="20"/>
      <c r="K460" s="20"/>
      <c r="L460" s="22">
        <f t="shared" si="4"/>
        <v>-12</v>
      </c>
      <c r="M460" s="38">
        <f t="shared" si="5"/>
        <v>1</v>
      </c>
      <c r="N460" s="22">
        <f t="shared" si="6"/>
        <v>144</v>
      </c>
      <c r="O460" s="20"/>
      <c r="P460" s="22">
        <f t="shared" si="7"/>
        <v>-6</v>
      </c>
      <c r="Q460" s="38">
        <f t="shared" si="8"/>
        <v>1</v>
      </c>
      <c r="R460" s="22">
        <f t="shared" si="9"/>
        <v>36</v>
      </c>
      <c r="S460" s="20"/>
      <c r="T460" s="22">
        <f t="shared" si="10"/>
        <v>-34</v>
      </c>
      <c r="U460" s="38">
        <f t="shared" si="11"/>
        <v>1</v>
      </c>
      <c r="V460" s="22">
        <f t="shared" si="12"/>
        <v>1156</v>
      </c>
    </row>
    <row r="461">
      <c r="A461" s="2">
        <v>41201.0</v>
      </c>
      <c r="B461" s="5">
        <v>0.0</v>
      </c>
      <c r="C461" s="22">
        <f t="shared" si="2"/>
        <v>12</v>
      </c>
      <c r="D461" s="22">
        <f t="shared" si="3"/>
        <v>6</v>
      </c>
      <c r="E461" s="22">
        <f t="shared" si="1"/>
        <v>14</v>
      </c>
      <c r="F461" s="20"/>
      <c r="G461" s="20"/>
      <c r="H461" s="20"/>
      <c r="I461" s="20"/>
      <c r="J461" s="20"/>
      <c r="K461" s="20"/>
      <c r="L461" s="22">
        <f t="shared" si="4"/>
        <v>-12</v>
      </c>
      <c r="M461" s="38">
        <f t="shared" si="5"/>
        <v>1</v>
      </c>
      <c r="N461" s="22">
        <f t="shared" si="6"/>
        <v>144</v>
      </c>
      <c r="O461" s="20"/>
      <c r="P461" s="22">
        <f t="shared" si="7"/>
        <v>-6</v>
      </c>
      <c r="Q461" s="38">
        <f t="shared" si="8"/>
        <v>1</v>
      </c>
      <c r="R461" s="22">
        <f t="shared" si="9"/>
        <v>36</v>
      </c>
      <c r="S461" s="20"/>
      <c r="T461" s="22">
        <f t="shared" si="10"/>
        <v>-14</v>
      </c>
      <c r="U461" s="38">
        <f t="shared" si="11"/>
        <v>1</v>
      </c>
      <c r="V461" s="22">
        <f t="shared" si="12"/>
        <v>196</v>
      </c>
    </row>
    <row r="462">
      <c r="A462" s="2">
        <v>41204.0</v>
      </c>
      <c r="B462" s="5">
        <v>0.0</v>
      </c>
      <c r="C462" s="22">
        <f t="shared" si="2"/>
        <v>12</v>
      </c>
      <c r="D462" s="22">
        <f t="shared" si="3"/>
        <v>6</v>
      </c>
      <c r="E462" s="22">
        <f t="shared" si="1"/>
        <v>6</v>
      </c>
      <c r="F462" s="20"/>
      <c r="G462" s="20"/>
      <c r="H462" s="20"/>
      <c r="I462" s="20"/>
      <c r="J462" s="20"/>
      <c r="K462" s="20"/>
      <c r="L462" s="22">
        <f t="shared" si="4"/>
        <v>-12</v>
      </c>
      <c r="M462" s="38">
        <f t="shared" si="5"/>
        <v>1</v>
      </c>
      <c r="N462" s="22">
        <f t="shared" si="6"/>
        <v>144</v>
      </c>
      <c r="O462" s="20"/>
      <c r="P462" s="22">
        <f t="shared" si="7"/>
        <v>-6</v>
      </c>
      <c r="Q462" s="38">
        <f t="shared" si="8"/>
        <v>1</v>
      </c>
      <c r="R462" s="22">
        <f t="shared" si="9"/>
        <v>36</v>
      </c>
      <c r="S462" s="20"/>
      <c r="T462" s="22">
        <f t="shared" si="10"/>
        <v>-6</v>
      </c>
      <c r="U462" s="38">
        <f t="shared" si="11"/>
        <v>1</v>
      </c>
      <c r="V462" s="22">
        <f t="shared" si="12"/>
        <v>36</v>
      </c>
    </row>
    <row r="463">
      <c r="A463" s="2">
        <v>41205.0</v>
      </c>
      <c r="B463" s="5">
        <v>0.0</v>
      </c>
      <c r="C463" s="22">
        <f t="shared" si="2"/>
        <v>12</v>
      </c>
      <c r="D463" s="22">
        <f t="shared" si="3"/>
        <v>6</v>
      </c>
      <c r="E463" s="22">
        <f t="shared" si="1"/>
        <v>2</v>
      </c>
      <c r="F463" s="20"/>
      <c r="G463" s="20"/>
      <c r="H463" s="20"/>
      <c r="I463" s="20"/>
      <c r="J463" s="20"/>
      <c r="K463" s="20"/>
      <c r="L463" s="22">
        <f t="shared" si="4"/>
        <v>-12</v>
      </c>
      <c r="M463" s="38">
        <f t="shared" si="5"/>
        <v>1</v>
      </c>
      <c r="N463" s="22">
        <f t="shared" si="6"/>
        <v>144</v>
      </c>
      <c r="O463" s="20"/>
      <c r="P463" s="22">
        <f t="shared" si="7"/>
        <v>-6</v>
      </c>
      <c r="Q463" s="38">
        <f t="shared" si="8"/>
        <v>1</v>
      </c>
      <c r="R463" s="22">
        <f t="shared" si="9"/>
        <v>36</v>
      </c>
      <c r="S463" s="20"/>
      <c r="T463" s="22">
        <f t="shared" si="10"/>
        <v>-2</v>
      </c>
      <c r="U463" s="38">
        <f t="shared" si="11"/>
        <v>1</v>
      </c>
      <c r="V463" s="22">
        <f t="shared" si="12"/>
        <v>4</v>
      </c>
    </row>
    <row r="464">
      <c r="A464" s="2">
        <v>41206.0</v>
      </c>
      <c r="B464" s="5">
        <v>62.0</v>
      </c>
      <c r="C464" s="22">
        <f t="shared" si="2"/>
        <v>10</v>
      </c>
      <c r="D464" s="22">
        <f t="shared" si="3"/>
        <v>6</v>
      </c>
      <c r="E464" s="22">
        <f t="shared" si="1"/>
        <v>1</v>
      </c>
      <c r="F464" s="20"/>
      <c r="G464" s="20"/>
      <c r="H464" s="20"/>
      <c r="I464" s="20"/>
      <c r="J464" s="20"/>
      <c r="K464" s="20"/>
      <c r="L464" s="22">
        <f t="shared" si="4"/>
        <v>52</v>
      </c>
      <c r="M464" s="38">
        <f t="shared" si="5"/>
        <v>0.8387096774</v>
      </c>
      <c r="N464" s="22">
        <f t="shared" si="6"/>
        <v>2704</v>
      </c>
      <c r="O464" s="20"/>
      <c r="P464" s="22">
        <f t="shared" si="7"/>
        <v>56</v>
      </c>
      <c r="Q464" s="38">
        <f t="shared" si="8"/>
        <v>0.9032258065</v>
      </c>
      <c r="R464" s="22">
        <f t="shared" si="9"/>
        <v>3136</v>
      </c>
      <c r="S464" s="20"/>
      <c r="T464" s="22">
        <f t="shared" si="10"/>
        <v>61</v>
      </c>
      <c r="U464" s="38">
        <f t="shared" si="11"/>
        <v>0.9838709677</v>
      </c>
      <c r="V464" s="22">
        <f t="shared" si="12"/>
        <v>3721</v>
      </c>
    </row>
    <row r="465">
      <c r="A465" s="2">
        <v>41207.0</v>
      </c>
      <c r="B465" s="5">
        <v>0.0</v>
      </c>
      <c r="C465" s="22">
        <f t="shared" si="2"/>
        <v>12</v>
      </c>
      <c r="D465" s="22">
        <f t="shared" si="3"/>
        <v>6</v>
      </c>
      <c r="E465" s="22">
        <f t="shared" si="1"/>
        <v>38</v>
      </c>
      <c r="F465" s="20"/>
      <c r="G465" s="20"/>
      <c r="H465" s="20"/>
      <c r="I465" s="20"/>
      <c r="J465" s="20"/>
      <c r="K465" s="20"/>
      <c r="L465" s="22">
        <f t="shared" si="4"/>
        <v>-12</v>
      </c>
      <c r="M465" s="38">
        <f t="shared" si="5"/>
        <v>1</v>
      </c>
      <c r="N465" s="22">
        <f t="shared" si="6"/>
        <v>144</v>
      </c>
      <c r="O465" s="20"/>
      <c r="P465" s="22">
        <f t="shared" si="7"/>
        <v>-6</v>
      </c>
      <c r="Q465" s="38">
        <f t="shared" si="8"/>
        <v>1</v>
      </c>
      <c r="R465" s="22">
        <f t="shared" si="9"/>
        <v>36</v>
      </c>
      <c r="S465" s="20"/>
      <c r="T465" s="22">
        <f t="shared" si="10"/>
        <v>-38</v>
      </c>
      <c r="U465" s="38">
        <f t="shared" si="11"/>
        <v>1</v>
      </c>
      <c r="V465" s="22">
        <f t="shared" si="12"/>
        <v>1444</v>
      </c>
    </row>
    <row r="466">
      <c r="A466" s="2">
        <v>41208.0</v>
      </c>
      <c r="B466" s="5">
        <v>0.0</v>
      </c>
      <c r="C466" s="22">
        <f t="shared" si="2"/>
        <v>12</v>
      </c>
      <c r="D466" s="22">
        <f t="shared" si="3"/>
        <v>6</v>
      </c>
      <c r="E466" s="22">
        <f t="shared" si="1"/>
        <v>15</v>
      </c>
      <c r="F466" s="20"/>
      <c r="G466" s="20"/>
      <c r="H466" s="20"/>
      <c r="I466" s="20"/>
      <c r="J466" s="20"/>
      <c r="K466" s="20"/>
      <c r="L466" s="22">
        <f t="shared" si="4"/>
        <v>-12</v>
      </c>
      <c r="M466" s="38">
        <f t="shared" si="5"/>
        <v>1</v>
      </c>
      <c r="N466" s="22">
        <f t="shared" si="6"/>
        <v>144</v>
      </c>
      <c r="O466" s="20"/>
      <c r="P466" s="22">
        <f t="shared" si="7"/>
        <v>-6</v>
      </c>
      <c r="Q466" s="38">
        <f t="shared" si="8"/>
        <v>1</v>
      </c>
      <c r="R466" s="22">
        <f t="shared" si="9"/>
        <v>36</v>
      </c>
      <c r="S466" s="20"/>
      <c r="T466" s="22">
        <f t="shared" si="10"/>
        <v>-15</v>
      </c>
      <c r="U466" s="38">
        <f t="shared" si="11"/>
        <v>1</v>
      </c>
      <c r="V466" s="22">
        <f t="shared" si="12"/>
        <v>225</v>
      </c>
    </row>
    <row r="467">
      <c r="A467" s="2">
        <v>41213.0</v>
      </c>
      <c r="B467" s="5">
        <v>0.0</v>
      </c>
      <c r="C467" s="22">
        <f t="shared" si="2"/>
        <v>12</v>
      </c>
      <c r="D467" s="22">
        <f t="shared" si="3"/>
        <v>6</v>
      </c>
      <c r="E467" s="22">
        <f t="shared" si="1"/>
        <v>6</v>
      </c>
      <c r="F467" s="20"/>
      <c r="G467" s="20"/>
      <c r="H467" s="20"/>
      <c r="I467" s="20"/>
      <c r="J467" s="20"/>
      <c r="K467" s="20"/>
      <c r="L467" s="22">
        <f t="shared" si="4"/>
        <v>-12</v>
      </c>
      <c r="M467" s="38">
        <f t="shared" si="5"/>
        <v>1</v>
      </c>
      <c r="N467" s="22">
        <f t="shared" si="6"/>
        <v>144</v>
      </c>
      <c r="O467" s="20"/>
      <c r="P467" s="22">
        <f t="shared" si="7"/>
        <v>-6</v>
      </c>
      <c r="Q467" s="38">
        <f t="shared" si="8"/>
        <v>1</v>
      </c>
      <c r="R467" s="22">
        <f t="shared" si="9"/>
        <v>36</v>
      </c>
      <c r="S467" s="20"/>
      <c r="T467" s="22">
        <f t="shared" si="10"/>
        <v>-6</v>
      </c>
      <c r="U467" s="38">
        <f t="shared" si="11"/>
        <v>1</v>
      </c>
      <c r="V467" s="22">
        <f t="shared" si="12"/>
        <v>36</v>
      </c>
    </row>
    <row r="468">
      <c r="A468" s="2">
        <v>41214.0</v>
      </c>
      <c r="B468" s="5">
        <v>72.0</v>
      </c>
      <c r="C468" s="22">
        <f t="shared" si="2"/>
        <v>12</v>
      </c>
      <c r="D468" s="22">
        <f t="shared" si="3"/>
        <v>6</v>
      </c>
      <c r="E468" s="22">
        <f t="shared" si="1"/>
        <v>2</v>
      </c>
      <c r="F468" s="20"/>
      <c r="G468" s="20"/>
      <c r="H468" s="20"/>
      <c r="I468" s="20"/>
      <c r="J468" s="20"/>
      <c r="K468" s="20"/>
      <c r="L468" s="22">
        <f t="shared" si="4"/>
        <v>60</v>
      </c>
      <c r="M468" s="38">
        <f t="shared" si="5"/>
        <v>0.8333333333</v>
      </c>
      <c r="N468" s="22">
        <f t="shared" si="6"/>
        <v>3600</v>
      </c>
      <c r="O468" s="20"/>
      <c r="P468" s="22">
        <f t="shared" si="7"/>
        <v>66</v>
      </c>
      <c r="Q468" s="38">
        <f t="shared" si="8"/>
        <v>0.9166666667</v>
      </c>
      <c r="R468" s="22">
        <f t="shared" si="9"/>
        <v>4356</v>
      </c>
      <c r="S468" s="20"/>
      <c r="T468" s="22">
        <f t="shared" si="10"/>
        <v>70</v>
      </c>
      <c r="U468" s="38">
        <f t="shared" si="11"/>
        <v>0.9722222222</v>
      </c>
      <c r="V468" s="22">
        <f t="shared" si="12"/>
        <v>4900</v>
      </c>
    </row>
    <row r="469">
      <c r="A469" s="2">
        <v>41215.0</v>
      </c>
      <c r="B469" s="5">
        <v>0.0</v>
      </c>
      <c r="C469" s="22">
        <f t="shared" si="2"/>
        <v>27</v>
      </c>
      <c r="D469" s="22">
        <f t="shared" si="3"/>
        <v>7</v>
      </c>
      <c r="E469" s="22">
        <f t="shared" si="1"/>
        <v>44</v>
      </c>
      <c r="F469" s="20"/>
      <c r="G469" s="20"/>
      <c r="H469" s="20"/>
      <c r="I469" s="20"/>
      <c r="J469" s="20"/>
      <c r="K469" s="20"/>
      <c r="L469" s="22">
        <f t="shared" si="4"/>
        <v>-27</v>
      </c>
      <c r="M469" s="38">
        <f t="shared" si="5"/>
        <v>1</v>
      </c>
      <c r="N469" s="22">
        <f t="shared" si="6"/>
        <v>729</v>
      </c>
      <c r="O469" s="20"/>
      <c r="P469" s="22">
        <f t="shared" si="7"/>
        <v>-7</v>
      </c>
      <c r="Q469" s="38">
        <f t="shared" si="8"/>
        <v>1</v>
      </c>
      <c r="R469" s="22">
        <f t="shared" si="9"/>
        <v>49</v>
      </c>
      <c r="S469" s="20"/>
      <c r="T469" s="22">
        <f t="shared" si="10"/>
        <v>-44</v>
      </c>
      <c r="U469" s="38">
        <f t="shared" si="11"/>
        <v>1</v>
      </c>
      <c r="V469" s="22">
        <f t="shared" si="12"/>
        <v>1936</v>
      </c>
    </row>
    <row r="470">
      <c r="A470" s="2">
        <v>41218.0</v>
      </c>
      <c r="B470" s="5">
        <v>0.0</v>
      </c>
      <c r="C470" s="22">
        <f t="shared" si="2"/>
        <v>14</v>
      </c>
      <c r="D470" s="22">
        <f t="shared" si="3"/>
        <v>7</v>
      </c>
      <c r="E470" s="22">
        <f t="shared" si="1"/>
        <v>18</v>
      </c>
      <c r="F470" s="20"/>
      <c r="G470" s="20"/>
      <c r="H470" s="20"/>
      <c r="I470" s="20"/>
      <c r="J470" s="20"/>
      <c r="K470" s="20"/>
      <c r="L470" s="22">
        <f t="shared" si="4"/>
        <v>-14</v>
      </c>
      <c r="M470" s="38">
        <f t="shared" si="5"/>
        <v>1</v>
      </c>
      <c r="N470" s="22">
        <f t="shared" si="6"/>
        <v>196</v>
      </c>
      <c r="O470" s="20"/>
      <c r="P470" s="22">
        <f t="shared" si="7"/>
        <v>-7</v>
      </c>
      <c r="Q470" s="38">
        <f t="shared" si="8"/>
        <v>1</v>
      </c>
      <c r="R470" s="22">
        <f t="shared" si="9"/>
        <v>49</v>
      </c>
      <c r="S470" s="20"/>
      <c r="T470" s="22">
        <f t="shared" si="10"/>
        <v>-18</v>
      </c>
      <c r="U470" s="38">
        <f t="shared" si="11"/>
        <v>1</v>
      </c>
      <c r="V470" s="22">
        <f t="shared" si="12"/>
        <v>324</v>
      </c>
    </row>
    <row r="471">
      <c r="A471" s="2">
        <v>41219.0</v>
      </c>
      <c r="B471" s="5">
        <v>0.0</v>
      </c>
      <c r="C471" s="22">
        <f t="shared" si="2"/>
        <v>14</v>
      </c>
      <c r="D471" s="22">
        <f t="shared" si="3"/>
        <v>7</v>
      </c>
      <c r="E471" s="22">
        <f t="shared" si="1"/>
        <v>7</v>
      </c>
      <c r="F471" s="20"/>
      <c r="G471" s="20"/>
      <c r="H471" s="20"/>
      <c r="I471" s="20"/>
      <c r="J471" s="20"/>
      <c r="K471" s="20"/>
      <c r="L471" s="22">
        <f t="shared" si="4"/>
        <v>-14</v>
      </c>
      <c r="M471" s="38">
        <f t="shared" si="5"/>
        <v>1</v>
      </c>
      <c r="N471" s="22">
        <f t="shared" si="6"/>
        <v>196</v>
      </c>
      <c r="O471" s="20"/>
      <c r="P471" s="22">
        <f t="shared" si="7"/>
        <v>-7</v>
      </c>
      <c r="Q471" s="38">
        <f t="shared" si="8"/>
        <v>1</v>
      </c>
      <c r="R471" s="22">
        <f t="shared" si="9"/>
        <v>49</v>
      </c>
      <c r="S471" s="20"/>
      <c r="T471" s="22">
        <f t="shared" si="10"/>
        <v>-7</v>
      </c>
      <c r="U471" s="38">
        <f t="shared" si="11"/>
        <v>1</v>
      </c>
      <c r="V471" s="22">
        <f t="shared" si="12"/>
        <v>49</v>
      </c>
    </row>
    <row r="472">
      <c r="A472" s="2">
        <v>41220.0</v>
      </c>
      <c r="B472" s="5">
        <v>63.0</v>
      </c>
      <c r="C472" s="22">
        <f t="shared" si="2"/>
        <v>14</v>
      </c>
      <c r="D472" s="22">
        <f t="shared" si="3"/>
        <v>6</v>
      </c>
      <c r="E472" s="22">
        <f t="shared" si="1"/>
        <v>3</v>
      </c>
      <c r="F472" s="20"/>
      <c r="G472" s="20"/>
      <c r="H472" s="20"/>
      <c r="I472" s="20"/>
      <c r="J472" s="20"/>
      <c r="K472" s="20"/>
      <c r="L472" s="22">
        <f t="shared" si="4"/>
        <v>49</v>
      </c>
      <c r="M472" s="38">
        <f t="shared" si="5"/>
        <v>0.7777777778</v>
      </c>
      <c r="N472" s="22">
        <f t="shared" si="6"/>
        <v>2401</v>
      </c>
      <c r="O472" s="20"/>
      <c r="P472" s="22">
        <f t="shared" si="7"/>
        <v>57</v>
      </c>
      <c r="Q472" s="38">
        <f t="shared" si="8"/>
        <v>0.9047619048</v>
      </c>
      <c r="R472" s="22">
        <f t="shared" si="9"/>
        <v>3249</v>
      </c>
      <c r="S472" s="20"/>
      <c r="T472" s="22">
        <f t="shared" si="10"/>
        <v>60</v>
      </c>
      <c r="U472" s="38">
        <f t="shared" si="11"/>
        <v>0.9523809524</v>
      </c>
      <c r="V472" s="22">
        <f t="shared" si="12"/>
        <v>3600</v>
      </c>
    </row>
    <row r="473">
      <c r="A473" s="2">
        <v>41221.0</v>
      </c>
      <c r="B473" s="5">
        <v>0.0</v>
      </c>
      <c r="C473" s="22">
        <f t="shared" si="2"/>
        <v>27</v>
      </c>
      <c r="D473" s="22">
        <f t="shared" si="3"/>
        <v>7</v>
      </c>
      <c r="E473" s="22">
        <f t="shared" si="1"/>
        <v>39</v>
      </c>
      <c r="F473" s="20"/>
      <c r="G473" s="20"/>
      <c r="H473" s="20"/>
      <c r="I473" s="20"/>
      <c r="J473" s="20"/>
      <c r="K473" s="20"/>
      <c r="L473" s="22">
        <f t="shared" si="4"/>
        <v>-27</v>
      </c>
      <c r="M473" s="38">
        <f t="shared" si="5"/>
        <v>1</v>
      </c>
      <c r="N473" s="22">
        <f t="shared" si="6"/>
        <v>729</v>
      </c>
      <c r="O473" s="20"/>
      <c r="P473" s="22">
        <f t="shared" si="7"/>
        <v>-7</v>
      </c>
      <c r="Q473" s="38">
        <f t="shared" si="8"/>
        <v>1</v>
      </c>
      <c r="R473" s="22">
        <f t="shared" si="9"/>
        <v>49</v>
      </c>
      <c r="S473" s="20"/>
      <c r="T473" s="22">
        <f t="shared" si="10"/>
        <v>-39</v>
      </c>
      <c r="U473" s="38">
        <f t="shared" si="11"/>
        <v>1</v>
      </c>
      <c r="V473" s="22">
        <f t="shared" si="12"/>
        <v>1521</v>
      </c>
    </row>
    <row r="474">
      <c r="A474" s="2">
        <v>41222.0</v>
      </c>
      <c r="B474" s="5">
        <v>0.0</v>
      </c>
      <c r="C474" s="22">
        <f t="shared" si="2"/>
        <v>13</v>
      </c>
      <c r="D474" s="22">
        <f t="shared" si="3"/>
        <v>7</v>
      </c>
      <c r="E474" s="22">
        <f t="shared" si="1"/>
        <v>16</v>
      </c>
      <c r="F474" s="20"/>
      <c r="G474" s="20"/>
      <c r="H474" s="20"/>
      <c r="I474" s="20"/>
      <c r="J474" s="20"/>
      <c r="K474" s="20"/>
      <c r="L474" s="22">
        <f t="shared" si="4"/>
        <v>-13</v>
      </c>
      <c r="M474" s="38">
        <f t="shared" si="5"/>
        <v>1</v>
      </c>
      <c r="N474" s="22">
        <f t="shared" si="6"/>
        <v>169</v>
      </c>
      <c r="O474" s="20"/>
      <c r="P474" s="22">
        <f t="shared" si="7"/>
        <v>-7</v>
      </c>
      <c r="Q474" s="38">
        <f t="shared" si="8"/>
        <v>1</v>
      </c>
      <c r="R474" s="22">
        <f t="shared" si="9"/>
        <v>49</v>
      </c>
      <c r="S474" s="20"/>
      <c r="T474" s="22">
        <f t="shared" si="10"/>
        <v>-16</v>
      </c>
      <c r="U474" s="38">
        <f t="shared" si="11"/>
        <v>1</v>
      </c>
      <c r="V474" s="22">
        <f t="shared" si="12"/>
        <v>256</v>
      </c>
    </row>
    <row r="475">
      <c r="A475" s="2">
        <v>41225.0</v>
      </c>
      <c r="B475" s="5">
        <v>0.0</v>
      </c>
      <c r="C475" s="22">
        <f t="shared" si="2"/>
        <v>13</v>
      </c>
      <c r="D475" s="22">
        <f t="shared" si="3"/>
        <v>7</v>
      </c>
      <c r="E475" s="22">
        <f t="shared" si="1"/>
        <v>6</v>
      </c>
      <c r="F475" s="20"/>
      <c r="G475" s="20"/>
      <c r="H475" s="20"/>
      <c r="I475" s="20"/>
      <c r="J475" s="20"/>
      <c r="K475" s="20"/>
      <c r="L475" s="22">
        <f t="shared" si="4"/>
        <v>-13</v>
      </c>
      <c r="M475" s="38">
        <f t="shared" si="5"/>
        <v>1</v>
      </c>
      <c r="N475" s="22">
        <f t="shared" si="6"/>
        <v>169</v>
      </c>
      <c r="O475" s="20"/>
      <c r="P475" s="22">
        <f t="shared" si="7"/>
        <v>-7</v>
      </c>
      <c r="Q475" s="38">
        <f t="shared" si="8"/>
        <v>1</v>
      </c>
      <c r="R475" s="22">
        <f t="shared" si="9"/>
        <v>49</v>
      </c>
      <c r="S475" s="20"/>
      <c r="T475" s="22">
        <f t="shared" si="10"/>
        <v>-6</v>
      </c>
      <c r="U475" s="38">
        <f t="shared" si="11"/>
        <v>1</v>
      </c>
      <c r="V475" s="22">
        <f t="shared" si="12"/>
        <v>36</v>
      </c>
    </row>
    <row r="476">
      <c r="A476" s="2">
        <v>41226.0</v>
      </c>
      <c r="B476" s="5">
        <v>0.0</v>
      </c>
      <c r="C476" s="22">
        <f t="shared" si="2"/>
        <v>13</v>
      </c>
      <c r="D476" s="22">
        <f t="shared" si="3"/>
        <v>7</v>
      </c>
      <c r="E476" s="22">
        <f t="shared" si="1"/>
        <v>2</v>
      </c>
      <c r="F476" s="20"/>
      <c r="G476" s="20"/>
      <c r="H476" s="20"/>
      <c r="I476" s="20"/>
      <c r="J476" s="20"/>
      <c r="K476" s="20"/>
      <c r="L476" s="22">
        <f t="shared" si="4"/>
        <v>-13</v>
      </c>
      <c r="M476" s="38">
        <f t="shared" si="5"/>
        <v>1</v>
      </c>
      <c r="N476" s="22">
        <f t="shared" si="6"/>
        <v>169</v>
      </c>
      <c r="O476" s="20"/>
      <c r="P476" s="22">
        <f t="shared" si="7"/>
        <v>-7</v>
      </c>
      <c r="Q476" s="38">
        <f t="shared" si="8"/>
        <v>1</v>
      </c>
      <c r="R476" s="22">
        <f t="shared" si="9"/>
        <v>49</v>
      </c>
      <c r="S476" s="20"/>
      <c r="T476" s="22">
        <f t="shared" si="10"/>
        <v>-2</v>
      </c>
      <c r="U476" s="38">
        <f t="shared" si="11"/>
        <v>1</v>
      </c>
      <c r="V476" s="22">
        <f t="shared" si="12"/>
        <v>4</v>
      </c>
    </row>
    <row r="477">
      <c r="A477" s="2">
        <v>41227.0</v>
      </c>
      <c r="B477" s="5">
        <v>65.0</v>
      </c>
      <c r="C477" s="22">
        <f t="shared" si="2"/>
        <v>13</v>
      </c>
      <c r="D477" s="22">
        <f t="shared" si="3"/>
        <v>7</v>
      </c>
      <c r="E477" s="22">
        <f t="shared" si="1"/>
        <v>1</v>
      </c>
      <c r="F477" s="20"/>
      <c r="G477" s="20"/>
      <c r="H477" s="20"/>
      <c r="I477" s="20"/>
      <c r="J477" s="20"/>
      <c r="K477" s="20"/>
      <c r="L477" s="22">
        <f t="shared" si="4"/>
        <v>52</v>
      </c>
      <c r="M477" s="38">
        <f t="shared" si="5"/>
        <v>0.8</v>
      </c>
      <c r="N477" s="22">
        <f t="shared" si="6"/>
        <v>2704</v>
      </c>
      <c r="O477" s="20"/>
      <c r="P477" s="22">
        <f t="shared" si="7"/>
        <v>58</v>
      </c>
      <c r="Q477" s="38">
        <f t="shared" si="8"/>
        <v>0.8923076923</v>
      </c>
      <c r="R477" s="22">
        <f t="shared" si="9"/>
        <v>3364</v>
      </c>
      <c r="S477" s="20"/>
      <c r="T477" s="22">
        <f t="shared" si="10"/>
        <v>64</v>
      </c>
      <c r="U477" s="38">
        <f t="shared" si="11"/>
        <v>0.9846153846</v>
      </c>
      <c r="V477" s="22">
        <f t="shared" si="12"/>
        <v>4096</v>
      </c>
    </row>
    <row r="478">
      <c r="A478" s="2">
        <v>41228.0</v>
      </c>
      <c r="B478" s="5">
        <v>0.0</v>
      </c>
      <c r="C478" s="22">
        <f t="shared" si="2"/>
        <v>13</v>
      </c>
      <c r="D478" s="22">
        <f t="shared" si="3"/>
        <v>7</v>
      </c>
      <c r="E478" s="22">
        <f t="shared" si="1"/>
        <v>39</v>
      </c>
      <c r="F478" s="20"/>
      <c r="G478" s="20"/>
      <c r="H478" s="20"/>
      <c r="I478" s="20"/>
      <c r="J478" s="20"/>
      <c r="K478" s="20"/>
      <c r="L478" s="22">
        <f t="shared" si="4"/>
        <v>-13</v>
      </c>
      <c r="M478" s="38">
        <f t="shared" si="5"/>
        <v>1</v>
      </c>
      <c r="N478" s="22">
        <f t="shared" si="6"/>
        <v>169</v>
      </c>
      <c r="O478" s="20"/>
      <c r="P478" s="22">
        <f t="shared" si="7"/>
        <v>-7</v>
      </c>
      <c r="Q478" s="38">
        <f t="shared" si="8"/>
        <v>1</v>
      </c>
      <c r="R478" s="22">
        <f t="shared" si="9"/>
        <v>49</v>
      </c>
      <c r="S478" s="20"/>
      <c r="T478" s="22">
        <f t="shared" si="10"/>
        <v>-39</v>
      </c>
      <c r="U478" s="38">
        <f t="shared" si="11"/>
        <v>1</v>
      </c>
      <c r="V478" s="22">
        <f t="shared" si="12"/>
        <v>1521</v>
      </c>
    </row>
    <row r="479">
      <c r="A479" s="2">
        <v>41229.0</v>
      </c>
      <c r="B479" s="5">
        <v>0.0</v>
      </c>
      <c r="C479" s="22">
        <f t="shared" si="2"/>
        <v>13</v>
      </c>
      <c r="D479" s="22">
        <f t="shared" si="3"/>
        <v>7</v>
      </c>
      <c r="E479" s="22">
        <f t="shared" si="1"/>
        <v>16</v>
      </c>
      <c r="F479" s="20"/>
      <c r="G479" s="20"/>
      <c r="H479" s="20"/>
      <c r="I479" s="20"/>
      <c r="J479" s="20"/>
      <c r="K479" s="20"/>
      <c r="L479" s="22">
        <f t="shared" si="4"/>
        <v>-13</v>
      </c>
      <c r="M479" s="38">
        <f t="shared" si="5"/>
        <v>1</v>
      </c>
      <c r="N479" s="22">
        <f t="shared" si="6"/>
        <v>169</v>
      </c>
      <c r="O479" s="20"/>
      <c r="P479" s="22">
        <f t="shared" si="7"/>
        <v>-7</v>
      </c>
      <c r="Q479" s="38">
        <f t="shared" si="8"/>
        <v>1</v>
      </c>
      <c r="R479" s="22">
        <f t="shared" si="9"/>
        <v>49</v>
      </c>
      <c r="S479" s="20"/>
      <c r="T479" s="22">
        <f t="shared" si="10"/>
        <v>-16</v>
      </c>
      <c r="U479" s="38">
        <f t="shared" si="11"/>
        <v>1</v>
      </c>
      <c r="V479" s="22">
        <f t="shared" si="12"/>
        <v>256</v>
      </c>
    </row>
    <row r="480">
      <c r="A480" s="2">
        <v>41232.0</v>
      </c>
      <c r="B480" s="5">
        <v>0.0</v>
      </c>
      <c r="C480" s="22">
        <f t="shared" si="2"/>
        <v>13</v>
      </c>
      <c r="D480" s="22">
        <f t="shared" si="3"/>
        <v>7</v>
      </c>
      <c r="E480" s="22">
        <f t="shared" si="1"/>
        <v>6</v>
      </c>
      <c r="F480" s="20"/>
      <c r="G480" s="20"/>
      <c r="H480" s="20"/>
      <c r="I480" s="20"/>
      <c r="J480" s="20"/>
      <c r="K480" s="20"/>
      <c r="L480" s="22">
        <f t="shared" si="4"/>
        <v>-13</v>
      </c>
      <c r="M480" s="38">
        <f t="shared" si="5"/>
        <v>1</v>
      </c>
      <c r="N480" s="22">
        <f t="shared" si="6"/>
        <v>169</v>
      </c>
      <c r="O480" s="20"/>
      <c r="P480" s="22">
        <f t="shared" si="7"/>
        <v>-7</v>
      </c>
      <c r="Q480" s="38">
        <f t="shared" si="8"/>
        <v>1</v>
      </c>
      <c r="R480" s="22">
        <f t="shared" si="9"/>
        <v>49</v>
      </c>
      <c r="S480" s="20"/>
      <c r="T480" s="22">
        <f t="shared" si="10"/>
        <v>-6</v>
      </c>
      <c r="U480" s="38">
        <f t="shared" si="11"/>
        <v>1</v>
      </c>
      <c r="V480" s="22">
        <f t="shared" si="12"/>
        <v>36</v>
      </c>
    </row>
    <row r="481">
      <c r="A481" s="2">
        <v>41233.0</v>
      </c>
      <c r="B481" s="5">
        <v>65.0</v>
      </c>
      <c r="C481" s="22">
        <f t="shared" si="2"/>
        <v>13</v>
      </c>
      <c r="D481" s="22">
        <f t="shared" si="3"/>
        <v>7</v>
      </c>
      <c r="E481" s="22">
        <f t="shared" si="1"/>
        <v>2</v>
      </c>
      <c r="F481" s="20"/>
      <c r="G481" s="20"/>
      <c r="H481" s="20"/>
      <c r="I481" s="20"/>
      <c r="J481" s="20"/>
      <c r="K481" s="20"/>
      <c r="L481" s="22">
        <f t="shared" si="4"/>
        <v>52</v>
      </c>
      <c r="M481" s="38">
        <f t="shared" si="5"/>
        <v>0.8</v>
      </c>
      <c r="N481" s="22">
        <f t="shared" si="6"/>
        <v>2704</v>
      </c>
      <c r="O481" s="20"/>
      <c r="P481" s="22">
        <f t="shared" si="7"/>
        <v>58</v>
      </c>
      <c r="Q481" s="38">
        <f t="shared" si="8"/>
        <v>0.8923076923</v>
      </c>
      <c r="R481" s="22">
        <f t="shared" si="9"/>
        <v>3364</v>
      </c>
      <c r="S481" s="20"/>
      <c r="T481" s="22">
        <f t="shared" si="10"/>
        <v>63</v>
      </c>
      <c r="U481" s="38">
        <f t="shared" si="11"/>
        <v>0.9692307692</v>
      </c>
      <c r="V481" s="22">
        <f t="shared" si="12"/>
        <v>3969</v>
      </c>
    </row>
    <row r="482">
      <c r="A482" s="2">
        <v>41234.0</v>
      </c>
      <c r="B482" s="5">
        <v>0.0</v>
      </c>
      <c r="C482" s="22">
        <f t="shared" si="2"/>
        <v>26</v>
      </c>
      <c r="D482" s="22">
        <f t="shared" si="3"/>
        <v>7</v>
      </c>
      <c r="E482" s="22">
        <f t="shared" si="1"/>
        <v>40</v>
      </c>
      <c r="F482" s="20"/>
      <c r="G482" s="20"/>
      <c r="H482" s="20"/>
      <c r="I482" s="20"/>
      <c r="J482" s="20"/>
      <c r="K482" s="20"/>
      <c r="L482" s="22">
        <f t="shared" si="4"/>
        <v>-26</v>
      </c>
      <c r="M482" s="38">
        <f t="shared" si="5"/>
        <v>1</v>
      </c>
      <c r="N482" s="22">
        <f t="shared" si="6"/>
        <v>676</v>
      </c>
      <c r="O482" s="20"/>
      <c r="P482" s="22">
        <f t="shared" si="7"/>
        <v>-7</v>
      </c>
      <c r="Q482" s="38">
        <f t="shared" si="8"/>
        <v>1</v>
      </c>
      <c r="R482" s="22">
        <f t="shared" si="9"/>
        <v>49</v>
      </c>
      <c r="S482" s="20"/>
      <c r="T482" s="22">
        <f t="shared" si="10"/>
        <v>-40</v>
      </c>
      <c r="U482" s="38">
        <f t="shared" si="11"/>
        <v>1</v>
      </c>
      <c r="V482" s="22">
        <f t="shared" si="12"/>
        <v>1600</v>
      </c>
    </row>
    <row r="483">
      <c r="A483" s="2">
        <v>41239.0</v>
      </c>
      <c r="B483" s="5">
        <v>0.0</v>
      </c>
      <c r="C483" s="22">
        <f t="shared" si="2"/>
        <v>13</v>
      </c>
      <c r="D483" s="22">
        <f t="shared" si="3"/>
        <v>7</v>
      </c>
      <c r="E483" s="22">
        <f t="shared" si="1"/>
        <v>16</v>
      </c>
      <c r="F483" s="20"/>
      <c r="G483" s="20"/>
      <c r="H483" s="20"/>
      <c r="I483" s="20"/>
      <c r="J483" s="20"/>
      <c r="K483" s="20"/>
      <c r="L483" s="22">
        <f t="shared" si="4"/>
        <v>-13</v>
      </c>
      <c r="M483" s="38">
        <f t="shared" si="5"/>
        <v>1</v>
      </c>
      <c r="N483" s="22">
        <f t="shared" si="6"/>
        <v>169</v>
      </c>
      <c r="O483" s="20"/>
      <c r="P483" s="22">
        <f t="shared" si="7"/>
        <v>-7</v>
      </c>
      <c r="Q483" s="38">
        <f t="shared" si="8"/>
        <v>1</v>
      </c>
      <c r="R483" s="22">
        <f t="shared" si="9"/>
        <v>49</v>
      </c>
      <c r="S483" s="20"/>
      <c r="T483" s="22">
        <f t="shared" si="10"/>
        <v>-16</v>
      </c>
      <c r="U483" s="38">
        <f t="shared" si="11"/>
        <v>1</v>
      </c>
      <c r="V483" s="22">
        <f t="shared" si="12"/>
        <v>256</v>
      </c>
    </row>
    <row r="484">
      <c r="A484" s="2">
        <v>41240.0</v>
      </c>
      <c r="B484" s="5">
        <v>0.0</v>
      </c>
      <c r="C484" s="22">
        <f t="shared" si="2"/>
        <v>13</v>
      </c>
      <c r="D484" s="22">
        <f t="shared" si="3"/>
        <v>7</v>
      </c>
      <c r="E484" s="22">
        <f t="shared" si="1"/>
        <v>6</v>
      </c>
      <c r="F484" s="20"/>
      <c r="G484" s="20"/>
      <c r="H484" s="20"/>
      <c r="I484" s="20"/>
      <c r="J484" s="20"/>
      <c r="K484" s="20"/>
      <c r="L484" s="22">
        <f t="shared" si="4"/>
        <v>-13</v>
      </c>
      <c r="M484" s="38">
        <f t="shared" si="5"/>
        <v>1</v>
      </c>
      <c r="N484" s="22">
        <f t="shared" si="6"/>
        <v>169</v>
      </c>
      <c r="O484" s="20"/>
      <c r="P484" s="22">
        <f t="shared" si="7"/>
        <v>-7</v>
      </c>
      <c r="Q484" s="38">
        <f t="shared" si="8"/>
        <v>1</v>
      </c>
      <c r="R484" s="22">
        <f t="shared" si="9"/>
        <v>49</v>
      </c>
      <c r="S484" s="20"/>
      <c r="T484" s="22">
        <f t="shared" si="10"/>
        <v>-6</v>
      </c>
      <c r="U484" s="38">
        <f t="shared" si="11"/>
        <v>1</v>
      </c>
      <c r="V484" s="22">
        <f t="shared" si="12"/>
        <v>36</v>
      </c>
    </row>
    <row r="485">
      <c r="A485" s="2">
        <v>41241.0</v>
      </c>
      <c r="B485" s="5">
        <v>66.0</v>
      </c>
      <c r="C485" s="22">
        <f t="shared" si="2"/>
        <v>13</v>
      </c>
      <c r="D485" s="22">
        <f t="shared" si="3"/>
        <v>7</v>
      </c>
      <c r="E485" s="22">
        <f t="shared" si="1"/>
        <v>2</v>
      </c>
      <c r="F485" s="20"/>
      <c r="G485" s="20"/>
      <c r="H485" s="20"/>
      <c r="I485" s="20"/>
      <c r="J485" s="20"/>
      <c r="K485" s="20"/>
      <c r="L485" s="22">
        <f t="shared" si="4"/>
        <v>53</v>
      </c>
      <c r="M485" s="38">
        <f t="shared" si="5"/>
        <v>0.803030303</v>
      </c>
      <c r="N485" s="22">
        <f t="shared" si="6"/>
        <v>2809</v>
      </c>
      <c r="O485" s="20"/>
      <c r="P485" s="22">
        <f t="shared" si="7"/>
        <v>59</v>
      </c>
      <c r="Q485" s="38">
        <f t="shared" si="8"/>
        <v>0.8939393939</v>
      </c>
      <c r="R485" s="22">
        <f t="shared" si="9"/>
        <v>3481</v>
      </c>
      <c r="S485" s="20"/>
      <c r="T485" s="22">
        <f t="shared" si="10"/>
        <v>64</v>
      </c>
      <c r="U485" s="38">
        <f t="shared" si="11"/>
        <v>0.9696969697</v>
      </c>
      <c r="V485" s="22">
        <f t="shared" si="12"/>
        <v>4096</v>
      </c>
    </row>
    <row r="486">
      <c r="A486" s="2">
        <v>41242.0</v>
      </c>
      <c r="B486" s="5">
        <v>0.0</v>
      </c>
      <c r="C486" s="22">
        <f t="shared" si="2"/>
        <v>26</v>
      </c>
      <c r="D486" s="22">
        <f t="shared" si="3"/>
        <v>7</v>
      </c>
      <c r="E486" s="22">
        <f t="shared" si="1"/>
        <v>40</v>
      </c>
      <c r="F486" s="20"/>
      <c r="G486" s="20"/>
      <c r="H486" s="20"/>
      <c r="I486" s="20"/>
      <c r="J486" s="20"/>
      <c r="K486" s="20"/>
      <c r="L486" s="22">
        <f t="shared" si="4"/>
        <v>-26</v>
      </c>
      <c r="M486" s="38">
        <f t="shared" si="5"/>
        <v>1</v>
      </c>
      <c r="N486" s="22">
        <f t="shared" si="6"/>
        <v>676</v>
      </c>
      <c r="O486" s="20"/>
      <c r="P486" s="22">
        <f t="shared" si="7"/>
        <v>-7</v>
      </c>
      <c r="Q486" s="38">
        <f t="shared" si="8"/>
        <v>1</v>
      </c>
      <c r="R486" s="22">
        <f t="shared" si="9"/>
        <v>49</v>
      </c>
      <c r="S486" s="20"/>
      <c r="T486" s="22">
        <f t="shared" si="10"/>
        <v>-40</v>
      </c>
      <c r="U486" s="38">
        <f t="shared" si="11"/>
        <v>1</v>
      </c>
      <c r="V486" s="22">
        <f t="shared" si="12"/>
        <v>1600</v>
      </c>
    </row>
    <row r="487">
      <c r="A487" s="2">
        <v>41243.0</v>
      </c>
      <c r="B487" s="5">
        <v>0.0</v>
      </c>
      <c r="C487" s="22">
        <f t="shared" si="2"/>
        <v>13</v>
      </c>
      <c r="D487" s="22">
        <f t="shared" si="3"/>
        <v>7</v>
      </c>
      <c r="E487" s="22">
        <f t="shared" si="1"/>
        <v>16</v>
      </c>
      <c r="F487" s="20"/>
      <c r="G487" s="20"/>
      <c r="H487" s="20"/>
      <c r="I487" s="20"/>
      <c r="J487" s="20"/>
      <c r="K487" s="20"/>
      <c r="L487" s="22">
        <f t="shared" si="4"/>
        <v>-13</v>
      </c>
      <c r="M487" s="38">
        <f t="shared" si="5"/>
        <v>1</v>
      </c>
      <c r="N487" s="22">
        <f t="shared" si="6"/>
        <v>169</v>
      </c>
      <c r="O487" s="20"/>
      <c r="P487" s="22">
        <f t="shared" si="7"/>
        <v>-7</v>
      </c>
      <c r="Q487" s="38">
        <f t="shared" si="8"/>
        <v>1</v>
      </c>
      <c r="R487" s="22">
        <f t="shared" si="9"/>
        <v>49</v>
      </c>
      <c r="S487" s="20"/>
      <c r="T487" s="22">
        <f t="shared" si="10"/>
        <v>-16</v>
      </c>
      <c r="U487" s="38">
        <f t="shared" si="11"/>
        <v>1</v>
      </c>
      <c r="V487" s="22">
        <f t="shared" si="12"/>
        <v>256</v>
      </c>
    </row>
    <row r="488">
      <c r="A488" s="2">
        <v>41246.0</v>
      </c>
      <c r="B488" s="5">
        <v>0.0</v>
      </c>
      <c r="C488" s="22">
        <f t="shared" si="2"/>
        <v>13</v>
      </c>
      <c r="D488" s="22">
        <f t="shared" si="3"/>
        <v>7</v>
      </c>
      <c r="E488" s="22">
        <f t="shared" si="1"/>
        <v>6</v>
      </c>
      <c r="F488" s="20"/>
      <c r="G488" s="20"/>
      <c r="H488" s="20"/>
      <c r="I488" s="20"/>
      <c r="J488" s="20"/>
      <c r="K488" s="20"/>
      <c r="L488" s="22">
        <f t="shared" si="4"/>
        <v>-13</v>
      </c>
      <c r="M488" s="38">
        <f t="shared" si="5"/>
        <v>1</v>
      </c>
      <c r="N488" s="22">
        <f t="shared" si="6"/>
        <v>169</v>
      </c>
      <c r="O488" s="20"/>
      <c r="P488" s="22">
        <f t="shared" si="7"/>
        <v>-7</v>
      </c>
      <c r="Q488" s="38">
        <f t="shared" si="8"/>
        <v>1</v>
      </c>
      <c r="R488" s="22">
        <f t="shared" si="9"/>
        <v>49</v>
      </c>
      <c r="S488" s="20"/>
      <c r="T488" s="22">
        <f t="shared" si="10"/>
        <v>-6</v>
      </c>
      <c r="U488" s="38">
        <f t="shared" si="11"/>
        <v>1</v>
      </c>
      <c r="V488" s="22">
        <f t="shared" si="12"/>
        <v>36</v>
      </c>
    </row>
    <row r="489">
      <c r="A489" s="2">
        <v>41247.0</v>
      </c>
      <c r="B489" s="5">
        <v>0.0</v>
      </c>
      <c r="C489" s="22">
        <f t="shared" si="2"/>
        <v>13</v>
      </c>
      <c r="D489" s="22">
        <f t="shared" si="3"/>
        <v>7</v>
      </c>
      <c r="E489" s="22">
        <f t="shared" si="1"/>
        <v>2</v>
      </c>
      <c r="F489" s="20"/>
      <c r="G489" s="20"/>
      <c r="H489" s="20"/>
      <c r="I489" s="20"/>
      <c r="J489" s="20"/>
      <c r="K489" s="20"/>
      <c r="L489" s="22">
        <f t="shared" si="4"/>
        <v>-13</v>
      </c>
      <c r="M489" s="38">
        <f t="shared" si="5"/>
        <v>1</v>
      </c>
      <c r="N489" s="22">
        <f t="shared" si="6"/>
        <v>169</v>
      </c>
      <c r="O489" s="20"/>
      <c r="P489" s="22">
        <f t="shared" si="7"/>
        <v>-7</v>
      </c>
      <c r="Q489" s="38">
        <f t="shared" si="8"/>
        <v>1</v>
      </c>
      <c r="R489" s="22">
        <f t="shared" si="9"/>
        <v>49</v>
      </c>
      <c r="S489" s="20"/>
      <c r="T489" s="22">
        <f t="shared" si="10"/>
        <v>-2</v>
      </c>
      <c r="U489" s="38">
        <f t="shared" si="11"/>
        <v>1</v>
      </c>
      <c r="V489" s="22">
        <f t="shared" si="12"/>
        <v>4</v>
      </c>
    </row>
    <row r="490">
      <c r="A490" s="2">
        <v>41248.0</v>
      </c>
      <c r="B490" s="5">
        <v>5.0</v>
      </c>
      <c r="C490" s="22">
        <f t="shared" si="2"/>
        <v>13</v>
      </c>
      <c r="D490" s="22">
        <f t="shared" si="3"/>
        <v>7</v>
      </c>
      <c r="E490" s="22">
        <f t="shared" si="1"/>
        <v>1</v>
      </c>
      <c r="F490" s="20"/>
      <c r="G490" s="20"/>
      <c r="H490" s="20"/>
      <c r="I490" s="20"/>
      <c r="J490" s="20"/>
      <c r="K490" s="20"/>
      <c r="L490" s="22">
        <f t="shared" si="4"/>
        <v>-8</v>
      </c>
      <c r="M490" s="38">
        <f t="shared" si="5"/>
        <v>1.6</v>
      </c>
      <c r="N490" s="22">
        <f t="shared" si="6"/>
        <v>64</v>
      </c>
      <c r="O490" s="20"/>
      <c r="P490" s="22">
        <f t="shared" si="7"/>
        <v>-2</v>
      </c>
      <c r="Q490" s="38">
        <f t="shared" si="8"/>
        <v>0.4</v>
      </c>
      <c r="R490" s="22">
        <f t="shared" si="9"/>
        <v>4</v>
      </c>
      <c r="S490" s="20"/>
      <c r="T490" s="22">
        <f t="shared" si="10"/>
        <v>4</v>
      </c>
      <c r="U490" s="38">
        <f t="shared" si="11"/>
        <v>0.8</v>
      </c>
      <c r="V490" s="22">
        <f t="shared" si="12"/>
        <v>16</v>
      </c>
    </row>
    <row r="491">
      <c r="A491" s="2">
        <v>41249.0</v>
      </c>
      <c r="B491" s="5">
        <v>0.0</v>
      </c>
      <c r="C491" s="22">
        <f t="shared" si="2"/>
        <v>1</v>
      </c>
      <c r="D491" s="22">
        <f t="shared" si="3"/>
        <v>7</v>
      </c>
      <c r="E491" s="22">
        <f t="shared" si="1"/>
        <v>3</v>
      </c>
      <c r="F491" s="20"/>
      <c r="G491" s="20"/>
      <c r="H491" s="20"/>
      <c r="I491" s="20"/>
      <c r="J491" s="20"/>
      <c r="K491" s="20"/>
      <c r="L491" s="22">
        <f t="shared" si="4"/>
        <v>-1</v>
      </c>
      <c r="M491" s="38">
        <f t="shared" si="5"/>
        <v>1</v>
      </c>
      <c r="N491" s="22">
        <f t="shared" si="6"/>
        <v>1</v>
      </c>
      <c r="O491" s="20"/>
      <c r="P491" s="22">
        <f t="shared" si="7"/>
        <v>-7</v>
      </c>
      <c r="Q491" s="38">
        <f t="shared" si="8"/>
        <v>1</v>
      </c>
      <c r="R491" s="22">
        <f t="shared" si="9"/>
        <v>49</v>
      </c>
      <c r="S491" s="20"/>
      <c r="T491" s="22">
        <f t="shared" si="10"/>
        <v>-3</v>
      </c>
      <c r="U491" s="38">
        <f t="shared" si="11"/>
        <v>1</v>
      </c>
      <c r="V491" s="22">
        <f t="shared" si="12"/>
        <v>9</v>
      </c>
    </row>
    <row r="492">
      <c r="A492" s="2">
        <v>41250.0</v>
      </c>
      <c r="B492" s="5">
        <v>70.0</v>
      </c>
      <c r="C492" s="22">
        <f t="shared" si="2"/>
        <v>1</v>
      </c>
      <c r="D492" s="22">
        <f t="shared" si="3"/>
        <v>7</v>
      </c>
      <c r="E492" s="22">
        <f t="shared" si="1"/>
        <v>1</v>
      </c>
      <c r="F492" s="20"/>
      <c r="G492" s="20"/>
      <c r="H492" s="20"/>
      <c r="I492" s="20"/>
      <c r="J492" s="20"/>
      <c r="K492" s="20"/>
      <c r="L492" s="22">
        <f t="shared" si="4"/>
        <v>69</v>
      </c>
      <c r="M492" s="38">
        <f t="shared" si="5"/>
        <v>0.9857142857</v>
      </c>
      <c r="N492" s="22">
        <f t="shared" si="6"/>
        <v>4761</v>
      </c>
      <c r="O492" s="20"/>
      <c r="P492" s="22">
        <f t="shared" si="7"/>
        <v>63</v>
      </c>
      <c r="Q492" s="38">
        <f t="shared" si="8"/>
        <v>0.9</v>
      </c>
      <c r="R492" s="22">
        <f t="shared" si="9"/>
        <v>3969</v>
      </c>
      <c r="S492" s="20"/>
      <c r="T492" s="22">
        <f t="shared" si="10"/>
        <v>69</v>
      </c>
      <c r="U492" s="38">
        <f t="shared" si="11"/>
        <v>0.9857142857</v>
      </c>
      <c r="V492" s="22">
        <f t="shared" si="12"/>
        <v>4761</v>
      </c>
    </row>
    <row r="493">
      <c r="A493" s="2">
        <v>41253.0</v>
      </c>
      <c r="B493" s="5">
        <v>0.0</v>
      </c>
      <c r="C493" s="22">
        <f t="shared" si="2"/>
        <v>15</v>
      </c>
      <c r="D493" s="22">
        <f t="shared" si="3"/>
        <v>7</v>
      </c>
      <c r="E493" s="22">
        <f t="shared" si="1"/>
        <v>42</v>
      </c>
      <c r="F493" s="20"/>
      <c r="G493" s="20"/>
      <c r="H493" s="20"/>
      <c r="I493" s="20"/>
      <c r="J493" s="20"/>
      <c r="K493" s="20"/>
      <c r="L493" s="22">
        <f t="shared" si="4"/>
        <v>-15</v>
      </c>
      <c r="M493" s="38">
        <f t="shared" si="5"/>
        <v>1</v>
      </c>
      <c r="N493" s="22">
        <f t="shared" si="6"/>
        <v>225</v>
      </c>
      <c r="O493" s="20"/>
      <c r="P493" s="22">
        <f t="shared" si="7"/>
        <v>-7</v>
      </c>
      <c r="Q493" s="38">
        <f t="shared" si="8"/>
        <v>1</v>
      </c>
      <c r="R493" s="22">
        <f t="shared" si="9"/>
        <v>49</v>
      </c>
      <c r="S493" s="20"/>
      <c r="T493" s="22">
        <f t="shared" si="10"/>
        <v>-42</v>
      </c>
      <c r="U493" s="38">
        <f t="shared" si="11"/>
        <v>1</v>
      </c>
      <c r="V493" s="22">
        <f t="shared" si="12"/>
        <v>1764</v>
      </c>
    </row>
    <row r="494">
      <c r="A494" s="2">
        <v>41254.0</v>
      </c>
      <c r="B494" s="5">
        <v>0.0</v>
      </c>
      <c r="C494" s="22">
        <f t="shared" si="2"/>
        <v>15</v>
      </c>
      <c r="D494" s="22">
        <f t="shared" si="3"/>
        <v>7</v>
      </c>
      <c r="E494" s="22">
        <f t="shared" si="1"/>
        <v>17</v>
      </c>
      <c r="F494" s="20"/>
      <c r="G494" s="20"/>
      <c r="H494" s="20"/>
      <c r="I494" s="20"/>
      <c r="J494" s="20"/>
      <c r="K494" s="20"/>
      <c r="L494" s="22">
        <f t="shared" si="4"/>
        <v>-15</v>
      </c>
      <c r="M494" s="38">
        <f t="shared" si="5"/>
        <v>1</v>
      </c>
      <c r="N494" s="22">
        <f t="shared" si="6"/>
        <v>225</v>
      </c>
      <c r="O494" s="20"/>
      <c r="P494" s="22">
        <f t="shared" si="7"/>
        <v>-7</v>
      </c>
      <c r="Q494" s="38">
        <f t="shared" si="8"/>
        <v>1</v>
      </c>
      <c r="R494" s="22">
        <f t="shared" si="9"/>
        <v>49</v>
      </c>
      <c r="S494" s="20"/>
      <c r="T494" s="22">
        <f t="shared" si="10"/>
        <v>-17</v>
      </c>
      <c r="U494" s="38">
        <f t="shared" si="11"/>
        <v>1</v>
      </c>
      <c r="V494" s="22">
        <f t="shared" si="12"/>
        <v>289</v>
      </c>
    </row>
    <row r="495">
      <c r="A495" s="2">
        <v>41255.0</v>
      </c>
      <c r="B495" s="5">
        <v>101.0</v>
      </c>
      <c r="C495" s="22">
        <f t="shared" si="2"/>
        <v>15</v>
      </c>
      <c r="D495" s="22">
        <f t="shared" si="3"/>
        <v>7</v>
      </c>
      <c r="E495" s="22">
        <f t="shared" si="1"/>
        <v>7</v>
      </c>
      <c r="F495" s="20"/>
      <c r="G495" s="20"/>
      <c r="H495" s="20"/>
      <c r="I495" s="20"/>
      <c r="J495" s="20"/>
      <c r="K495" s="20"/>
      <c r="L495" s="22">
        <f t="shared" si="4"/>
        <v>86</v>
      </c>
      <c r="M495" s="38">
        <f t="shared" si="5"/>
        <v>0.8514851485</v>
      </c>
      <c r="N495" s="22">
        <f t="shared" si="6"/>
        <v>7396</v>
      </c>
      <c r="O495" s="20"/>
      <c r="P495" s="22">
        <f t="shared" si="7"/>
        <v>94</v>
      </c>
      <c r="Q495" s="38">
        <f t="shared" si="8"/>
        <v>0.9306930693</v>
      </c>
      <c r="R495" s="22">
        <f t="shared" si="9"/>
        <v>8836</v>
      </c>
      <c r="S495" s="20"/>
      <c r="T495" s="22">
        <f t="shared" si="10"/>
        <v>94</v>
      </c>
      <c r="U495" s="38">
        <f t="shared" si="11"/>
        <v>0.9306930693</v>
      </c>
      <c r="V495" s="22">
        <f t="shared" si="12"/>
        <v>8836</v>
      </c>
    </row>
    <row r="496">
      <c r="A496" s="2">
        <v>41256.0</v>
      </c>
      <c r="B496" s="5">
        <v>0.0</v>
      </c>
      <c r="C496" s="22">
        <f t="shared" si="2"/>
        <v>34</v>
      </c>
      <c r="D496" s="22">
        <f t="shared" si="3"/>
        <v>7</v>
      </c>
      <c r="E496" s="22">
        <f t="shared" si="1"/>
        <v>63</v>
      </c>
      <c r="F496" s="20"/>
      <c r="G496" s="20"/>
      <c r="H496" s="20"/>
      <c r="I496" s="20"/>
      <c r="J496" s="20"/>
      <c r="K496" s="20"/>
      <c r="L496" s="22">
        <f t="shared" si="4"/>
        <v>-34</v>
      </c>
      <c r="M496" s="38">
        <f t="shared" si="5"/>
        <v>1</v>
      </c>
      <c r="N496" s="22">
        <f t="shared" si="6"/>
        <v>1156</v>
      </c>
      <c r="O496" s="20"/>
      <c r="P496" s="22">
        <f t="shared" si="7"/>
        <v>-7</v>
      </c>
      <c r="Q496" s="38">
        <f t="shared" si="8"/>
        <v>1</v>
      </c>
      <c r="R496" s="22">
        <f t="shared" si="9"/>
        <v>49</v>
      </c>
      <c r="S496" s="20"/>
      <c r="T496" s="22">
        <f t="shared" si="10"/>
        <v>-63</v>
      </c>
      <c r="U496" s="38">
        <f t="shared" si="11"/>
        <v>1</v>
      </c>
      <c r="V496" s="22">
        <f t="shared" si="12"/>
        <v>3969</v>
      </c>
    </row>
    <row r="497">
      <c r="A497" s="2">
        <v>41257.0</v>
      </c>
      <c r="B497" s="5">
        <v>0.0</v>
      </c>
      <c r="C497" s="22">
        <f t="shared" si="2"/>
        <v>34</v>
      </c>
      <c r="D497" s="22">
        <f t="shared" si="3"/>
        <v>7</v>
      </c>
      <c r="E497" s="22">
        <f t="shared" si="1"/>
        <v>25</v>
      </c>
      <c r="F497" s="20"/>
      <c r="G497" s="20"/>
      <c r="H497" s="20"/>
      <c r="I497" s="20"/>
      <c r="J497" s="20"/>
      <c r="K497" s="20"/>
      <c r="L497" s="22">
        <f t="shared" si="4"/>
        <v>-34</v>
      </c>
      <c r="M497" s="38">
        <f t="shared" si="5"/>
        <v>1</v>
      </c>
      <c r="N497" s="22">
        <f t="shared" si="6"/>
        <v>1156</v>
      </c>
      <c r="O497" s="20"/>
      <c r="P497" s="22">
        <f t="shared" si="7"/>
        <v>-7</v>
      </c>
      <c r="Q497" s="38">
        <f t="shared" si="8"/>
        <v>1</v>
      </c>
      <c r="R497" s="22">
        <f t="shared" si="9"/>
        <v>49</v>
      </c>
      <c r="S497" s="20"/>
      <c r="T497" s="22">
        <f t="shared" si="10"/>
        <v>-25</v>
      </c>
      <c r="U497" s="38">
        <f t="shared" si="11"/>
        <v>1</v>
      </c>
      <c r="V497" s="22">
        <f t="shared" si="12"/>
        <v>625</v>
      </c>
    </row>
    <row r="498">
      <c r="A498" s="2">
        <v>41260.0</v>
      </c>
      <c r="B498" s="5">
        <v>0.0</v>
      </c>
      <c r="C498" s="22">
        <f t="shared" si="2"/>
        <v>20</v>
      </c>
      <c r="D498" s="22">
        <f t="shared" si="3"/>
        <v>7</v>
      </c>
      <c r="E498" s="22">
        <f t="shared" si="1"/>
        <v>10</v>
      </c>
      <c r="F498" s="20"/>
      <c r="G498" s="20"/>
      <c r="H498" s="20"/>
      <c r="I498" s="20"/>
      <c r="J498" s="20"/>
      <c r="K498" s="20"/>
      <c r="L498" s="22">
        <f t="shared" si="4"/>
        <v>-20</v>
      </c>
      <c r="M498" s="38">
        <f t="shared" si="5"/>
        <v>1</v>
      </c>
      <c r="N498" s="22">
        <f t="shared" si="6"/>
        <v>400</v>
      </c>
      <c r="O498" s="20"/>
      <c r="P498" s="22">
        <f t="shared" si="7"/>
        <v>-7</v>
      </c>
      <c r="Q498" s="38">
        <f t="shared" si="8"/>
        <v>1</v>
      </c>
      <c r="R498" s="22">
        <f t="shared" si="9"/>
        <v>49</v>
      </c>
      <c r="S498" s="20"/>
      <c r="T498" s="22">
        <f t="shared" si="10"/>
        <v>-10</v>
      </c>
      <c r="U498" s="38">
        <f t="shared" si="11"/>
        <v>1</v>
      </c>
      <c r="V498" s="22">
        <f t="shared" si="12"/>
        <v>100</v>
      </c>
    </row>
    <row r="499">
      <c r="A499" s="2">
        <v>41261.0</v>
      </c>
      <c r="B499" s="5">
        <v>0.0</v>
      </c>
      <c r="C499" s="22">
        <f t="shared" si="2"/>
        <v>20</v>
      </c>
      <c r="D499" s="22">
        <f t="shared" si="3"/>
        <v>7</v>
      </c>
      <c r="E499" s="22">
        <f t="shared" si="1"/>
        <v>4</v>
      </c>
      <c r="F499" s="20"/>
      <c r="G499" s="20"/>
      <c r="H499" s="20"/>
      <c r="I499" s="20"/>
      <c r="J499" s="20"/>
      <c r="K499" s="20"/>
      <c r="L499" s="22">
        <f t="shared" si="4"/>
        <v>-20</v>
      </c>
      <c r="M499" s="38">
        <f t="shared" si="5"/>
        <v>1</v>
      </c>
      <c r="N499" s="22">
        <f t="shared" si="6"/>
        <v>400</v>
      </c>
      <c r="O499" s="20"/>
      <c r="P499" s="22">
        <f t="shared" si="7"/>
        <v>-7</v>
      </c>
      <c r="Q499" s="38">
        <f t="shared" si="8"/>
        <v>1</v>
      </c>
      <c r="R499" s="22">
        <f t="shared" si="9"/>
        <v>49</v>
      </c>
      <c r="S499" s="20"/>
      <c r="T499" s="22">
        <f t="shared" si="10"/>
        <v>-4</v>
      </c>
      <c r="U499" s="38">
        <f t="shared" si="11"/>
        <v>1</v>
      </c>
      <c r="V499" s="22">
        <f t="shared" si="12"/>
        <v>16</v>
      </c>
    </row>
    <row r="500">
      <c r="A500" s="2">
        <v>41262.0</v>
      </c>
      <c r="B500" s="5">
        <v>121.0</v>
      </c>
      <c r="C500" s="22">
        <f t="shared" si="2"/>
        <v>20</v>
      </c>
      <c r="D500" s="22">
        <f t="shared" si="3"/>
        <v>7</v>
      </c>
      <c r="E500" s="22">
        <f t="shared" si="1"/>
        <v>2</v>
      </c>
      <c r="F500" s="20"/>
      <c r="G500" s="20"/>
      <c r="H500" s="20"/>
      <c r="I500" s="20"/>
      <c r="J500" s="20"/>
      <c r="K500" s="20"/>
      <c r="L500" s="22">
        <f t="shared" si="4"/>
        <v>101</v>
      </c>
      <c r="M500" s="38">
        <f t="shared" si="5"/>
        <v>0.8347107438</v>
      </c>
      <c r="N500" s="22">
        <f t="shared" si="6"/>
        <v>10201</v>
      </c>
      <c r="O500" s="20"/>
      <c r="P500" s="22">
        <f t="shared" si="7"/>
        <v>114</v>
      </c>
      <c r="Q500" s="38">
        <f t="shared" si="8"/>
        <v>0.9421487603</v>
      </c>
      <c r="R500" s="22">
        <f t="shared" si="9"/>
        <v>12996</v>
      </c>
      <c r="S500" s="20"/>
      <c r="T500" s="22">
        <f t="shared" si="10"/>
        <v>119</v>
      </c>
      <c r="U500" s="38">
        <f t="shared" si="11"/>
        <v>0.9834710744</v>
      </c>
      <c r="V500" s="22">
        <f t="shared" si="12"/>
        <v>14161</v>
      </c>
    </row>
    <row r="501">
      <c r="A501" s="2">
        <v>41263.0</v>
      </c>
      <c r="B501" s="5">
        <v>0.0</v>
      </c>
      <c r="C501" s="22">
        <f t="shared" si="2"/>
        <v>24</v>
      </c>
      <c r="D501" s="22">
        <f t="shared" si="3"/>
        <v>7</v>
      </c>
      <c r="E501" s="22">
        <f t="shared" si="1"/>
        <v>73</v>
      </c>
      <c r="F501" s="20"/>
      <c r="G501" s="20"/>
      <c r="H501" s="20"/>
      <c r="I501" s="20"/>
      <c r="J501" s="20"/>
      <c r="K501" s="20"/>
      <c r="L501" s="22">
        <f t="shared" si="4"/>
        <v>-24</v>
      </c>
      <c r="M501" s="38">
        <f t="shared" si="5"/>
        <v>1</v>
      </c>
      <c r="N501" s="22">
        <f t="shared" si="6"/>
        <v>576</v>
      </c>
      <c r="O501" s="20"/>
      <c r="P501" s="22">
        <f t="shared" si="7"/>
        <v>-7</v>
      </c>
      <c r="Q501" s="38">
        <f t="shared" si="8"/>
        <v>1</v>
      </c>
      <c r="R501" s="22">
        <f t="shared" si="9"/>
        <v>49</v>
      </c>
      <c r="S501" s="20"/>
      <c r="T501" s="22">
        <f t="shared" si="10"/>
        <v>-73</v>
      </c>
      <c r="U501" s="38">
        <f t="shared" si="11"/>
        <v>1</v>
      </c>
      <c r="V501" s="22">
        <f t="shared" si="12"/>
        <v>5329</v>
      </c>
    </row>
    <row r="502">
      <c r="A502" s="2">
        <v>41264.0</v>
      </c>
      <c r="B502" s="5">
        <v>0.0</v>
      </c>
      <c r="C502" s="22">
        <f t="shared" si="2"/>
        <v>24</v>
      </c>
      <c r="D502" s="22">
        <f t="shared" si="3"/>
        <v>7</v>
      </c>
      <c r="E502" s="22">
        <f t="shared" si="1"/>
        <v>29</v>
      </c>
      <c r="F502" s="20"/>
      <c r="G502" s="20"/>
      <c r="H502" s="20"/>
      <c r="I502" s="20"/>
      <c r="J502" s="20"/>
      <c r="K502" s="20"/>
      <c r="L502" s="22">
        <f t="shared" si="4"/>
        <v>-24</v>
      </c>
      <c r="M502" s="38">
        <f t="shared" si="5"/>
        <v>1</v>
      </c>
      <c r="N502" s="22">
        <f t="shared" si="6"/>
        <v>576</v>
      </c>
      <c r="O502" s="20"/>
      <c r="P502" s="22">
        <f t="shared" si="7"/>
        <v>-7</v>
      </c>
      <c r="Q502" s="38">
        <f t="shared" si="8"/>
        <v>1</v>
      </c>
      <c r="R502" s="22">
        <f t="shared" si="9"/>
        <v>49</v>
      </c>
      <c r="S502" s="20"/>
      <c r="T502" s="22">
        <f t="shared" si="10"/>
        <v>-29</v>
      </c>
      <c r="U502" s="38">
        <f t="shared" si="11"/>
        <v>1</v>
      </c>
      <c r="V502" s="22">
        <f t="shared" si="12"/>
        <v>841</v>
      </c>
    </row>
    <row r="503">
      <c r="A503" s="2">
        <v>41267.0</v>
      </c>
      <c r="B503" s="5">
        <v>0.0</v>
      </c>
      <c r="C503" s="22">
        <f t="shared" si="2"/>
        <v>24</v>
      </c>
      <c r="D503" s="22">
        <f t="shared" si="3"/>
        <v>7</v>
      </c>
      <c r="E503" s="22">
        <f t="shared" si="1"/>
        <v>12</v>
      </c>
      <c r="F503" s="20"/>
      <c r="G503" s="20"/>
      <c r="H503" s="20"/>
      <c r="I503" s="20"/>
      <c r="J503" s="20"/>
      <c r="K503" s="20"/>
      <c r="L503" s="22">
        <f t="shared" si="4"/>
        <v>-24</v>
      </c>
      <c r="M503" s="38">
        <f t="shared" si="5"/>
        <v>1</v>
      </c>
      <c r="N503" s="22">
        <f t="shared" si="6"/>
        <v>576</v>
      </c>
      <c r="O503" s="20"/>
      <c r="P503" s="22">
        <f t="shared" si="7"/>
        <v>-7</v>
      </c>
      <c r="Q503" s="38">
        <f t="shared" si="8"/>
        <v>1</v>
      </c>
      <c r="R503" s="22">
        <f t="shared" si="9"/>
        <v>49</v>
      </c>
      <c r="S503" s="20"/>
      <c r="T503" s="22">
        <f t="shared" si="10"/>
        <v>-12</v>
      </c>
      <c r="U503" s="38">
        <f t="shared" si="11"/>
        <v>1</v>
      </c>
      <c r="V503" s="22">
        <f t="shared" si="12"/>
        <v>144</v>
      </c>
    </row>
    <row r="504">
      <c r="A504" s="2">
        <v>41269.0</v>
      </c>
      <c r="B504" s="5">
        <v>0.0</v>
      </c>
      <c r="C504" s="22">
        <f t="shared" si="2"/>
        <v>24</v>
      </c>
      <c r="D504" s="22">
        <f t="shared" si="3"/>
        <v>7</v>
      </c>
      <c r="E504" s="22">
        <f t="shared" si="1"/>
        <v>5</v>
      </c>
      <c r="F504" s="20"/>
      <c r="G504" s="20"/>
      <c r="H504" s="20"/>
      <c r="I504" s="20"/>
      <c r="J504" s="20"/>
      <c r="K504" s="20"/>
      <c r="L504" s="22">
        <f t="shared" si="4"/>
        <v>-24</v>
      </c>
      <c r="M504" s="38">
        <f t="shared" si="5"/>
        <v>1</v>
      </c>
      <c r="N504" s="22">
        <f t="shared" si="6"/>
        <v>576</v>
      </c>
      <c r="O504" s="20"/>
      <c r="P504" s="22">
        <f t="shared" si="7"/>
        <v>-7</v>
      </c>
      <c r="Q504" s="38">
        <f t="shared" si="8"/>
        <v>1</v>
      </c>
      <c r="R504" s="22">
        <f t="shared" si="9"/>
        <v>49</v>
      </c>
      <c r="S504" s="20"/>
      <c r="T504" s="22">
        <f t="shared" si="10"/>
        <v>-5</v>
      </c>
      <c r="U504" s="38">
        <f t="shared" si="11"/>
        <v>1</v>
      </c>
      <c r="V504" s="22">
        <f t="shared" si="12"/>
        <v>25</v>
      </c>
    </row>
    <row r="505">
      <c r="A505" s="2">
        <v>41270.0</v>
      </c>
      <c r="B505" s="5">
        <v>0.0</v>
      </c>
      <c r="C505" s="22">
        <f t="shared" si="2"/>
        <v>24</v>
      </c>
      <c r="D505" s="22">
        <f t="shared" si="3"/>
        <v>7</v>
      </c>
      <c r="E505" s="22">
        <f t="shared" si="1"/>
        <v>2</v>
      </c>
      <c r="F505" s="20"/>
      <c r="G505" s="20"/>
      <c r="H505" s="20"/>
      <c r="I505" s="20"/>
      <c r="J505" s="20"/>
      <c r="K505" s="20"/>
      <c r="L505" s="22">
        <f t="shared" si="4"/>
        <v>-24</v>
      </c>
      <c r="M505" s="38">
        <f t="shared" si="5"/>
        <v>1</v>
      </c>
      <c r="N505" s="22">
        <f t="shared" si="6"/>
        <v>576</v>
      </c>
      <c r="O505" s="20"/>
      <c r="P505" s="22">
        <f t="shared" si="7"/>
        <v>-7</v>
      </c>
      <c r="Q505" s="38">
        <f t="shared" si="8"/>
        <v>1</v>
      </c>
      <c r="R505" s="22">
        <f t="shared" si="9"/>
        <v>49</v>
      </c>
      <c r="S505" s="20"/>
      <c r="T505" s="22">
        <f t="shared" si="10"/>
        <v>-2</v>
      </c>
      <c r="U505" s="38">
        <f t="shared" si="11"/>
        <v>1</v>
      </c>
      <c r="V505" s="22">
        <f t="shared" si="12"/>
        <v>4</v>
      </c>
    </row>
    <row r="506">
      <c r="A506" s="2">
        <v>41271.0</v>
      </c>
      <c r="B506" s="5">
        <v>0.0</v>
      </c>
      <c r="C506" s="22">
        <f t="shared" si="2"/>
        <v>0</v>
      </c>
      <c r="D506" s="22">
        <f t="shared" si="3"/>
        <v>7</v>
      </c>
      <c r="E506" s="22">
        <f t="shared" si="1"/>
        <v>1</v>
      </c>
      <c r="F506" s="20"/>
      <c r="G506" s="20"/>
      <c r="H506" s="20"/>
      <c r="I506" s="20"/>
      <c r="J506" s="20"/>
      <c r="K506" s="20"/>
      <c r="L506" s="22">
        <f t="shared" si="4"/>
        <v>0</v>
      </c>
      <c r="M506" s="38">
        <f t="shared" si="5"/>
        <v>0</v>
      </c>
      <c r="N506" s="22">
        <f t="shared" si="6"/>
        <v>0</v>
      </c>
      <c r="O506" s="20"/>
      <c r="P506" s="22">
        <f t="shared" si="7"/>
        <v>-7</v>
      </c>
      <c r="Q506" s="38">
        <f t="shared" si="8"/>
        <v>1</v>
      </c>
      <c r="R506" s="22">
        <f t="shared" si="9"/>
        <v>49</v>
      </c>
      <c r="S506" s="20"/>
      <c r="T506" s="22">
        <f t="shared" si="10"/>
        <v>-1</v>
      </c>
      <c r="U506" s="38">
        <f t="shared" si="11"/>
        <v>1</v>
      </c>
      <c r="V506" s="22">
        <f t="shared" si="12"/>
        <v>1</v>
      </c>
    </row>
    <row r="507">
      <c r="A507" s="2">
        <v>41274.0</v>
      </c>
      <c r="B507" s="5">
        <v>0.0</v>
      </c>
      <c r="C507" s="22">
        <f t="shared" si="2"/>
        <v>0</v>
      </c>
      <c r="D507" s="22">
        <f t="shared" si="3"/>
        <v>7</v>
      </c>
      <c r="E507" s="22">
        <f t="shared" si="1"/>
        <v>0</v>
      </c>
      <c r="F507" s="20"/>
      <c r="G507" s="20"/>
      <c r="H507" s="20"/>
      <c r="I507" s="20"/>
      <c r="J507" s="20"/>
      <c r="K507" s="20"/>
      <c r="L507" s="22">
        <f t="shared" si="4"/>
        <v>0</v>
      </c>
      <c r="M507" s="38">
        <f t="shared" si="5"/>
        <v>0</v>
      </c>
      <c r="N507" s="22">
        <f t="shared" si="6"/>
        <v>0</v>
      </c>
      <c r="O507" s="20"/>
      <c r="P507" s="22">
        <f t="shared" si="7"/>
        <v>-7</v>
      </c>
      <c r="Q507" s="38">
        <f t="shared" si="8"/>
        <v>1</v>
      </c>
      <c r="R507" s="22">
        <f t="shared" si="9"/>
        <v>49</v>
      </c>
      <c r="S507" s="20"/>
      <c r="T507" s="22">
        <f t="shared" si="10"/>
        <v>0</v>
      </c>
      <c r="U507" s="38">
        <f t="shared" si="11"/>
        <v>0</v>
      </c>
      <c r="V507" s="22">
        <f t="shared" si="12"/>
        <v>0</v>
      </c>
    </row>
    <row r="508">
      <c r="A508" s="2">
        <v>41276.0</v>
      </c>
      <c r="B508" s="5">
        <v>15.0</v>
      </c>
      <c r="C508" s="22">
        <f t="shared" si="2"/>
        <v>0</v>
      </c>
      <c r="D508" s="22">
        <f t="shared" si="3"/>
        <v>7</v>
      </c>
      <c r="E508" s="22">
        <f t="shared" si="1"/>
        <v>0</v>
      </c>
      <c r="F508" s="20"/>
      <c r="G508" s="20"/>
      <c r="H508" s="20"/>
      <c r="I508" s="20"/>
      <c r="J508" s="20"/>
      <c r="K508" s="20"/>
      <c r="L508" s="22">
        <f t="shared" si="4"/>
        <v>15</v>
      </c>
      <c r="M508" s="38">
        <f t="shared" si="5"/>
        <v>1</v>
      </c>
      <c r="N508" s="22">
        <f t="shared" si="6"/>
        <v>225</v>
      </c>
      <c r="O508" s="20"/>
      <c r="P508" s="22">
        <f t="shared" si="7"/>
        <v>8</v>
      </c>
      <c r="Q508" s="38">
        <f t="shared" si="8"/>
        <v>0.5333333333</v>
      </c>
      <c r="R508" s="22">
        <f t="shared" si="9"/>
        <v>64</v>
      </c>
      <c r="S508" s="20"/>
      <c r="T508" s="22">
        <f t="shared" si="10"/>
        <v>15</v>
      </c>
      <c r="U508" s="38">
        <f t="shared" si="11"/>
        <v>1</v>
      </c>
      <c r="V508" s="22">
        <f t="shared" si="12"/>
        <v>225</v>
      </c>
    </row>
    <row r="509">
      <c r="A509" s="2">
        <v>41277.0</v>
      </c>
      <c r="B509" s="5">
        <v>52.0</v>
      </c>
      <c r="C509" s="22">
        <f t="shared" si="2"/>
        <v>3</v>
      </c>
      <c r="D509" s="22">
        <f t="shared" si="3"/>
        <v>7</v>
      </c>
      <c r="E509" s="22">
        <f t="shared" si="1"/>
        <v>9</v>
      </c>
      <c r="F509" s="20"/>
      <c r="G509" s="20"/>
      <c r="H509" s="20"/>
      <c r="I509" s="20"/>
      <c r="J509" s="20"/>
      <c r="K509" s="20"/>
      <c r="L509" s="22">
        <f t="shared" si="4"/>
        <v>49</v>
      </c>
      <c r="M509" s="38">
        <f t="shared" si="5"/>
        <v>0.9423076923</v>
      </c>
      <c r="N509" s="22">
        <f t="shared" si="6"/>
        <v>2401</v>
      </c>
      <c r="O509" s="20"/>
      <c r="P509" s="22">
        <f t="shared" si="7"/>
        <v>45</v>
      </c>
      <c r="Q509" s="38">
        <f t="shared" si="8"/>
        <v>0.8653846154</v>
      </c>
      <c r="R509" s="22">
        <f t="shared" si="9"/>
        <v>2025</v>
      </c>
      <c r="S509" s="20"/>
      <c r="T509" s="22">
        <f t="shared" si="10"/>
        <v>43</v>
      </c>
      <c r="U509" s="38">
        <f t="shared" si="11"/>
        <v>0.8269230769</v>
      </c>
      <c r="V509" s="22">
        <f t="shared" si="12"/>
        <v>1849</v>
      </c>
    </row>
    <row r="510">
      <c r="A510" s="2">
        <v>41278.0</v>
      </c>
      <c r="B510" s="5">
        <v>0.0</v>
      </c>
      <c r="C510" s="22">
        <f t="shared" si="2"/>
        <v>13</v>
      </c>
      <c r="D510" s="22">
        <f t="shared" si="3"/>
        <v>7</v>
      </c>
      <c r="E510" s="22">
        <f t="shared" si="1"/>
        <v>35</v>
      </c>
      <c r="F510" s="20"/>
      <c r="G510" s="20"/>
      <c r="H510" s="20"/>
      <c r="I510" s="20"/>
      <c r="J510" s="20"/>
      <c r="K510" s="20"/>
      <c r="L510" s="22">
        <f t="shared" si="4"/>
        <v>-13</v>
      </c>
      <c r="M510" s="38">
        <f t="shared" si="5"/>
        <v>1</v>
      </c>
      <c r="N510" s="22">
        <f t="shared" si="6"/>
        <v>169</v>
      </c>
      <c r="O510" s="20"/>
      <c r="P510" s="22">
        <f t="shared" si="7"/>
        <v>-7</v>
      </c>
      <c r="Q510" s="38">
        <f t="shared" si="8"/>
        <v>1</v>
      </c>
      <c r="R510" s="22">
        <f t="shared" si="9"/>
        <v>49</v>
      </c>
      <c r="S510" s="20"/>
      <c r="T510" s="22">
        <f t="shared" si="10"/>
        <v>-35</v>
      </c>
      <c r="U510" s="38">
        <f t="shared" si="11"/>
        <v>1</v>
      </c>
      <c r="V510" s="22">
        <f t="shared" si="12"/>
        <v>1225</v>
      </c>
    </row>
    <row r="511">
      <c r="A511" s="2">
        <v>41281.0</v>
      </c>
      <c r="B511" s="5">
        <v>0.0</v>
      </c>
      <c r="C511" s="22">
        <f t="shared" si="2"/>
        <v>13</v>
      </c>
      <c r="D511" s="22">
        <f t="shared" si="3"/>
        <v>7</v>
      </c>
      <c r="E511" s="22">
        <f t="shared" si="1"/>
        <v>14</v>
      </c>
      <c r="F511" s="20"/>
      <c r="G511" s="20"/>
      <c r="H511" s="20"/>
      <c r="I511" s="20"/>
      <c r="J511" s="20"/>
      <c r="K511" s="20"/>
      <c r="L511" s="22">
        <f t="shared" si="4"/>
        <v>-13</v>
      </c>
      <c r="M511" s="38">
        <f t="shared" si="5"/>
        <v>1</v>
      </c>
      <c r="N511" s="22">
        <f t="shared" si="6"/>
        <v>169</v>
      </c>
      <c r="O511" s="20"/>
      <c r="P511" s="22">
        <f t="shared" si="7"/>
        <v>-7</v>
      </c>
      <c r="Q511" s="38">
        <f t="shared" si="8"/>
        <v>1</v>
      </c>
      <c r="R511" s="22">
        <f t="shared" si="9"/>
        <v>49</v>
      </c>
      <c r="S511" s="20"/>
      <c r="T511" s="22">
        <f t="shared" si="10"/>
        <v>-14</v>
      </c>
      <c r="U511" s="38">
        <f t="shared" si="11"/>
        <v>1</v>
      </c>
      <c r="V511" s="22">
        <f t="shared" si="12"/>
        <v>196</v>
      </c>
    </row>
    <row r="512">
      <c r="A512" s="2">
        <v>41282.0</v>
      </c>
      <c r="B512" s="5">
        <v>0.0</v>
      </c>
      <c r="C512" s="22">
        <f t="shared" si="2"/>
        <v>13</v>
      </c>
      <c r="D512" s="22">
        <f t="shared" si="3"/>
        <v>7</v>
      </c>
      <c r="E512" s="22">
        <f t="shared" si="1"/>
        <v>6</v>
      </c>
      <c r="F512" s="20"/>
      <c r="G512" s="20"/>
      <c r="H512" s="20"/>
      <c r="I512" s="20"/>
      <c r="J512" s="20"/>
      <c r="K512" s="20"/>
      <c r="L512" s="22">
        <f t="shared" si="4"/>
        <v>-13</v>
      </c>
      <c r="M512" s="38">
        <f t="shared" si="5"/>
        <v>1</v>
      </c>
      <c r="N512" s="22">
        <f t="shared" si="6"/>
        <v>169</v>
      </c>
      <c r="O512" s="20"/>
      <c r="P512" s="22">
        <f t="shared" si="7"/>
        <v>-7</v>
      </c>
      <c r="Q512" s="38">
        <f t="shared" si="8"/>
        <v>1</v>
      </c>
      <c r="R512" s="22">
        <f t="shared" si="9"/>
        <v>49</v>
      </c>
      <c r="S512" s="20"/>
      <c r="T512" s="22">
        <f t="shared" si="10"/>
        <v>-6</v>
      </c>
      <c r="U512" s="38">
        <f t="shared" si="11"/>
        <v>1</v>
      </c>
      <c r="V512" s="22">
        <f t="shared" si="12"/>
        <v>36</v>
      </c>
    </row>
    <row r="513">
      <c r="A513" s="2">
        <v>41283.0</v>
      </c>
      <c r="B513" s="5">
        <v>67.0</v>
      </c>
      <c r="C513" s="22">
        <f t="shared" si="2"/>
        <v>13</v>
      </c>
      <c r="D513" s="22">
        <f t="shared" si="3"/>
        <v>7</v>
      </c>
      <c r="E513" s="22">
        <f t="shared" si="1"/>
        <v>2</v>
      </c>
      <c r="F513" s="20"/>
      <c r="G513" s="20"/>
      <c r="H513" s="20"/>
      <c r="I513" s="20"/>
      <c r="J513" s="20"/>
      <c r="K513" s="20"/>
      <c r="L513" s="22">
        <f t="shared" si="4"/>
        <v>54</v>
      </c>
      <c r="M513" s="38">
        <f t="shared" si="5"/>
        <v>0.8059701493</v>
      </c>
      <c r="N513" s="22">
        <f t="shared" si="6"/>
        <v>2916</v>
      </c>
      <c r="O513" s="20"/>
      <c r="P513" s="22">
        <f t="shared" si="7"/>
        <v>60</v>
      </c>
      <c r="Q513" s="38">
        <f t="shared" si="8"/>
        <v>0.8955223881</v>
      </c>
      <c r="R513" s="22">
        <f t="shared" si="9"/>
        <v>3600</v>
      </c>
      <c r="S513" s="20"/>
      <c r="T513" s="22">
        <f t="shared" si="10"/>
        <v>65</v>
      </c>
      <c r="U513" s="38">
        <f t="shared" si="11"/>
        <v>0.9701492537</v>
      </c>
      <c r="V513" s="22">
        <f t="shared" si="12"/>
        <v>4225</v>
      </c>
    </row>
    <row r="514">
      <c r="A514" s="2">
        <v>41284.0</v>
      </c>
      <c r="B514" s="5">
        <v>0.0</v>
      </c>
      <c r="C514" s="22">
        <f t="shared" si="2"/>
        <v>24</v>
      </c>
      <c r="D514" s="22">
        <f t="shared" si="3"/>
        <v>7</v>
      </c>
      <c r="E514" s="22">
        <f t="shared" si="1"/>
        <v>41</v>
      </c>
      <c r="F514" s="20"/>
      <c r="G514" s="20"/>
      <c r="H514" s="20"/>
      <c r="I514" s="20"/>
      <c r="J514" s="20"/>
      <c r="K514" s="20"/>
      <c r="L514" s="22">
        <f t="shared" si="4"/>
        <v>-24</v>
      </c>
      <c r="M514" s="38">
        <f t="shared" si="5"/>
        <v>1</v>
      </c>
      <c r="N514" s="22">
        <f t="shared" si="6"/>
        <v>576</v>
      </c>
      <c r="O514" s="20"/>
      <c r="P514" s="22">
        <f t="shared" si="7"/>
        <v>-7</v>
      </c>
      <c r="Q514" s="38">
        <f t="shared" si="8"/>
        <v>1</v>
      </c>
      <c r="R514" s="22">
        <f t="shared" si="9"/>
        <v>49</v>
      </c>
      <c r="S514" s="20"/>
      <c r="T514" s="22">
        <f t="shared" si="10"/>
        <v>-41</v>
      </c>
      <c r="U514" s="38">
        <f t="shared" si="11"/>
        <v>1</v>
      </c>
      <c r="V514" s="22">
        <f t="shared" si="12"/>
        <v>1681</v>
      </c>
    </row>
    <row r="515">
      <c r="A515" s="2">
        <v>41285.0</v>
      </c>
      <c r="B515" s="5">
        <v>0.0</v>
      </c>
      <c r="C515" s="22">
        <f t="shared" si="2"/>
        <v>13</v>
      </c>
      <c r="D515" s="22">
        <f t="shared" si="3"/>
        <v>7</v>
      </c>
      <c r="E515" s="22">
        <f t="shared" si="1"/>
        <v>16</v>
      </c>
      <c r="F515" s="20"/>
      <c r="G515" s="20"/>
      <c r="H515" s="20"/>
      <c r="I515" s="20"/>
      <c r="J515" s="20"/>
      <c r="K515" s="20"/>
      <c r="L515" s="22">
        <f t="shared" si="4"/>
        <v>-13</v>
      </c>
      <c r="M515" s="38">
        <f t="shared" si="5"/>
        <v>1</v>
      </c>
      <c r="N515" s="22">
        <f t="shared" si="6"/>
        <v>169</v>
      </c>
      <c r="O515" s="20"/>
      <c r="P515" s="22">
        <f t="shared" si="7"/>
        <v>-7</v>
      </c>
      <c r="Q515" s="38">
        <f t="shared" si="8"/>
        <v>1</v>
      </c>
      <c r="R515" s="22">
        <f t="shared" si="9"/>
        <v>49</v>
      </c>
      <c r="S515" s="20"/>
      <c r="T515" s="22">
        <f t="shared" si="10"/>
        <v>-16</v>
      </c>
      <c r="U515" s="38">
        <f t="shared" si="11"/>
        <v>1</v>
      </c>
      <c r="V515" s="22">
        <f t="shared" si="12"/>
        <v>256</v>
      </c>
    </row>
    <row r="516">
      <c r="A516" s="2">
        <v>41288.0</v>
      </c>
      <c r="B516" s="5">
        <v>0.0</v>
      </c>
      <c r="C516" s="22">
        <f t="shared" si="2"/>
        <v>13</v>
      </c>
      <c r="D516" s="22">
        <f t="shared" si="3"/>
        <v>7</v>
      </c>
      <c r="E516" s="22">
        <f t="shared" si="1"/>
        <v>6</v>
      </c>
      <c r="F516" s="20"/>
      <c r="G516" s="20"/>
      <c r="H516" s="20"/>
      <c r="I516" s="20"/>
      <c r="J516" s="20"/>
      <c r="K516" s="20"/>
      <c r="L516" s="22">
        <f t="shared" si="4"/>
        <v>-13</v>
      </c>
      <c r="M516" s="38">
        <f t="shared" si="5"/>
        <v>1</v>
      </c>
      <c r="N516" s="22">
        <f t="shared" si="6"/>
        <v>169</v>
      </c>
      <c r="O516" s="20"/>
      <c r="P516" s="22">
        <f t="shared" si="7"/>
        <v>-7</v>
      </c>
      <c r="Q516" s="38">
        <f t="shared" si="8"/>
        <v>1</v>
      </c>
      <c r="R516" s="22">
        <f t="shared" si="9"/>
        <v>49</v>
      </c>
      <c r="S516" s="20"/>
      <c r="T516" s="22">
        <f t="shared" si="10"/>
        <v>-6</v>
      </c>
      <c r="U516" s="38">
        <f t="shared" si="11"/>
        <v>1</v>
      </c>
      <c r="V516" s="22">
        <f t="shared" si="12"/>
        <v>36</v>
      </c>
    </row>
    <row r="517">
      <c r="A517" s="2">
        <v>41289.0</v>
      </c>
      <c r="B517" s="5">
        <v>0.0</v>
      </c>
      <c r="C517" s="22">
        <f t="shared" si="2"/>
        <v>13</v>
      </c>
      <c r="D517" s="22">
        <f t="shared" si="3"/>
        <v>7</v>
      </c>
      <c r="E517" s="22">
        <f t="shared" si="1"/>
        <v>2</v>
      </c>
      <c r="F517" s="20"/>
      <c r="G517" s="20"/>
      <c r="H517" s="20"/>
      <c r="I517" s="20"/>
      <c r="J517" s="20"/>
      <c r="K517" s="20"/>
      <c r="L517" s="22">
        <f t="shared" si="4"/>
        <v>-13</v>
      </c>
      <c r="M517" s="38">
        <f t="shared" si="5"/>
        <v>1</v>
      </c>
      <c r="N517" s="22">
        <f t="shared" si="6"/>
        <v>169</v>
      </c>
      <c r="O517" s="20"/>
      <c r="P517" s="22">
        <f t="shared" si="7"/>
        <v>-7</v>
      </c>
      <c r="Q517" s="38">
        <f t="shared" si="8"/>
        <v>1</v>
      </c>
      <c r="R517" s="22">
        <f t="shared" si="9"/>
        <v>49</v>
      </c>
      <c r="S517" s="20"/>
      <c r="T517" s="22">
        <f t="shared" si="10"/>
        <v>-2</v>
      </c>
      <c r="U517" s="38">
        <f t="shared" si="11"/>
        <v>1</v>
      </c>
      <c r="V517" s="22">
        <f t="shared" si="12"/>
        <v>4</v>
      </c>
    </row>
    <row r="518">
      <c r="A518" s="2">
        <v>41290.0</v>
      </c>
      <c r="B518" s="5">
        <v>67.0</v>
      </c>
      <c r="C518" s="22">
        <f t="shared" si="2"/>
        <v>13</v>
      </c>
      <c r="D518" s="22">
        <f t="shared" si="3"/>
        <v>7</v>
      </c>
      <c r="E518" s="22">
        <f t="shared" si="1"/>
        <v>1</v>
      </c>
      <c r="F518" s="20"/>
      <c r="G518" s="20"/>
      <c r="H518" s="20"/>
      <c r="I518" s="20"/>
      <c r="J518" s="20"/>
      <c r="K518" s="20"/>
      <c r="L518" s="22">
        <f t="shared" si="4"/>
        <v>54</v>
      </c>
      <c r="M518" s="38">
        <f t="shared" si="5"/>
        <v>0.8059701493</v>
      </c>
      <c r="N518" s="22">
        <f t="shared" si="6"/>
        <v>2916</v>
      </c>
      <c r="O518" s="20"/>
      <c r="P518" s="22">
        <f t="shared" si="7"/>
        <v>60</v>
      </c>
      <c r="Q518" s="38">
        <f t="shared" si="8"/>
        <v>0.8955223881</v>
      </c>
      <c r="R518" s="22">
        <f t="shared" si="9"/>
        <v>3600</v>
      </c>
      <c r="S518" s="20"/>
      <c r="T518" s="22">
        <f t="shared" si="10"/>
        <v>66</v>
      </c>
      <c r="U518" s="38">
        <f t="shared" si="11"/>
        <v>0.9850746269</v>
      </c>
      <c r="V518" s="22">
        <f t="shared" si="12"/>
        <v>4356</v>
      </c>
    </row>
    <row r="519">
      <c r="A519" s="2">
        <v>41291.0</v>
      </c>
      <c r="B519" s="5">
        <v>0.0</v>
      </c>
      <c r="C519" s="22">
        <f t="shared" si="2"/>
        <v>13</v>
      </c>
      <c r="D519" s="22">
        <f t="shared" si="3"/>
        <v>7</v>
      </c>
      <c r="E519" s="22">
        <f t="shared" si="1"/>
        <v>41</v>
      </c>
      <c r="F519" s="20"/>
      <c r="G519" s="20"/>
      <c r="H519" s="20"/>
      <c r="I519" s="20"/>
      <c r="J519" s="20"/>
      <c r="K519" s="20"/>
      <c r="L519" s="22">
        <f t="shared" si="4"/>
        <v>-13</v>
      </c>
      <c r="M519" s="38">
        <f t="shared" si="5"/>
        <v>1</v>
      </c>
      <c r="N519" s="22">
        <f t="shared" si="6"/>
        <v>169</v>
      </c>
      <c r="O519" s="20"/>
      <c r="P519" s="22">
        <f t="shared" si="7"/>
        <v>-7</v>
      </c>
      <c r="Q519" s="38">
        <f t="shared" si="8"/>
        <v>1</v>
      </c>
      <c r="R519" s="22">
        <f t="shared" si="9"/>
        <v>49</v>
      </c>
      <c r="S519" s="20"/>
      <c r="T519" s="22">
        <f t="shared" si="10"/>
        <v>-41</v>
      </c>
      <c r="U519" s="38">
        <f t="shared" si="11"/>
        <v>1</v>
      </c>
      <c r="V519" s="22">
        <f t="shared" si="12"/>
        <v>1681</v>
      </c>
    </row>
    <row r="520">
      <c r="A520" s="2">
        <v>41292.0</v>
      </c>
      <c r="B520" s="5">
        <v>0.0</v>
      </c>
      <c r="C520" s="22">
        <f t="shared" si="2"/>
        <v>13</v>
      </c>
      <c r="D520" s="22">
        <f t="shared" si="3"/>
        <v>7</v>
      </c>
      <c r="E520" s="22">
        <f t="shared" si="1"/>
        <v>16</v>
      </c>
      <c r="F520" s="20"/>
      <c r="G520" s="20"/>
      <c r="H520" s="20"/>
      <c r="I520" s="20"/>
      <c r="J520" s="20"/>
      <c r="K520" s="20"/>
      <c r="L520" s="22">
        <f t="shared" si="4"/>
        <v>-13</v>
      </c>
      <c r="M520" s="38">
        <f t="shared" si="5"/>
        <v>1</v>
      </c>
      <c r="N520" s="22">
        <f t="shared" si="6"/>
        <v>169</v>
      </c>
      <c r="O520" s="20"/>
      <c r="P520" s="22">
        <f t="shared" si="7"/>
        <v>-7</v>
      </c>
      <c r="Q520" s="38">
        <f t="shared" si="8"/>
        <v>1</v>
      </c>
      <c r="R520" s="22">
        <f t="shared" si="9"/>
        <v>49</v>
      </c>
      <c r="S520" s="20"/>
      <c r="T520" s="22">
        <f t="shared" si="10"/>
        <v>-16</v>
      </c>
      <c r="U520" s="38">
        <f t="shared" si="11"/>
        <v>1</v>
      </c>
      <c r="V520" s="22">
        <f t="shared" si="12"/>
        <v>256</v>
      </c>
    </row>
    <row r="521">
      <c r="A521" s="2">
        <v>41295.0</v>
      </c>
      <c r="B521" s="5">
        <v>0.0</v>
      </c>
      <c r="C521" s="22">
        <f t="shared" si="2"/>
        <v>13</v>
      </c>
      <c r="D521" s="22">
        <f t="shared" si="3"/>
        <v>7</v>
      </c>
      <c r="E521" s="22">
        <f t="shared" si="1"/>
        <v>6</v>
      </c>
      <c r="F521" s="20"/>
      <c r="G521" s="20"/>
      <c r="H521" s="20"/>
      <c r="I521" s="20"/>
      <c r="J521" s="20"/>
      <c r="K521" s="20"/>
      <c r="L521" s="22">
        <f t="shared" si="4"/>
        <v>-13</v>
      </c>
      <c r="M521" s="38">
        <f t="shared" si="5"/>
        <v>1</v>
      </c>
      <c r="N521" s="22">
        <f t="shared" si="6"/>
        <v>169</v>
      </c>
      <c r="O521" s="20"/>
      <c r="P521" s="22">
        <f t="shared" si="7"/>
        <v>-7</v>
      </c>
      <c r="Q521" s="38">
        <f t="shared" si="8"/>
        <v>1</v>
      </c>
      <c r="R521" s="22">
        <f t="shared" si="9"/>
        <v>49</v>
      </c>
      <c r="S521" s="20"/>
      <c r="T521" s="22">
        <f t="shared" si="10"/>
        <v>-6</v>
      </c>
      <c r="U521" s="38">
        <f t="shared" si="11"/>
        <v>1</v>
      </c>
      <c r="V521" s="22">
        <f t="shared" si="12"/>
        <v>36</v>
      </c>
    </row>
    <row r="522">
      <c r="A522" s="2">
        <v>41296.0</v>
      </c>
      <c r="B522" s="5">
        <v>0.0</v>
      </c>
      <c r="C522" s="22">
        <f t="shared" si="2"/>
        <v>13</v>
      </c>
      <c r="D522" s="22">
        <f t="shared" si="3"/>
        <v>7</v>
      </c>
      <c r="E522" s="22">
        <f t="shared" si="1"/>
        <v>2</v>
      </c>
      <c r="F522" s="20"/>
      <c r="G522" s="20"/>
      <c r="H522" s="20"/>
      <c r="I522" s="20"/>
      <c r="J522" s="20"/>
      <c r="K522" s="20"/>
      <c r="L522" s="22">
        <f t="shared" si="4"/>
        <v>-13</v>
      </c>
      <c r="M522" s="38">
        <f t="shared" si="5"/>
        <v>1</v>
      </c>
      <c r="N522" s="22">
        <f t="shared" si="6"/>
        <v>169</v>
      </c>
      <c r="O522" s="20"/>
      <c r="P522" s="22">
        <f t="shared" si="7"/>
        <v>-7</v>
      </c>
      <c r="Q522" s="38">
        <f t="shared" si="8"/>
        <v>1</v>
      </c>
      <c r="R522" s="22">
        <f t="shared" si="9"/>
        <v>49</v>
      </c>
      <c r="S522" s="20"/>
      <c r="T522" s="22">
        <f t="shared" si="10"/>
        <v>-2</v>
      </c>
      <c r="U522" s="38">
        <f t="shared" si="11"/>
        <v>1</v>
      </c>
      <c r="V522" s="22">
        <f t="shared" si="12"/>
        <v>4</v>
      </c>
    </row>
    <row r="523">
      <c r="A523" s="2">
        <v>41297.0</v>
      </c>
      <c r="B523" s="5">
        <v>66.0</v>
      </c>
      <c r="C523" s="22">
        <f t="shared" si="2"/>
        <v>13</v>
      </c>
      <c r="D523" s="22">
        <f t="shared" si="3"/>
        <v>7</v>
      </c>
      <c r="E523" s="22">
        <f t="shared" si="1"/>
        <v>1</v>
      </c>
      <c r="F523" s="20"/>
      <c r="G523" s="20"/>
      <c r="H523" s="20"/>
      <c r="I523" s="20"/>
      <c r="J523" s="20"/>
      <c r="K523" s="20"/>
      <c r="L523" s="22">
        <f t="shared" si="4"/>
        <v>53</v>
      </c>
      <c r="M523" s="38">
        <f t="shared" si="5"/>
        <v>0.803030303</v>
      </c>
      <c r="N523" s="22">
        <f t="shared" si="6"/>
        <v>2809</v>
      </c>
      <c r="O523" s="20"/>
      <c r="P523" s="22">
        <f t="shared" si="7"/>
        <v>59</v>
      </c>
      <c r="Q523" s="38">
        <f t="shared" si="8"/>
        <v>0.8939393939</v>
      </c>
      <c r="R523" s="22">
        <f t="shared" si="9"/>
        <v>3481</v>
      </c>
      <c r="S523" s="20"/>
      <c r="T523" s="22">
        <f t="shared" si="10"/>
        <v>65</v>
      </c>
      <c r="U523" s="38">
        <f t="shared" si="11"/>
        <v>0.9848484848</v>
      </c>
      <c r="V523" s="22">
        <f t="shared" si="12"/>
        <v>4225</v>
      </c>
    </row>
    <row r="524">
      <c r="A524" s="2">
        <v>41298.0</v>
      </c>
      <c r="B524" s="5">
        <v>0.0</v>
      </c>
      <c r="C524" s="22">
        <f t="shared" si="2"/>
        <v>13</v>
      </c>
      <c r="D524" s="22">
        <f t="shared" si="3"/>
        <v>7</v>
      </c>
      <c r="E524" s="22">
        <f t="shared" si="1"/>
        <v>40</v>
      </c>
      <c r="F524" s="20"/>
      <c r="G524" s="20"/>
      <c r="H524" s="20"/>
      <c r="I524" s="20"/>
      <c r="J524" s="20"/>
      <c r="K524" s="20"/>
      <c r="L524" s="22">
        <f t="shared" si="4"/>
        <v>-13</v>
      </c>
      <c r="M524" s="38">
        <f t="shared" si="5"/>
        <v>1</v>
      </c>
      <c r="N524" s="22">
        <f t="shared" si="6"/>
        <v>169</v>
      </c>
      <c r="O524" s="20"/>
      <c r="P524" s="22">
        <f t="shared" si="7"/>
        <v>-7</v>
      </c>
      <c r="Q524" s="38">
        <f t="shared" si="8"/>
        <v>1</v>
      </c>
      <c r="R524" s="22">
        <f t="shared" si="9"/>
        <v>49</v>
      </c>
      <c r="S524" s="20"/>
      <c r="T524" s="22">
        <f t="shared" si="10"/>
        <v>-40</v>
      </c>
      <c r="U524" s="38">
        <f t="shared" si="11"/>
        <v>1</v>
      </c>
      <c r="V524" s="22">
        <f t="shared" si="12"/>
        <v>1600</v>
      </c>
    </row>
    <row r="525">
      <c r="A525" s="2">
        <v>41299.0</v>
      </c>
      <c r="B525" s="5">
        <v>0.0</v>
      </c>
      <c r="C525" s="22">
        <f t="shared" si="2"/>
        <v>13</v>
      </c>
      <c r="D525" s="22">
        <f t="shared" si="3"/>
        <v>7</v>
      </c>
      <c r="E525" s="22">
        <f t="shared" si="1"/>
        <v>16</v>
      </c>
      <c r="F525" s="20"/>
      <c r="G525" s="20"/>
      <c r="H525" s="20"/>
      <c r="I525" s="20"/>
      <c r="J525" s="20"/>
      <c r="K525" s="20"/>
      <c r="L525" s="22">
        <f t="shared" si="4"/>
        <v>-13</v>
      </c>
      <c r="M525" s="38">
        <f t="shared" si="5"/>
        <v>1</v>
      </c>
      <c r="N525" s="22">
        <f t="shared" si="6"/>
        <v>169</v>
      </c>
      <c r="O525" s="20"/>
      <c r="P525" s="22">
        <f t="shared" si="7"/>
        <v>-7</v>
      </c>
      <c r="Q525" s="38">
        <f t="shared" si="8"/>
        <v>1</v>
      </c>
      <c r="R525" s="22">
        <f t="shared" si="9"/>
        <v>49</v>
      </c>
      <c r="S525" s="20"/>
      <c r="T525" s="22">
        <f t="shared" si="10"/>
        <v>-16</v>
      </c>
      <c r="U525" s="38">
        <f t="shared" si="11"/>
        <v>1</v>
      </c>
      <c r="V525" s="22">
        <f t="shared" si="12"/>
        <v>256</v>
      </c>
    </row>
    <row r="526">
      <c r="A526" s="2">
        <v>41302.0</v>
      </c>
      <c r="B526" s="5">
        <v>0.0</v>
      </c>
      <c r="C526" s="22">
        <f t="shared" si="2"/>
        <v>13</v>
      </c>
      <c r="D526" s="22">
        <f t="shared" si="3"/>
        <v>7</v>
      </c>
      <c r="E526" s="22">
        <f t="shared" si="1"/>
        <v>6</v>
      </c>
      <c r="F526" s="20"/>
      <c r="G526" s="20"/>
      <c r="H526" s="20"/>
      <c r="I526" s="20"/>
      <c r="J526" s="20"/>
      <c r="K526" s="20"/>
      <c r="L526" s="22">
        <f t="shared" si="4"/>
        <v>-13</v>
      </c>
      <c r="M526" s="38">
        <f t="shared" si="5"/>
        <v>1</v>
      </c>
      <c r="N526" s="22">
        <f t="shared" si="6"/>
        <v>169</v>
      </c>
      <c r="O526" s="20"/>
      <c r="P526" s="22">
        <f t="shared" si="7"/>
        <v>-7</v>
      </c>
      <c r="Q526" s="38">
        <f t="shared" si="8"/>
        <v>1</v>
      </c>
      <c r="R526" s="22">
        <f t="shared" si="9"/>
        <v>49</v>
      </c>
      <c r="S526" s="20"/>
      <c r="T526" s="22">
        <f t="shared" si="10"/>
        <v>-6</v>
      </c>
      <c r="U526" s="38">
        <f t="shared" si="11"/>
        <v>1</v>
      </c>
      <c r="V526" s="22">
        <f t="shared" si="12"/>
        <v>36</v>
      </c>
    </row>
    <row r="527">
      <c r="A527" s="2">
        <v>41303.0</v>
      </c>
      <c r="B527" s="5">
        <v>5.0</v>
      </c>
      <c r="C527" s="22">
        <f t="shared" si="2"/>
        <v>13</v>
      </c>
      <c r="D527" s="22">
        <f t="shared" si="3"/>
        <v>7</v>
      </c>
      <c r="E527" s="22">
        <f t="shared" si="1"/>
        <v>2</v>
      </c>
      <c r="F527" s="20"/>
      <c r="G527" s="20"/>
      <c r="H527" s="20"/>
      <c r="I527" s="20"/>
      <c r="J527" s="20"/>
      <c r="K527" s="20"/>
      <c r="L527" s="22">
        <f t="shared" si="4"/>
        <v>-8</v>
      </c>
      <c r="M527" s="38">
        <f t="shared" si="5"/>
        <v>1.6</v>
      </c>
      <c r="N527" s="22">
        <f t="shared" si="6"/>
        <v>64</v>
      </c>
      <c r="O527" s="20"/>
      <c r="P527" s="22">
        <f t="shared" si="7"/>
        <v>-2</v>
      </c>
      <c r="Q527" s="38">
        <f t="shared" si="8"/>
        <v>0.4</v>
      </c>
      <c r="R527" s="22">
        <f t="shared" si="9"/>
        <v>4</v>
      </c>
      <c r="S527" s="20"/>
      <c r="T527" s="22">
        <f t="shared" si="10"/>
        <v>3</v>
      </c>
      <c r="U527" s="38">
        <f t="shared" si="11"/>
        <v>0.6</v>
      </c>
      <c r="V527" s="22">
        <f t="shared" si="12"/>
        <v>9</v>
      </c>
    </row>
    <row r="528">
      <c r="A528" s="2">
        <v>41304.0</v>
      </c>
      <c r="B528" s="5">
        <v>75.0</v>
      </c>
      <c r="C528" s="22">
        <f t="shared" si="2"/>
        <v>14</v>
      </c>
      <c r="D528" s="22">
        <f t="shared" si="3"/>
        <v>7</v>
      </c>
      <c r="E528" s="22">
        <f t="shared" si="1"/>
        <v>4</v>
      </c>
      <c r="F528" s="20"/>
      <c r="G528" s="20"/>
      <c r="H528" s="20"/>
      <c r="I528" s="20"/>
      <c r="J528" s="20"/>
      <c r="K528" s="20"/>
      <c r="L528" s="22">
        <f t="shared" si="4"/>
        <v>61</v>
      </c>
      <c r="M528" s="38">
        <f t="shared" si="5"/>
        <v>0.8133333333</v>
      </c>
      <c r="N528" s="22">
        <f t="shared" si="6"/>
        <v>3721</v>
      </c>
      <c r="O528" s="20"/>
      <c r="P528" s="22">
        <f t="shared" si="7"/>
        <v>68</v>
      </c>
      <c r="Q528" s="38">
        <f t="shared" si="8"/>
        <v>0.9066666667</v>
      </c>
      <c r="R528" s="22">
        <f t="shared" si="9"/>
        <v>4624</v>
      </c>
      <c r="S528" s="20"/>
      <c r="T528" s="22">
        <f t="shared" si="10"/>
        <v>71</v>
      </c>
      <c r="U528" s="38">
        <f t="shared" si="11"/>
        <v>0.9466666667</v>
      </c>
      <c r="V528" s="22">
        <f t="shared" si="12"/>
        <v>5041</v>
      </c>
    </row>
    <row r="529">
      <c r="A529" s="2">
        <v>41305.0</v>
      </c>
      <c r="B529" s="5">
        <v>0.0</v>
      </c>
      <c r="C529" s="22">
        <f t="shared" si="2"/>
        <v>16</v>
      </c>
      <c r="D529" s="22">
        <f t="shared" si="3"/>
        <v>8</v>
      </c>
      <c r="E529" s="22">
        <f t="shared" si="1"/>
        <v>47</v>
      </c>
      <c r="F529" s="20"/>
      <c r="G529" s="20"/>
      <c r="H529" s="20"/>
      <c r="I529" s="20"/>
      <c r="J529" s="20"/>
      <c r="K529" s="20"/>
      <c r="L529" s="22">
        <f t="shared" si="4"/>
        <v>-16</v>
      </c>
      <c r="M529" s="38">
        <f t="shared" si="5"/>
        <v>1</v>
      </c>
      <c r="N529" s="22">
        <f t="shared" si="6"/>
        <v>256</v>
      </c>
      <c r="O529" s="20"/>
      <c r="P529" s="22">
        <f t="shared" si="7"/>
        <v>-8</v>
      </c>
      <c r="Q529" s="38">
        <f t="shared" si="8"/>
        <v>1</v>
      </c>
      <c r="R529" s="22">
        <f t="shared" si="9"/>
        <v>64</v>
      </c>
      <c r="S529" s="20"/>
      <c r="T529" s="22">
        <f t="shared" si="10"/>
        <v>-47</v>
      </c>
      <c r="U529" s="38">
        <f t="shared" si="11"/>
        <v>1</v>
      </c>
      <c r="V529" s="22">
        <f t="shared" si="12"/>
        <v>2209</v>
      </c>
    </row>
    <row r="530">
      <c r="A530" s="2">
        <v>41306.0</v>
      </c>
      <c r="B530" s="5">
        <v>0.0</v>
      </c>
      <c r="C530" s="22">
        <f t="shared" si="2"/>
        <v>16</v>
      </c>
      <c r="D530" s="22">
        <f t="shared" si="3"/>
        <v>7</v>
      </c>
      <c r="E530" s="22">
        <f t="shared" si="1"/>
        <v>19</v>
      </c>
      <c r="F530" s="20"/>
      <c r="G530" s="20"/>
      <c r="H530" s="20"/>
      <c r="I530" s="20"/>
      <c r="J530" s="20"/>
      <c r="K530" s="20"/>
      <c r="L530" s="22">
        <f t="shared" si="4"/>
        <v>-16</v>
      </c>
      <c r="M530" s="38">
        <f t="shared" si="5"/>
        <v>1</v>
      </c>
      <c r="N530" s="22">
        <f t="shared" si="6"/>
        <v>256</v>
      </c>
      <c r="O530" s="20"/>
      <c r="P530" s="22">
        <f t="shared" si="7"/>
        <v>-7</v>
      </c>
      <c r="Q530" s="38">
        <f t="shared" si="8"/>
        <v>1</v>
      </c>
      <c r="R530" s="22">
        <f t="shared" si="9"/>
        <v>49</v>
      </c>
      <c r="S530" s="20"/>
      <c r="T530" s="22">
        <f t="shared" si="10"/>
        <v>-19</v>
      </c>
      <c r="U530" s="38">
        <f t="shared" si="11"/>
        <v>1</v>
      </c>
      <c r="V530" s="22">
        <f t="shared" si="12"/>
        <v>361</v>
      </c>
    </row>
    <row r="531">
      <c r="A531" s="2">
        <v>41309.0</v>
      </c>
      <c r="B531" s="5">
        <v>0.0</v>
      </c>
      <c r="C531" s="22">
        <f t="shared" si="2"/>
        <v>16</v>
      </c>
      <c r="D531" s="22">
        <f t="shared" si="3"/>
        <v>7</v>
      </c>
      <c r="E531" s="22">
        <f t="shared" si="1"/>
        <v>8</v>
      </c>
      <c r="F531" s="20"/>
      <c r="G531" s="20"/>
      <c r="H531" s="20"/>
      <c r="I531" s="20"/>
      <c r="J531" s="20"/>
      <c r="K531" s="20"/>
      <c r="L531" s="22">
        <f t="shared" si="4"/>
        <v>-16</v>
      </c>
      <c r="M531" s="38">
        <f t="shared" si="5"/>
        <v>1</v>
      </c>
      <c r="N531" s="22">
        <f t="shared" si="6"/>
        <v>256</v>
      </c>
      <c r="O531" s="20"/>
      <c r="P531" s="22">
        <f t="shared" si="7"/>
        <v>-7</v>
      </c>
      <c r="Q531" s="38">
        <f t="shared" si="8"/>
        <v>1</v>
      </c>
      <c r="R531" s="22">
        <f t="shared" si="9"/>
        <v>49</v>
      </c>
      <c r="S531" s="20"/>
      <c r="T531" s="22">
        <f t="shared" si="10"/>
        <v>-8</v>
      </c>
      <c r="U531" s="38">
        <f t="shared" si="11"/>
        <v>1</v>
      </c>
      <c r="V531" s="22">
        <f t="shared" si="12"/>
        <v>64</v>
      </c>
    </row>
    <row r="532">
      <c r="A532" s="2">
        <v>41310.0</v>
      </c>
      <c r="B532" s="5">
        <v>5.0</v>
      </c>
      <c r="C532" s="22">
        <f t="shared" si="2"/>
        <v>16</v>
      </c>
      <c r="D532" s="22">
        <f t="shared" si="3"/>
        <v>7</v>
      </c>
      <c r="E532" s="22">
        <f t="shared" si="1"/>
        <v>3</v>
      </c>
      <c r="F532" s="20"/>
      <c r="G532" s="20"/>
      <c r="H532" s="20"/>
      <c r="I532" s="20"/>
      <c r="J532" s="20"/>
      <c r="K532" s="20"/>
      <c r="L532" s="22">
        <f t="shared" si="4"/>
        <v>-11</v>
      </c>
      <c r="M532" s="38">
        <f t="shared" si="5"/>
        <v>2.2</v>
      </c>
      <c r="N532" s="22">
        <f t="shared" si="6"/>
        <v>121</v>
      </c>
      <c r="O532" s="20"/>
      <c r="P532" s="22">
        <f t="shared" si="7"/>
        <v>-2</v>
      </c>
      <c r="Q532" s="38">
        <f t="shared" si="8"/>
        <v>0.4</v>
      </c>
      <c r="R532" s="22">
        <f t="shared" si="9"/>
        <v>4</v>
      </c>
      <c r="S532" s="20"/>
      <c r="T532" s="22">
        <f t="shared" si="10"/>
        <v>2</v>
      </c>
      <c r="U532" s="38">
        <f t="shared" si="11"/>
        <v>0.4</v>
      </c>
      <c r="V532" s="22">
        <f t="shared" si="12"/>
        <v>4</v>
      </c>
    </row>
    <row r="533">
      <c r="A533" s="2">
        <v>41311.0</v>
      </c>
      <c r="B533" s="5">
        <v>62.0</v>
      </c>
      <c r="C533" s="22">
        <f t="shared" si="2"/>
        <v>16</v>
      </c>
      <c r="D533" s="22">
        <f t="shared" si="3"/>
        <v>7</v>
      </c>
      <c r="E533" s="22">
        <f t="shared" si="1"/>
        <v>4</v>
      </c>
      <c r="F533" s="20"/>
      <c r="G533" s="20"/>
      <c r="H533" s="20"/>
      <c r="I533" s="20"/>
      <c r="J533" s="20"/>
      <c r="K533" s="20"/>
      <c r="L533" s="22">
        <f t="shared" si="4"/>
        <v>46</v>
      </c>
      <c r="M533" s="38">
        <f t="shared" si="5"/>
        <v>0.7419354839</v>
      </c>
      <c r="N533" s="22">
        <f t="shared" si="6"/>
        <v>2116</v>
      </c>
      <c r="O533" s="20"/>
      <c r="P533" s="22">
        <f t="shared" si="7"/>
        <v>55</v>
      </c>
      <c r="Q533" s="38">
        <f t="shared" si="8"/>
        <v>0.8870967742</v>
      </c>
      <c r="R533" s="22">
        <f t="shared" si="9"/>
        <v>3025</v>
      </c>
      <c r="S533" s="20"/>
      <c r="T533" s="22">
        <f t="shared" si="10"/>
        <v>58</v>
      </c>
      <c r="U533" s="38">
        <f t="shared" si="11"/>
        <v>0.935483871</v>
      </c>
      <c r="V533" s="22">
        <f t="shared" si="12"/>
        <v>3364</v>
      </c>
    </row>
    <row r="534">
      <c r="A534" s="2">
        <v>41312.0</v>
      </c>
      <c r="B534" s="5">
        <v>0.0</v>
      </c>
      <c r="C534" s="22">
        <f t="shared" si="2"/>
        <v>13</v>
      </c>
      <c r="D534" s="22">
        <f t="shared" si="3"/>
        <v>8</v>
      </c>
      <c r="E534" s="22">
        <f t="shared" si="1"/>
        <v>39</v>
      </c>
      <c r="F534" s="20"/>
      <c r="G534" s="20"/>
      <c r="H534" s="20"/>
      <c r="I534" s="20"/>
      <c r="J534" s="20"/>
      <c r="K534" s="20"/>
      <c r="L534" s="22">
        <f t="shared" si="4"/>
        <v>-13</v>
      </c>
      <c r="M534" s="38">
        <f t="shared" si="5"/>
        <v>1</v>
      </c>
      <c r="N534" s="22">
        <f t="shared" si="6"/>
        <v>169</v>
      </c>
      <c r="O534" s="20"/>
      <c r="P534" s="22">
        <f t="shared" si="7"/>
        <v>-8</v>
      </c>
      <c r="Q534" s="38">
        <f t="shared" si="8"/>
        <v>1</v>
      </c>
      <c r="R534" s="22">
        <f t="shared" si="9"/>
        <v>64</v>
      </c>
      <c r="S534" s="20"/>
      <c r="T534" s="22">
        <f t="shared" si="10"/>
        <v>-39</v>
      </c>
      <c r="U534" s="38">
        <f t="shared" si="11"/>
        <v>1</v>
      </c>
      <c r="V534" s="22">
        <f t="shared" si="12"/>
        <v>1521</v>
      </c>
    </row>
    <row r="535">
      <c r="A535" s="2">
        <v>41313.0</v>
      </c>
      <c r="B535" s="5">
        <v>0.0</v>
      </c>
      <c r="C535" s="22">
        <f t="shared" si="2"/>
        <v>13</v>
      </c>
      <c r="D535" s="22">
        <f t="shared" si="3"/>
        <v>8</v>
      </c>
      <c r="E535" s="22">
        <f t="shared" si="1"/>
        <v>16</v>
      </c>
      <c r="F535" s="20"/>
      <c r="G535" s="20"/>
      <c r="H535" s="20"/>
      <c r="I535" s="20"/>
      <c r="J535" s="20"/>
      <c r="K535" s="20"/>
      <c r="L535" s="22">
        <f t="shared" si="4"/>
        <v>-13</v>
      </c>
      <c r="M535" s="38">
        <f t="shared" si="5"/>
        <v>1</v>
      </c>
      <c r="N535" s="22">
        <f t="shared" si="6"/>
        <v>169</v>
      </c>
      <c r="O535" s="20"/>
      <c r="P535" s="22">
        <f t="shared" si="7"/>
        <v>-8</v>
      </c>
      <c r="Q535" s="38">
        <f t="shared" si="8"/>
        <v>1</v>
      </c>
      <c r="R535" s="22">
        <f t="shared" si="9"/>
        <v>64</v>
      </c>
      <c r="S535" s="20"/>
      <c r="T535" s="22">
        <f t="shared" si="10"/>
        <v>-16</v>
      </c>
      <c r="U535" s="38">
        <f t="shared" si="11"/>
        <v>1</v>
      </c>
      <c r="V535" s="22">
        <f t="shared" si="12"/>
        <v>256</v>
      </c>
    </row>
    <row r="536">
      <c r="A536" s="2">
        <v>41316.0</v>
      </c>
      <c r="B536" s="5">
        <v>0.0</v>
      </c>
      <c r="C536" s="22">
        <f t="shared" si="2"/>
        <v>13</v>
      </c>
      <c r="D536" s="22">
        <f t="shared" si="3"/>
        <v>8</v>
      </c>
      <c r="E536" s="22">
        <f t="shared" si="1"/>
        <v>6</v>
      </c>
      <c r="F536" s="20"/>
      <c r="G536" s="20"/>
      <c r="H536" s="20"/>
      <c r="I536" s="20"/>
      <c r="J536" s="20"/>
      <c r="K536" s="20"/>
      <c r="L536" s="22">
        <f t="shared" si="4"/>
        <v>-13</v>
      </c>
      <c r="M536" s="38">
        <f t="shared" si="5"/>
        <v>1</v>
      </c>
      <c r="N536" s="22">
        <f t="shared" si="6"/>
        <v>169</v>
      </c>
      <c r="O536" s="20"/>
      <c r="P536" s="22">
        <f t="shared" si="7"/>
        <v>-8</v>
      </c>
      <c r="Q536" s="38">
        <f t="shared" si="8"/>
        <v>1</v>
      </c>
      <c r="R536" s="22">
        <f t="shared" si="9"/>
        <v>64</v>
      </c>
      <c r="S536" s="20"/>
      <c r="T536" s="22">
        <f t="shared" si="10"/>
        <v>-6</v>
      </c>
      <c r="U536" s="38">
        <f t="shared" si="11"/>
        <v>1</v>
      </c>
      <c r="V536" s="22">
        <f t="shared" si="12"/>
        <v>36</v>
      </c>
    </row>
    <row r="537">
      <c r="A537" s="2">
        <v>41317.0</v>
      </c>
      <c r="B537" s="5">
        <v>8.0</v>
      </c>
      <c r="C537" s="22">
        <f t="shared" si="2"/>
        <v>13</v>
      </c>
      <c r="D537" s="22">
        <f t="shared" si="3"/>
        <v>8</v>
      </c>
      <c r="E537" s="22">
        <f t="shared" si="1"/>
        <v>2</v>
      </c>
      <c r="F537" s="20"/>
      <c r="G537" s="20"/>
      <c r="H537" s="20"/>
      <c r="I537" s="20"/>
      <c r="J537" s="20"/>
      <c r="K537" s="20"/>
      <c r="L537" s="22">
        <f t="shared" si="4"/>
        <v>-5</v>
      </c>
      <c r="M537" s="38">
        <f t="shared" si="5"/>
        <v>0.625</v>
      </c>
      <c r="N537" s="22">
        <f t="shared" si="6"/>
        <v>25</v>
      </c>
      <c r="O537" s="20"/>
      <c r="P537" s="22">
        <f t="shared" si="7"/>
        <v>0</v>
      </c>
      <c r="Q537" s="38">
        <f t="shared" si="8"/>
        <v>0</v>
      </c>
      <c r="R537" s="22">
        <f t="shared" si="9"/>
        <v>0</v>
      </c>
      <c r="S537" s="20"/>
      <c r="T537" s="22">
        <f t="shared" si="10"/>
        <v>6</v>
      </c>
      <c r="U537" s="38">
        <f t="shared" si="11"/>
        <v>0.75</v>
      </c>
      <c r="V537" s="22">
        <f t="shared" si="12"/>
        <v>36</v>
      </c>
    </row>
    <row r="538">
      <c r="A538" s="2">
        <v>41318.0</v>
      </c>
      <c r="B538" s="5">
        <v>59.0</v>
      </c>
      <c r="C538" s="22">
        <f t="shared" si="2"/>
        <v>14</v>
      </c>
      <c r="D538" s="22">
        <f t="shared" si="3"/>
        <v>8</v>
      </c>
      <c r="E538" s="22">
        <f t="shared" si="1"/>
        <v>6</v>
      </c>
      <c r="F538" s="20"/>
      <c r="G538" s="20"/>
      <c r="H538" s="20"/>
      <c r="I538" s="20"/>
      <c r="J538" s="20"/>
      <c r="K538" s="20"/>
      <c r="L538" s="22">
        <f t="shared" si="4"/>
        <v>45</v>
      </c>
      <c r="M538" s="38">
        <f t="shared" si="5"/>
        <v>0.7627118644</v>
      </c>
      <c r="N538" s="22">
        <f t="shared" si="6"/>
        <v>2025</v>
      </c>
      <c r="O538" s="20"/>
      <c r="P538" s="22">
        <f t="shared" si="7"/>
        <v>51</v>
      </c>
      <c r="Q538" s="38">
        <f t="shared" si="8"/>
        <v>0.8644067797</v>
      </c>
      <c r="R538" s="22">
        <f t="shared" si="9"/>
        <v>2601</v>
      </c>
      <c r="S538" s="20"/>
      <c r="T538" s="22">
        <f t="shared" si="10"/>
        <v>53</v>
      </c>
      <c r="U538" s="38">
        <f t="shared" si="11"/>
        <v>0.8983050847</v>
      </c>
      <c r="V538" s="22">
        <f t="shared" si="12"/>
        <v>2809</v>
      </c>
    </row>
    <row r="539">
      <c r="A539" s="2">
        <v>41319.0</v>
      </c>
      <c r="B539" s="5">
        <v>0.0</v>
      </c>
      <c r="C539" s="22">
        <f t="shared" si="2"/>
        <v>13</v>
      </c>
      <c r="D539" s="22">
        <f t="shared" si="3"/>
        <v>8</v>
      </c>
      <c r="E539" s="22">
        <f t="shared" si="1"/>
        <v>38</v>
      </c>
      <c r="F539" s="20"/>
      <c r="G539" s="20"/>
      <c r="H539" s="20"/>
      <c r="I539" s="20"/>
      <c r="J539" s="20"/>
      <c r="K539" s="20"/>
      <c r="L539" s="22">
        <f t="shared" si="4"/>
        <v>-13</v>
      </c>
      <c r="M539" s="38">
        <f t="shared" si="5"/>
        <v>1</v>
      </c>
      <c r="N539" s="22">
        <f t="shared" si="6"/>
        <v>169</v>
      </c>
      <c r="O539" s="20"/>
      <c r="P539" s="22">
        <f t="shared" si="7"/>
        <v>-8</v>
      </c>
      <c r="Q539" s="38">
        <f t="shared" si="8"/>
        <v>1</v>
      </c>
      <c r="R539" s="22">
        <f t="shared" si="9"/>
        <v>64</v>
      </c>
      <c r="S539" s="20"/>
      <c r="T539" s="22">
        <f t="shared" si="10"/>
        <v>-38</v>
      </c>
      <c r="U539" s="38">
        <f t="shared" si="11"/>
        <v>1</v>
      </c>
      <c r="V539" s="22">
        <f t="shared" si="12"/>
        <v>1444</v>
      </c>
    </row>
    <row r="540">
      <c r="A540" s="2">
        <v>41320.0</v>
      </c>
      <c r="B540" s="5">
        <v>0.0</v>
      </c>
      <c r="C540" s="22">
        <f t="shared" si="2"/>
        <v>13</v>
      </c>
      <c r="D540" s="22">
        <f t="shared" si="3"/>
        <v>8</v>
      </c>
      <c r="E540" s="22">
        <f t="shared" si="1"/>
        <v>15</v>
      </c>
      <c r="F540" s="20"/>
      <c r="G540" s="20"/>
      <c r="H540" s="20"/>
      <c r="I540" s="20"/>
      <c r="J540" s="20"/>
      <c r="K540" s="20"/>
      <c r="L540" s="22">
        <f t="shared" si="4"/>
        <v>-13</v>
      </c>
      <c r="M540" s="38">
        <f t="shared" si="5"/>
        <v>1</v>
      </c>
      <c r="N540" s="22">
        <f t="shared" si="6"/>
        <v>169</v>
      </c>
      <c r="O540" s="20"/>
      <c r="P540" s="22">
        <f t="shared" si="7"/>
        <v>-8</v>
      </c>
      <c r="Q540" s="38">
        <f t="shared" si="8"/>
        <v>1</v>
      </c>
      <c r="R540" s="22">
        <f t="shared" si="9"/>
        <v>64</v>
      </c>
      <c r="S540" s="20"/>
      <c r="T540" s="22">
        <f t="shared" si="10"/>
        <v>-15</v>
      </c>
      <c r="U540" s="38">
        <f t="shared" si="11"/>
        <v>1</v>
      </c>
      <c r="V540" s="22">
        <f t="shared" si="12"/>
        <v>225</v>
      </c>
    </row>
    <row r="541">
      <c r="A541" s="2">
        <v>41323.0</v>
      </c>
      <c r="B541" s="5">
        <v>0.0</v>
      </c>
      <c r="C541" s="22">
        <f t="shared" si="2"/>
        <v>13</v>
      </c>
      <c r="D541" s="22">
        <f t="shared" si="3"/>
        <v>8</v>
      </c>
      <c r="E541" s="22">
        <f t="shared" si="1"/>
        <v>6</v>
      </c>
      <c r="F541" s="20"/>
      <c r="G541" s="20"/>
      <c r="H541" s="20"/>
      <c r="I541" s="20"/>
      <c r="J541" s="20"/>
      <c r="K541" s="20"/>
      <c r="L541" s="22">
        <f t="shared" si="4"/>
        <v>-13</v>
      </c>
      <c r="M541" s="38">
        <f t="shared" si="5"/>
        <v>1</v>
      </c>
      <c r="N541" s="22">
        <f t="shared" si="6"/>
        <v>169</v>
      </c>
      <c r="O541" s="20"/>
      <c r="P541" s="22">
        <f t="shared" si="7"/>
        <v>-8</v>
      </c>
      <c r="Q541" s="38">
        <f t="shared" si="8"/>
        <v>1</v>
      </c>
      <c r="R541" s="22">
        <f t="shared" si="9"/>
        <v>64</v>
      </c>
      <c r="S541" s="20"/>
      <c r="T541" s="22">
        <f t="shared" si="10"/>
        <v>-6</v>
      </c>
      <c r="U541" s="38">
        <f t="shared" si="11"/>
        <v>1</v>
      </c>
      <c r="V541" s="22">
        <f t="shared" si="12"/>
        <v>36</v>
      </c>
    </row>
    <row r="542">
      <c r="A542" s="2">
        <v>41324.0</v>
      </c>
      <c r="B542" s="5">
        <v>0.0</v>
      </c>
      <c r="C542" s="22">
        <f t="shared" si="2"/>
        <v>13</v>
      </c>
      <c r="D542" s="22">
        <f t="shared" si="3"/>
        <v>8</v>
      </c>
      <c r="E542" s="22">
        <f t="shared" si="1"/>
        <v>2</v>
      </c>
      <c r="F542" s="20"/>
      <c r="G542" s="20"/>
      <c r="H542" s="20"/>
      <c r="I542" s="20"/>
      <c r="J542" s="20"/>
      <c r="K542" s="20"/>
      <c r="L542" s="22">
        <f t="shared" si="4"/>
        <v>-13</v>
      </c>
      <c r="M542" s="38">
        <f t="shared" si="5"/>
        <v>1</v>
      </c>
      <c r="N542" s="22">
        <f t="shared" si="6"/>
        <v>169</v>
      </c>
      <c r="O542" s="20"/>
      <c r="P542" s="22">
        <f t="shared" si="7"/>
        <v>-8</v>
      </c>
      <c r="Q542" s="38">
        <f t="shared" si="8"/>
        <v>1</v>
      </c>
      <c r="R542" s="22">
        <f t="shared" si="9"/>
        <v>64</v>
      </c>
      <c r="S542" s="20"/>
      <c r="T542" s="22">
        <f t="shared" si="10"/>
        <v>-2</v>
      </c>
      <c r="U542" s="38">
        <f t="shared" si="11"/>
        <v>1</v>
      </c>
      <c r="V542" s="22">
        <f t="shared" si="12"/>
        <v>4</v>
      </c>
    </row>
    <row r="543">
      <c r="A543" s="2">
        <v>41325.0</v>
      </c>
      <c r="B543" s="5">
        <v>67.0</v>
      </c>
      <c r="C543" s="22">
        <f t="shared" si="2"/>
        <v>12</v>
      </c>
      <c r="D543" s="22">
        <f t="shared" si="3"/>
        <v>8</v>
      </c>
      <c r="E543" s="22">
        <f t="shared" si="1"/>
        <v>1</v>
      </c>
      <c r="F543" s="20"/>
      <c r="G543" s="20"/>
      <c r="H543" s="20"/>
      <c r="I543" s="20"/>
      <c r="J543" s="20"/>
      <c r="K543" s="20"/>
      <c r="L543" s="22">
        <f t="shared" si="4"/>
        <v>55</v>
      </c>
      <c r="M543" s="38">
        <f t="shared" si="5"/>
        <v>0.8208955224</v>
      </c>
      <c r="N543" s="22">
        <f t="shared" si="6"/>
        <v>3025</v>
      </c>
      <c r="O543" s="20"/>
      <c r="P543" s="22">
        <f t="shared" si="7"/>
        <v>59</v>
      </c>
      <c r="Q543" s="38">
        <f t="shared" si="8"/>
        <v>0.8805970149</v>
      </c>
      <c r="R543" s="22">
        <f t="shared" si="9"/>
        <v>3481</v>
      </c>
      <c r="S543" s="20"/>
      <c r="T543" s="22">
        <f t="shared" si="10"/>
        <v>66</v>
      </c>
      <c r="U543" s="38">
        <f t="shared" si="11"/>
        <v>0.9850746269</v>
      </c>
      <c r="V543" s="22">
        <f t="shared" si="12"/>
        <v>4356</v>
      </c>
    </row>
    <row r="544">
      <c r="A544" s="2">
        <v>41326.0</v>
      </c>
      <c r="B544" s="5">
        <v>0.0</v>
      </c>
      <c r="C544" s="22">
        <f t="shared" si="2"/>
        <v>13</v>
      </c>
      <c r="D544" s="22">
        <f t="shared" si="3"/>
        <v>8</v>
      </c>
      <c r="E544" s="22">
        <f t="shared" si="1"/>
        <v>41</v>
      </c>
      <c r="F544" s="20"/>
      <c r="G544" s="20"/>
      <c r="H544" s="20"/>
      <c r="I544" s="20"/>
      <c r="J544" s="20"/>
      <c r="K544" s="20"/>
      <c r="L544" s="22">
        <f t="shared" si="4"/>
        <v>-13</v>
      </c>
      <c r="M544" s="38">
        <f t="shared" si="5"/>
        <v>1</v>
      </c>
      <c r="N544" s="22">
        <f t="shared" si="6"/>
        <v>169</v>
      </c>
      <c r="O544" s="20"/>
      <c r="P544" s="22">
        <f t="shared" si="7"/>
        <v>-8</v>
      </c>
      <c r="Q544" s="38">
        <f t="shared" si="8"/>
        <v>1</v>
      </c>
      <c r="R544" s="22">
        <f t="shared" si="9"/>
        <v>64</v>
      </c>
      <c r="S544" s="20"/>
      <c r="T544" s="22">
        <f t="shared" si="10"/>
        <v>-41</v>
      </c>
      <c r="U544" s="38">
        <f t="shared" si="11"/>
        <v>1</v>
      </c>
      <c r="V544" s="22">
        <f t="shared" si="12"/>
        <v>1681</v>
      </c>
    </row>
    <row r="545">
      <c r="A545" s="2">
        <v>41327.0</v>
      </c>
      <c r="B545" s="5">
        <v>0.0</v>
      </c>
      <c r="C545" s="22">
        <f t="shared" si="2"/>
        <v>13</v>
      </c>
      <c r="D545" s="22">
        <f t="shared" si="3"/>
        <v>8</v>
      </c>
      <c r="E545" s="22">
        <f t="shared" si="1"/>
        <v>16</v>
      </c>
      <c r="F545" s="20"/>
      <c r="G545" s="20"/>
      <c r="H545" s="20"/>
      <c r="I545" s="20"/>
      <c r="J545" s="20"/>
      <c r="K545" s="20"/>
      <c r="L545" s="22">
        <f t="shared" si="4"/>
        <v>-13</v>
      </c>
      <c r="M545" s="38">
        <f t="shared" si="5"/>
        <v>1</v>
      </c>
      <c r="N545" s="22">
        <f t="shared" si="6"/>
        <v>169</v>
      </c>
      <c r="O545" s="20"/>
      <c r="P545" s="22">
        <f t="shared" si="7"/>
        <v>-8</v>
      </c>
      <c r="Q545" s="38">
        <f t="shared" si="8"/>
        <v>1</v>
      </c>
      <c r="R545" s="22">
        <f t="shared" si="9"/>
        <v>64</v>
      </c>
      <c r="S545" s="20"/>
      <c r="T545" s="22">
        <f t="shared" si="10"/>
        <v>-16</v>
      </c>
      <c r="U545" s="38">
        <f t="shared" si="11"/>
        <v>1</v>
      </c>
      <c r="V545" s="22">
        <f t="shared" si="12"/>
        <v>256</v>
      </c>
    </row>
    <row r="546">
      <c r="A546" s="2">
        <v>41330.0</v>
      </c>
      <c r="B546" s="5">
        <v>0.0</v>
      </c>
      <c r="C546" s="22">
        <f t="shared" si="2"/>
        <v>13</v>
      </c>
      <c r="D546" s="22">
        <f t="shared" si="3"/>
        <v>8</v>
      </c>
      <c r="E546" s="22">
        <f t="shared" si="1"/>
        <v>6</v>
      </c>
      <c r="F546" s="20"/>
      <c r="G546" s="20"/>
      <c r="H546" s="20"/>
      <c r="I546" s="20"/>
      <c r="J546" s="20"/>
      <c r="K546" s="20"/>
      <c r="L546" s="22">
        <f t="shared" si="4"/>
        <v>-13</v>
      </c>
      <c r="M546" s="38">
        <f t="shared" si="5"/>
        <v>1</v>
      </c>
      <c r="N546" s="22">
        <f t="shared" si="6"/>
        <v>169</v>
      </c>
      <c r="O546" s="20"/>
      <c r="P546" s="22">
        <f t="shared" si="7"/>
        <v>-8</v>
      </c>
      <c r="Q546" s="38">
        <f t="shared" si="8"/>
        <v>1</v>
      </c>
      <c r="R546" s="22">
        <f t="shared" si="9"/>
        <v>64</v>
      </c>
      <c r="S546" s="20"/>
      <c r="T546" s="22">
        <f t="shared" si="10"/>
        <v>-6</v>
      </c>
      <c r="U546" s="38">
        <f t="shared" si="11"/>
        <v>1</v>
      </c>
      <c r="V546" s="22">
        <f t="shared" si="12"/>
        <v>36</v>
      </c>
    </row>
    <row r="547">
      <c r="A547" s="2">
        <v>41331.0</v>
      </c>
      <c r="B547" s="5">
        <v>0.0</v>
      </c>
      <c r="C547" s="22">
        <f t="shared" si="2"/>
        <v>13</v>
      </c>
      <c r="D547" s="22">
        <f t="shared" si="3"/>
        <v>8</v>
      </c>
      <c r="E547" s="22">
        <f t="shared" si="1"/>
        <v>2</v>
      </c>
      <c r="F547" s="20"/>
      <c r="G547" s="20"/>
      <c r="H547" s="20"/>
      <c r="I547" s="20"/>
      <c r="J547" s="20"/>
      <c r="K547" s="20"/>
      <c r="L547" s="22">
        <f t="shared" si="4"/>
        <v>-13</v>
      </c>
      <c r="M547" s="38">
        <f t="shared" si="5"/>
        <v>1</v>
      </c>
      <c r="N547" s="22">
        <f t="shared" si="6"/>
        <v>169</v>
      </c>
      <c r="O547" s="20"/>
      <c r="P547" s="22">
        <f t="shared" si="7"/>
        <v>-8</v>
      </c>
      <c r="Q547" s="38">
        <f t="shared" si="8"/>
        <v>1</v>
      </c>
      <c r="R547" s="22">
        <f t="shared" si="9"/>
        <v>64</v>
      </c>
      <c r="S547" s="20"/>
      <c r="T547" s="22">
        <f t="shared" si="10"/>
        <v>-2</v>
      </c>
      <c r="U547" s="38">
        <f t="shared" si="11"/>
        <v>1</v>
      </c>
      <c r="V547" s="22">
        <f t="shared" si="12"/>
        <v>4</v>
      </c>
    </row>
    <row r="548">
      <c r="A548" s="2">
        <v>41332.0</v>
      </c>
      <c r="B548" s="5">
        <v>81.0</v>
      </c>
      <c r="C548" s="22">
        <f t="shared" si="2"/>
        <v>13</v>
      </c>
      <c r="D548" s="22">
        <f t="shared" si="3"/>
        <v>8</v>
      </c>
      <c r="E548" s="22">
        <f t="shared" si="1"/>
        <v>1</v>
      </c>
      <c r="F548" s="20"/>
      <c r="G548" s="20"/>
      <c r="H548" s="20"/>
      <c r="I548" s="20"/>
      <c r="J548" s="20"/>
      <c r="K548" s="20"/>
      <c r="L548" s="22">
        <f t="shared" si="4"/>
        <v>68</v>
      </c>
      <c r="M548" s="38">
        <f t="shared" si="5"/>
        <v>0.8395061728</v>
      </c>
      <c r="N548" s="22">
        <f t="shared" si="6"/>
        <v>4624</v>
      </c>
      <c r="O548" s="20"/>
      <c r="P548" s="22">
        <f t="shared" si="7"/>
        <v>73</v>
      </c>
      <c r="Q548" s="38">
        <f t="shared" si="8"/>
        <v>0.9012345679</v>
      </c>
      <c r="R548" s="22">
        <f t="shared" si="9"/>
        <v>5329</v>
      </c>
      <c r="S548" s="20"/>
      <c r="T548" s="22">
        <f t="shared" si="10"/>
        <v>80</v>
      </c>
      <c r="U548" s="38">
        <f t="shared" si="11"/>
        <v>0.987654321</v>
      </c>
      <c r="V548" s="22">
        <f t="shared" si="12"/>
        <v>6400</v>
      </c>
    </row>
    <row r="549">
      <c r="A549" s="2">
        <v>41333.0</v>
      </c>
      <c r="B549" s="5">
        <v>0.0</v>
      </c>
      <c r="C549" s="22">
        <f t="shared" si="2"/>
        <v>16</v>
      </c>
      <c r="D549" s="22">
        <f t="shared" si="3"/>
        <v>8</v>
      </c>
      <c r="E549" s="22">
        <f t="shared" si="1"/>
        <v>49</v>
      </c>
      <c r="F549" s="20"/>
      <c r="G549" s="20"/>
      <c r="H549" s="20"/>
      <c r="I549" s="20"/>
      <c r="J549" s="20"/>
      <c r="K549" s="20"/>
      <c r="L549" s="22">
        <f t="shared" si="4"/>
        <v>-16</v>
      </c>
      <c r="M549" s="38">
        <f t="shared" si="5"/>
        <v>1</v>
      </c>
      <c r="N549" s="22">
        <f t="shared" si="6"/>
        <v>256</v>
      </c>
      <c r="O549" s="20"/>
      <c r="P549" s="22">
        <f t="shared" si="7"/>
        <v>-8</v>
      </c>
      <c r="Q549" s="38">
        <f t="shared" si="8"/>
        <v>1</v>
      </c>
      <c r="R549" s="22">
        <f t="shared" si="9"/>
        <v>64</v>
      </c>
      <c r="S549" s="20"/>
      <c r="T549" s="22">
        <f t="shared" si="10"/>
        <v>-49</v>
      </c>
      <c r="U549" s="38">
        <f t="shared" si="11"/>
        <v>1</v>
      </c>
      <c r="V549" s="22">
        <f t="shared" si="12"/>
        <v>2401</v>
      </c>
    </row>
    <row r="550">
      <c r="A550" s="2">
        <v>41334.0</v>
      </c>
      <c r="B550" s="5">
        <v>0.0</v>
      </c>
      <c r="C550" s="22">
        <f t="shared" si="2"/>
        <v>16</v>
      </c>
      <c r="D550" s="22">
        <f t="shared" si="3"/>
        <v>8</v>
      </c>
      <c r="E550" s="22">
        <f t="shared" si="1"/>
        <v>20</v>
      </c>
      <c r="F550" s="20"/>
      <c r="G550" s="20"/>
      <c r="H550" s="20"/>
      <c r="I550" s="20"/>
      <c r="J550" s="20"/>
      <c r="K550" s="20"/>
      <c r="L550" s="22">
        <f t="shared" si="4"/>
        <v>-16</v>
      </c>
      <c r="M550" s="38">
        <f t="shared" si="5"/>
        <v>1</v>
      </c>
      <c r="N550" s="22">
        <f t="shared" si="6"/>
        <v>256</v>
      </c>
      <c r="O550" s="20"/>
      <c r="P550" s="22">
        <f t="shared" si="7"/>
        <v>-8</v>
      </c>
      <c r="Q550" s="38">
        <f t="shared" si="8"/>
        <v>1</v>
      </c>
      <c r="R550" s="22">
        <f t="shared" si="9"/>
        <v>64</v>
      </c>
      <c r="S550" s="20"/>
      <c r="T550" s="22">
        <f t="shared" si="10"/>
        <v>-20</v>
      </c>
      <c r="U550" s="38">
        <f t="shared" si="11"/>
        <v>1</v>
      </c>
      <c r="V550" s="22">
        <f t="shared" si="12"/>
        <v>400</v>
      </c>
    </row>
    <row r="551">
      <c r="A551" s="2">
        <v>41337.0</v>
      </c>
      <c r="B551" s="5">
        <v>0.0</v>
      </c>
      <c r="C551" s="22">
        <f t="shared" si="2"/>
        <v>16</v>
      </c>
      <c r="D551" s="22">
        <f t="shared" si="3"/>
        <v>8</v>
      </c>
      <c r="E551" s="22">
        <f t="shared" si="1"/>
        <v>8</v>
      </c>
      <c r="F551" s="20"/>
      <c r="G551" s="20"/>
      <c r="H551" s="20"/>
      <c r="I551" s="20"/>
      <c r="J551" s="20"/>
      <c r="K551" s="20"/>
      <c r="L551" s="22">
        <f t="shared" si="4"/>
        <v>-16</v>
      </c>
      <c r="M551" s="38">
        <f t="shared" si="5"/>
        <v>1</v>
      </c>
      <c r="N551" s="22">
        <f t="shared" si="6"/>
        <v>256</v>
      </c>
      <c r="O551" s="20"/>
      <c r="P551" s="22">
        <f t="shared" si="7"/>
        <v>-8</v>
      </c>
      <c r="Q551" s="38">
        <f t="shared" si="8"/>
        <v>1</v>
      </c>
      <c r="R551" s="22">
        <f t="shared" si="9"/>
        <v>64</v>
      </c>
      <c r="S551" s="20"/>
      <c r="T551" s="22">
        <f t="shared" si="10"/>
        <v>-8</v>
      </c>
      <c r="U551" s="38">
        <f t="shared" si="11"/>
        <v>1</v>
      </c>
      <c r="V551" s="22">
        <f t="shared" si="12"/>
        <v>64</v>
      </c>
    </row>
    <row r="552">
      <c r="A552" s="2">
        <v>41338.0</v>
      </c>
      <c r="B552" s="5">
        <v>0.0</v>
      </c>
      <c r="C552" s="22">
        <f t="shared" si="2"/>
        <v>16</v>
      </c>
      <c r="D552" s="22">
        <f t="shared" si="3"/>
        <v>8</v>
      </c>
      <c r="E552" s="22">
        <f t="shared" si="1"/>
        <v>3</v>
      </c>
      <c r="F552" s="20"/>
      <c r="G552" s="20"/>
      <c r="H552" s="20"/>
      <c r="I552" s="20"/>
      <c r="J552" s="20"/>
      <c r="K552" s="20"/>
      <c r="L552" s="22">
        <f t="shared" si="4"/>
        <v>-16</v>
      </c>
      <c r="M552" s="38">
        <f t="shared" si="5"/>
        <v>1</v>
      </c>
      <c r="N552" s="22">
        <f t="shared" si="6"/>
        <v>256</v>
      </c>
      <c r="O552" s="20"/>
      <c r="P552" s="22">
        <f t="shared" si="7"/>
        <v>-8</v>
      </c>
      <c r="Q552" s="38">
        <f t="shared" si="8"/>
        <v>1</v>
      </c>
      <c r="R552" s="22">
        <f t="shared" si="9"/>
        <v>64</v>
      </c>
      <c r="S552" s="20"/>
      <c r="T552" s="22">
        <f t="shared" si="10"/>
        <v>-3</v>
      </c>
      <c r="U552" s="38">
        <f t="shared" si="11"/>
        <v>1</v>
      </c>
      <c r="V552" s="22">
        <f t="shared" si="12"/>
        <v>9</v>
      </c>
    </row>
    <row r="553">
      <c r="A553" s="2">
        <v>41339.0</v>
      </c>
      <c r="B553" s="5">
        <v>68.0</v>
      </c>
      <c r="C553" s="22">
        <f t="shared" si="2"/>
        <v>16</v>
      </c>
      <c r="D553" s="22">
        <f t="shared" si="3"/>
        <v>8</v>
      </c>
      <c r="E553" s="22">
        <f t="shared" si="1"/>
        <v>1</v>
      </c>
      <c r="F553" s="20"/>
      <c r="G553" s="20"/>
      <c r="H553" s="20"/>
      <c r="I553" s="20"/>
      <c r="J553" s="20"/>
      <c r="K553" s="20"/>
      <c r="L553" s="22">
        <f t="shared" si="4"/>
        <v>52</v>
      </c>
      <c r="M553" s="38">
        <f t="shared" si="5"/>
        <v>0.7647058824</v>
      </c>
      <c r="N553" s="22">
        <f t="shared" si="6"/>
        <v>2704</v>
      </c>
      <c r="O553" s="20"/>
      <c r="P553" s="22">
        <f t="shared" si="7"/>
        <v>60</v>
      </c>
      <c r="Q553" s="38">
        <f t="shared" si="8"/>
        <v>0.8823529412</v>
      </c>
      <c r="R553" s="22">
        <f t="shared" si="9"/>
        <v>3600</v>
      </c>
      <c r="S553" s="20"/>
      <c r="T553" s="22">
        <f t="shared" si="10"/>
        <v>67</v>
      </c>
      <c r="U553" s="38">
        <f t="shared" si="11"/>
        <v>0.9852941176</v>
      </c>
      <c r="V553" s="22">
        <f t="shared" si="12"/>
        <v>4489</v>
      </c>
    </row>
    <row r="554">
      <c r="A554" s="2">
        <v>41340.0</v>
      </c>
      <c r="B554" s="5">
        <v>0.0</v>
      </c>
      <c r="C554" s="22">
        <f t="shared" si="2"/>
        <v>14</v>
      </c>
      <c r="D554" s="22">
        <f t="shared" si="3"/>
        <v>8</v>
      </c>
      <c r="E554" s="22">
        <f t="shared" si="1"/>
        <v>41</v>
      </c>
      <c r="F554" s="20"/>
      <c r="G554" s="20"/>
      <c r="H554" s="20"/>
      <c r="I554" s="20"/>
      <c r="J554" s="20"/>
      <c r="K554" s="20"/>
      <c r="L554" s="22">
        <f t="shared" si="4"/>
        <v>-14</v>
      </c>
      <c r="M554" s="38">
        <f t="shared" si="5"/>
        <v>1</v>
      </c>
      <c r="N554" s="22">
        <f t="shared" si="6"/>
        <v>196</v>
      </c>
      <c r="O554" s="20"/>
      <c r="P554" s="22">
        <f t="shared" si="7"/>
        <v>-8</v>
      </c>
      <c r="Q554" s="38">
        <f t="shared" si="8"/>
        <v>1</v>
      </c>
      <c r="R554" s="22">
        <f t="shared" si="9"/>
        <v>64</v>
      </c>
      <c r="S554" s="20"/>
      <c r="T554" s="22">
        <f t="shared" si="10"/>
        <v>-41</v>
      </c>
      <c r="U554" s="38">
        <f t="shared" si="11"/>
        <v>1</v>
      </c>
      <c r="V554" s="22">
        <f t="shared" si="12"/>
        <v>1681</v>
      </c>
    </row>
    <row r="555">
      <c r="A555" s="2">
        <v>41341.0</v>
      </c>
      <c r="B555" s="5">
        <v>0.0</v>
      </c>
      <c r="C555" s="22">
        <f t="shared" si="2"/>
        <v>14</v>
      </c>
      <c r="D555" s="22">
        <f t="shared" si="3"/>
        <v>8</v>
      </c>
      <c r="E555" s="22">
        <f t="shared" si="1"/>
        <v>16</v>
      </c>
      <c r="F555" s="20"/>
      <c r="G555" s="20"/>
      <c r="H555" s="20"/>
      <c r="I555" s="20"/>
      <c r="J555" s="20"/>
      <c r="K555" s="20"/>
      <c r="L555" s="22">
        <f t="shared" si="4"/>
        <v>-14</v>
      </c>
      <c r="M555" s="38">
        <f t="shared" si="5"/>
        <v>1</v>
      </c>
      <c r="N555" s="22">
        <f t="shared" si="6"/>
        <v>196</v>
      </c>
      <c r="O555" s="20"/>
      <c r="P555" s="22">
        <f t="shared" si="7"/>
        <v>-8</v>
      </c>
      <c r="Q555" s="38">
        <f t="shared" si="8"/>
        <v>1</v>
      </c>
      <c r="R555" s="22">
        <f t="shared" si="9"/>
        <v>64</v>
      </c>
      <c r="S555" s="20"/>
      <c r="T555" s="22">
        <f t="shared" si="10"/>
        <v>-16</v>
      </c>
      <c r="U555" s="38">
        <f t="shared" si="11"/>
        <v>1</v>
      </c>
      <c r="V555" s="22">
        <f t="shared" si="12"/>
        <v>256</v>
      </c>
    </row>
    <row r="556">
      <c r="A556" s="2">
        <v>41344.0</v>
      </c>
      <c r="B556" s="5">
        <v>0.0</v>
      </c>
      <c r="C556" s="22">
        <f t="shared" si="2"/>
        <v>14</v>
      </c>
      <c r="D556" s="22">
        <f t="shared" si="3"/>
        <v>8</v>
      </c>
      <c r="E556" s="22">
        <f t="shared" si="1"/>
        <v>6</v>
      </c>
      <c r="F556" s="20"/>
      <c r="G556" s="20"/>
      <c r="H556" s="20"/>
      <c r="I556" s="20"/>
      <c r="J556" s="20"/>
      <c r="K556" s="20"/>
      <c r="L556" s="22">
        <f t="shared" si="4"/>
        <v>-14</v>
      </c>
      <c r="M556" s="38">
        <f t="shared" si="5"/>
        <v>1</v>
      </c>
      <c r="N556" s="22">
        <f t="shared" si="6"/>
        <v>196</v>
      </c>
      <c r="O556" s="20"/>
      <c r="P556" s="22">
        <f t="shared" si="7"/>
        <v>-8</v>
      </c>
      <c r="Q556" s="38">
        <f t="shared" si="8"/>
        <v>1</v>
      </c>
      <c r="R556" s="22">
        <f t="shared" si="9"/>
        <v>64</v>
      </c>
      <c r="S556" s="20"/>
      <c r="T556" s="22">
        <f t="shared" si="10"/>
        <v>-6</v>
      </c>
      <c r="U556" s="38">
        <f t="shared" si="11"/>
        <v>1</v>
      </c>
      <c r="V556" s="22">
        <f t="shared" si="12"/>
        <v>36</v>
      </c>
    </row>
    <row r="557">
      <c r="A557" s="2">
        <v>41345.0</v>
      </c>
      <c r="B557" s="5">
        <v>0.0</v>
      </c>
      <c r="C557" s="22">
        <f t="shared" si="2"/>
        <v>14</v>
      </c>
      <c r="D557" s="22">
        <f t="shared" si="3"/>
        <v>8</v>
      </c>
      <c r="E557" s="22">
        <f t="shared" si="1"/>
        <v>2</v>
      </c>
      <c r="F557" s="20"/>
      <c r="G557" s="20"/>
      <c r="H557" s="20"/>
      <c r="I557" s="20"/>
      <c r="J557" s="20"/>
      <c r="K557" s="20"/>
      <c r="L557" s="22">
        <f t="shared" si="4"/>
        <v>-14</v>
      </c>
      <c r="M557" s="38">
        <f t="shared" si="5"/>
        <v>1</v>
      </c>
      <c r="N557" s="22">
        <f t="shared" si="6"/>
        <v>196</v>
      </c>
      <c r="O557" s="20"/>
      <c r="P557" s="22">
        <f t="shared" si="7"/>
        <v>-8</v>
      </c>
      <c r="Q557" s="38">
        <f t="shared" si="8"/>
        <v>1</v>
      </c>
      <c r="R557" s="22">
        <f t="shared" si="9"/>
        <v>64</v>
      </c>
      <c r="S557" s="20"/>
      <c r="T557" s="22">
        <f t="shared" si="10"/>
        <v>-2</v>
      </c>
      <c r="U557" s="38">
        <f t="shared" si="11"/>
        <v>1</v>
      </c>
      <c r="V557" s="22">
        <f t="shared" si="12"/>
        <v>4</v>
      </c>
    </row>
    <row r="558">
      <c r="A558" s="2">
        <v>41346.0</v>
      </c>
      <c r="B558" s="5">
        <v>70.0</v>
      </c>
      <c r="C558" s="22">
        <f t="shared" si="2"/>
        <v>14</v>
      </c>
      <c r="D558" s="22">
        <f t="shared" si="3"/>
        <v>8</v>
      </c>
      <c r="E558" s="22">
        <f t="shared" si="1"/>
        <v>1</v>
      </c>
      <c r="F558" s="20"/>
      <c r="G558" s="20"/>
      <c r="H558" s="20"/>
      <c r="I558" s="20"/>
      <c r="J558" s="20"/>
      <c r="K558" s="20"/>
      <c r="L558" s="22">
        <f t="shared" si="4"/>
        <v>56</v>
      </c>
      <c r="M558" s="38">
        <f t="shared" si="5"/>
        <v>0.8</v>
      </c>
      <c r="N558" s="22">
        <f t="shared" si="6"/>
        <v>3136</v>
      </c>
      <c r="O558" s="20"/>
      <c r="P558" s="22">
        <f t="shared" si="7"/>
        <v>62</v>
      </c>
      <c r="Q558" s="38">
        <f t="shared" si="8"/>
        <v>0.8857142857</v>
      </c>
      <c r="R558" s="22">
        <f t="shared" si="9"/>
        <v>3844</v>
      </c>
      <c r="S558" s="20"/>
      <c r="T558" s="22">
        <f t="shared" si="10"/>
        <v>69</v>
      </c>
      <c r="U558" s="38">
        <f t="shared" si="11"/>
        <v>0.9857142857</v>
      </c>
      <c r="V558" s="22">
        <f t="shared" si="12"/>
        <v>4761</v>
      </c>
    </row>
    <row r="559">
      <c r="A559" s="2">
        <v>41347.0</v>
      </c>
      <c r="B559" s="5">
        <v>0.0</v>
      </c>
      <c r="C559" s="22">
        <f t="shared" si="2"/>
        <v>14</v>
      </c>
      <c r="D559" s="22">
        <f t="shared" si="3"/>
        <v>8</v>
      </c>
      <c r="E559" s="22">
        <f t="shared" si="1"/>
        <v>42</v>
      </c>
      <c r="F559" s="20"/>
      <c r="G559" s="20"/>
      <c r="H559" s="20"/>
      <c r="I559" s="20"/>
      <c r="J559" s="20"/>
      <c r="K559" s="20"/>
      <c r="L559" s="22">
        <f t="shared" si="4"/>
        <v>-14</v>
      </c>
      <c r="M559" s="38">
        <f t="shared" si="5"/>
        <v>1</v>
      </c>
      <c r="N559" s="22">
        <f t="shared" si="6"/>
        <v>196</v>
      </c>
      <c r="O559" s="20"/>
      <c r="P559" s="22">
        <f t="shared" si="7"/>
        <v>-8</v>
      </c>
      <c r="Q559" s="38">
        <f t="shared" si="8"/>
        <v>1</v>
      </c>
      <c r="R559" s="22">
        <f t="shared" si="9"/>
        <v>64</v>
      </c>
      <c r="S559" s="20"/>
      <c r="T559" s="22">
        <f t="shared" si="10"/>
        <v>-42</v>
      </c>
      <c r="U559" s="38">
        <f t="shared" si="11"/>
        <v>1</v>
      </c>
      <c r="V559" s="22">
        <f t="shared" si="12"/>
        <v>1764</v>
      </c>
    </row>
    <row r="560">
      <c r="A560" s="2">
        <v>41348.0</v>
      </c>
      <c r="B560" s="5">
        <v>0.0</v>
      </c>
      <c r="C560" s="22">
        <f t="shared" si="2"/>
        <v>14</v>
      </c>
      <c r="D560" s="22">
        <f t="shared" si="3"/>
        <v>8</v>
      </c>
      <c r="E560" s="22">
        <f t="shared" si="1"/>
        <v>17</v>
      </c>
      <c r="F560" s="20"/>
      <c r="G560" s="20"/>
      <c r="H560" s="20"/>
      <c r="I560" s="20"/>
      <c r="J560" s="20"/>
      <c r="K560" s="20"/>
      <c r="L560" s="22">
        <f t="shared" si="4"/>
        <v>-14</v>
      </c>
      <c r="M560" s="38">
        <f t="shared" si="5"/>
        <v>1</v>
      </c>
      <c r="N560" s="22">
        <f t="shared" si="6"/>
        <v>196</v>
      </c>
      <c r="O560" s="20"/>
      <c r="P560" s="22">
        <f t="shared" si="7"/>
        <v>-8</v>
      </c>
      <c r="Q560" s="38">
        <f t="shared" si="8"/>
        <v>1</v>
      </c>
      <c r="R560" s="22">
        <f t="shared" si="9"/>
        <v>64</v>
      </c>
      <c r="S560" s="20"/>
      <c r="T560" s="22">
        <f t="shared" si="10"/>
        <v>-17</v>
      </c>
      <c r="U560" s="38">
        <f t="shared" si="11"/>
        <v>1</v>
      </c>
      <c r="V560" s="22">
        <f t="shared" si="12"/>
        <v>289</v>
      </c>
    </row>
    <row r="561">
      <c r="A561" s="2">
        <v>41351.0</v>
      </c>
      <c r="B561" s="5">
        <v>0.0</v>
      </c>
      <c r="C561" s="22">
        <f t="shared" si="2"/>
        <v>14</v>
      </c>
      <c r="D561" s="22">
        <f t="shared" si="3"/>
        <v>8</v>
      </c>
      <c r="E561" s="22">
        <f t="shared" si="1"/>
        <v>7</v>
      </c>
      <c r="F561" s="20"/>
      <c r="G561" s="20"/>
      <c r="H561" s="20"/>
      <c r="I561" s="20"/>
      <c r="J561" s="20"/>
      <c r="K561" s="20"/>
      <c r="L561" s="22">
        <f t="shared" si="4"/>
        <v>-14</v>
      </c>
      <c r="M561" s="38">
        <f t="shared" si="5"/>
        <v>1</v>
      </c>
      <c r="N561" s="22">
        <f t="shared" si="6"/>
        <v>196</v>
      </c>
      <c r="O561" s="20"/>
      <c r="P561" s="22">
        <f t="shared" si="7"/>
        <v>-8</v>
      </c>
      <c r="Q561" s="38">
        <f t="shared" si="8"/>
        <v>1</v>
      </c>
      <c r="R561" s="22">
        <f t="shared" si="9"/>
        <v>64</v>
      </c>
      <c r="S561" s="20"/>
      <c r="T561" s="22">
        <f t="shared" si="10"/>
        <v>-7</v>
      </c>
      <c r="U561" s="38">
        <f t="shared" si="11"/>
        <v>1</v>
      </c>
      <c r="V561" s="22">
        <f t="shared" si="12"/>
        <v>49</v>
      </c>
    </row>
    <row r="562">
      <c r="A562" s="2">
        <v>41352.0</v>
      </c>
      <c r="B562" s="5">
        <v>0.0</v>
      </c>
      <c r="C562" s="22">
        <f t="shared" si="2"/>
        <v>14</v>
      </c>
      <c r="D562" s="22">
        <f t="shared" si="3"/>
        <v>8</v>
      </c>
      <c r="E562" s="22">
        <f t="shared" si="1"/>
        <v>3</v>
      </c>
      <c r="F562" s="20"/>
      <c r="G562" s="20"/>
      <c r="H562" s="20"/>
      <c r="I562" s="20"/>
      <c r="J562" s="20"/>
      <c r="K562" s="20"/>
      <c r="L562" s="22">
        <f t="shared" si="4"/>
        <v>-14</v>
      </c>
      <c r="M562" s="38">
        <f t="shared" si="5"/>
        <v>1</v>
      </c>
      <c r="N562" s="22">
        <f t="shared" si="6"/>
        <v>196</v>
      </c>
      <c r="O562" s="20"/>
      <c r="P562" s="22">
        <f t="shared" si="7"/>
        <v>-8</v>
      </c>
      <c r="Q562" s="38">
        <f t="shared" si="8"/>
        <v>1</v>
      </c>
      <c r="R562" s="22">
        <f t="shared" si="9"/>
        <v>64</v>
      </c>
      <c r="S562" s="20"/>
      <c r="T562" s="22">
        <f t="shared" si="10"/>
        <v>-3</v>
      </c>
      <c r="U562" s="38">
        <f t="shared" si="11"/>
        <v>1</v>
      </c>
      <c r="V562" s="22">
        <f t="shared" si="12"/>
        <v>9</v>
      </c>
    </row>
    <row r="563">
      <c r="A563" s="2">
        <v>41353.0</v>
      </c>
      <c r="B563" s="5">
        <v>68.0</v>
      </c>
      <c r="C563" s="22">
        <f t="shared" si="2"/>
        <v>14</v>
      </c>
      <c r="D563" s="22">
        <f t="shared" si="3"/>
        <v>8</v>
      </c>
      <c r="E563" s="22">
        <f t="shared" si="1"/>
        <v>1</v>
      </c>
      <c r="F563" s="20"/>
      <c r="G563" s="20"/>
      <c r="H563" s="20"/>
      <c r="I563" s="20"/>
      <c r="J563" s="20"/>
      <c r="K563" s="20"/>
      <c r="L563" s="22">
        <f t="shared" si="4"/>
        <v>54</v>
      </c>
      <c r="M563" s="38">
        <f t="shared" si="5"/>
        <v>0.7941176471</v>
      </c>
      <c r="N563" s="22">
        <f t="shared" si="6"/>
        <v>2916</v>
      </c>
      <c r="O563" s="20"/>
      <c r="P563" s="22">
        <f t="shared" si="7"/>
        <v>60</v>
      </c>
      <c r="Q563" s="38">
        <f t="shared" si="8"/>
        <v>0.8823529412</v>
      </c>
      <c r="R563" s="22">
        <f t="shared" si="9"/>
        <v>3600</v>
      </c>
      <c r="S563" s="20"/>
      <c r="T563" s="22">
        <f t="shared" si="10"/>
        <v>67</v>
      </c>
      <c r="U563" s="38">
        <f t="shared" si="11"/>
        <v>0.9852941176</v>
      </c>
      <c r="V563" s="22">
        <f t="shared" si="12"/>
        <v>4489</v>
      </c>
    </row>
    <row r="564">
      <c r="A564" s="2">
        <v>41354.0</v>
      </c>
      <c r="B564" s="5">
        <v>0.0</v>
      </c>
      <c r="C564" s="22">
        <f t="shared" si="2"/>
        <v>14</v>
      </c>
      <c r="D564" s="22">
        <f t="shared" si="3"/>
        <v>8</v>
      </c>
      <c r="E564" s="22">
        <f t="shared" si="1"/>
        <v>41</v>
      </c>
      <c r="F564" s="20"/>
      <c r="G564" s="20"/>
      <c r="H564" s="20"/>
      <c r="I564" s="20"/>
      <c r="J564" s="20"/>
      <c r="K564" s="20"/>
      <c r="L564" s="22">
        <f t="shared" si="4"/>
        <v>-14</v>
      </c>
      <c r="M564" s="38">
        <f t="shared" si="5"/>
        <v>1</v>
      </c>
      <c r="N564" s="22">
        <f t="shared" si="6"/>
        <v>196</v>
      </c>
      <c r="O564" s="20"/>
      <c r="P564" s="22">
        <f t="shared" si="7"/>
        <v>-8</v>
      </c>
      <c r="Q564" s="38">
        <f t="shared" si="8"/>
        <v>1</v>
      </c>
      <c r="R564" s="22">
        <f t="shared" si="9"/>
        <v>64</v>
      </c>
      <c r="S564" s="20"/>
      <c r="T564" s="22">
        <f t="shared" si="10"/>
        <v>-41</v>
      </c>
      <c r="U564" s="38">
        <f t="shared" si="11"/>
        <v>1</v>
      </c>
      <c r="V564" s="22">
        <f t="shared" si="12"/>
        <v>1681</v>
      </c>
    </row>
    <row r="565">
      <c r="A565" s="2">
        <v>41355.0</v>
      </c>
      <c r="B565" s="5">
        <v>0.0</v>
      </c>
      <c r="C565" s="22">
        <f t="shared" si="2"/>
        <v>14</v>
      </c>
      <c r="D565" s="22">
        <f t="shared" si="3"/>
        <v>8</v>
      </c>
      <c r="E565" s="22">
        <f t="shared" si="1"/>
        <v>16</v>
      </c>
      <c r="F565" s="20"/>
      <c r="G565" s="20"/>
      <c r="H565" s="20"/>
      <c r="I565" s="20"/>
      <c r="J565" s="20"/>
      <c r="K565" s="20"/>
      <c r="L565" s="22">
        <f t="shared" si="4"/>
        <v>-14</v>
      </c>
      <c r="M565" s="38">
        <f t="shared" si="5"/>
        <v>1</v>
      </c>
      <c r="N565" s="22">
        <f t="shared" si="6"/>
        <v>196</v>
      </c>
      <c r="O565" s="20"/>
      <c r="P565" s="22">
        <f t="shared" si="7"/>
        <v>-8</v>
      </c>
      <c r="Q565" s="38">
        <f t="shared" si="8"/>
        <v>1</v>
      </c>
      <c r="R565" s="22">
        <f t="shared" si="9"/>
        <v>64</v>
      </c>
      <c r="S565" s="20"/>
      <c r="T565" s="22">
        <f t="shared" si="10"/>
        <v>-16</v>
      </c>
      <c r="U565" s="38">
        <f t="shared" si="11"/>
        <v>1</v>
      </c>
      <c r="V565" s="22">
        <f t="shared" si="12"/>
        <v>256</v>
      </c>
    </row>
    <row r="566">
      <c r="A566" s="2">
        <v>41358.0</v>
      </c>
      <c r="B566" s="5">
        <v>0.0</v>
      </c>
      <c r="C566" s="22">
        <f t="shared" si="2"/>
        <v>14</v>
      </c>
      <c r="D566" s="22">
        <f t="shared" si="3"/>
        <v>8</v>
      </c>
      <c r="E566" s="22">
        <f t="shared" si="1"/>
        <v>6</v>
      </c>
      <c r="F566" s="20"/>
      <c r="G566" s="20"/>
      <c r="H566" s="20"/>
      <c r="I566" s="20"/>
      <c r="J566" s="20"/>
      <c r="K566" s="20"/>
      <c r="L566" s="22">
        <f t="shared" si="4"/>
        <v>-14</v>
      </c>
      <c r="M566" s="38">
        <f t="shared" si="5"/>
        <v>1</v>
      </c>
      <c r="N566" s="22">
        <f t="shared" si="6"/>
        <v>196</v>
      </c>
      <c r="O566" s="20"/>
      <c r="P566" s="22">
        <f t="shared" si="7"/>
        <v>-8</v>
      </c>
      <c r="Q566" s="38">
        <f t="shared" si="8"/>
        <v>1</v>
      </c>
      <c r="R566" s="22">
        <f t="shared" si="9"/>
        <v>64</v>
      </c>
      <c r="S566" s="20"/>
      <c r="T566" s="22">
        <f t="shared" si="10"/>
        <v>-6</v>
      </c>
      <c r="U566" s="38">
        <f t="shared" si="11"/>
        <v>1</v>
      </c>
      <c r="V566" s="22">
        <f t="shared" si="12"/>
        <v>36</v>
      </c>
    </row>
    <row r="567">
      <c r="A567" s="2">
        <v>41359.0</v>
      </c>
      <c r="B567" s="5">
        <v>0.0</v>
      </c>
      <c r="C567" s="22">
        <f t="shared" si="2"/>
        <v>14</v>
      </c>
      <c r="D567" s="22">
        <f t="shared" si="3"/>
        <v>8</v>
      </c>
      <c r="E567" s="22">
        <f t="shared" si="1"/>
        <v>2</v>
      </c>
      <c r="F567" s="20"/>
      <c r="G567" s="20"/>
      <c r="H567" s="20"/>
      <c r="I567" s="20"/>
      <c r="J567" s="20"/>
      <c r="K567" s="20"/>
      <c r="L567" s="22">
        <f t="shared" si="4"/>
        <v>-14</v>
      </c>
      <c r="M567" s="38">
        <f t="shared" si="5"/>
        <v>1</v>
      </c>
      <c r="N567" s="22">
        <f t="shared" si="6"/>
        <v>196</v>
      </c>
      <c r="O567" s="20"/>
      <c r="P567" s="22">
        <f t="shared" si="7"/>
        <v>-8</v>
      </c>
      <c r="Q567" s="38">
        <f t="shared" si="8"/>
        <v>1</v>
      </c>
      <c r="R567" s="22">
        <f t="shared" si="9"/>
        <v>64</v>
      </c>
      <c r="S567" s="20"/>
      <c r="T567" s="22">
        <f t="shared" si="10"/>
        <v>-2</v>
      </c>
      <c r="U567" s="38">
        <f t="shared" si="11"/>
        <v>1</v>
      </c>
      <c r="V567" s="22">
        <f t="shared" si="12"/>
        <v>4</v>
      </c>
    </row>
    <row r="568">
      <c r="A568" s="2">
        <v>41360.0</v>
      </c>
      <c r="B568" s="5">
        <v>89.0</v>
      </c>
      <c r="C568" s="22">
        <f t="shared" si="2"/>
        <v>14</v>
      </c>
      <c r="D568" s="22">
        <f t="shared" si="3"/>
        <v>8</v>
      </c>
      <c r="E568" s="22">
        <f t="shared" si="1"/>
        <v>1</v>
      </c>
      <c r="F568" s="20"/>
      <c r="G568" s="20"/>
      <c r="H568" s="20"/>
      <c r="I568" s="20"/>
      <c r="J568" s="20"/>
      <c r="K568" s="20"/>
      <c r="L568" s="22">
        <f t="shared" si="4"/>
        <v>75</v>
      </c>
      <c r="M568" s="38">
        <f t="shared" si="5"/>
        <v>0.8426966292</v>
      </c>
      <c r="N568" s="22">
        <f t="shared" si="6"/>
        <v>5625</v>
      </c>
      <c r="O568" s="20"/>
      <c r="P568" s="22">
        <f t="shared" si="7"/>
        <v>81</v>
      </c>
      <c r="Q568" s="38">
        <f t="shared" si="8"/>
        <v>0.9101123596</v>
      </c>
      <c r="R568" s="22">
        <f t="shared" si="9"/>
        <v>6561</v>
      </c>
      <c r="S568" s="20"/>
      <c r="T568" s="22">
        <f t="shared" si="10"/>
        <v>88</v>
      </c>
      <c r="U568" s="38">
        <f t="shared" si="11"/>
        <v>0.9887640449</v>
      </c>
      <c r="V568" s="22">
        <f t="shared" si="12"/>
        <v>7744</v>
      </c>
    </row>
    <row r="569">
      <c r="A569" s="2">
        <v>41361.0</v>
      </c>
      <c r="B569" s="5">
        <v>0.0</v>
      </c>
      <c r="C569" s="22">
        <f t="shared" si="2"/>
        <v>18</v>
      </c>
      <c r="D569" s="22">
        <f t="shared" si="3"/>
        <v>8</v>
      </c>
      <c r="E569" s="22">
        <f t="shared" si="1"/>
        <v>54</v>
      </c>
      <c r="F569" s="20"/>
      <c r="G569" s="20"/>
      <c r="H569" s="20"/>
      <c r="I569" s="20"/>
      <c r="J569" s="20"/>
      <c r="K569" s="20"/>
      <c r="L569" s="22">
        <f t="shared" si="4"/>
        <v>-18</v>
      </c>
      <c r="M569" s="38">
        <f t="shared" si="5"/>
        <v>1</v>
      </c>
      <c r="N569" s="22">
        <f t="shared" si="6"/>
        <v>324</v>
      </c>
      <c r="O569" s="20"/>
      <c r="P569" s="22">
        <f t="shared" si="7"/>
        <v>-8</v>
      </c>
      <c r="Q569" s="38">
        <f t="shared" si="8"/>
        <v>1</v>
      </c>
      <c r="R569" s="22">
        <f t="shared" si="9"/>
        <v>64</v>
      </c>
      <c r="S569" s="20"/>
      <c r="T569" s="22">
        <f t="shared" si="10"/>
        <v>-54</v>
      </c>
      <c r="U569" s="38">
        <f t="shared" si="11"/>
        <v>1</v>
      </c>
      <c r="V569" s="22">
        <f t="shared" si="12"/>
        <v>2916</v>
      </c>
    </row>
    <row r="570">
      <c r="A570" s="2">
        <v>41362.0</v>
      </c>
      <c r="B570" s="5">
        <v>0.0</v>
      </c>
      <c r="C570" s="22">
        <f t="shared" si="2"/>
        <v>18</v>
      </c>
      <c r="D570" s="22">
        <f t="shared" si="3"/>
        <v>8</v>
      </c>
      <c r="E570" s="22">
        <f t="shared" si="1"/>
        <v>22</v>
      </c>
      <c r="F570" s="20"/>
      <c r="G570" s="20"/>
      <c r="H570" s="20"/>
      <c r="I570" s="20"/>
      <c r="J570" s="20"/>
      <c r="K570" s="20"/>
      <c r="L570" s="22">
        <f t="shared" si="4"/>
        <v>-18</v>
      </c>
      <c r="M570" s="38">
        <f t="shared" si="5"/>
        <v>1</v>
      </c>
      <c r="N570" s="22">
        <f t="shared" si="6"/>
        <v>324</v>
      </c>
      <c r="O570" s="20"/>
      <c r="P570" s="22">
        <f t="shared" si="7"/>
        <v>-8</v>
      </c>
      <c r="Q570" s="38">
        <f t="shared" si="8"/>
        <v>1</v>
      </c>
      <c r="R570" s="22">
        <f t="shared" si="9"/>
        <v>64</v>
      </c>
      <c r="S570" s="20"/>
      <c r="T570" s="22">
        <f t="shared" si="10"/>
        <v>-22</v>
      </c>
      <c r="U570" s="38">
        <f t="shared" si="11"/>
        <v>1</v>
      </c>
      <c r="V570" s="22">
        <f t="shared" si="12"/>
        <v>484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18.63"/>
    <col customWidth="1" min="5" max="5" width="19.38"/>
    <col customWidth="1" min="8" max="8" width="15.0"/>
    <col customWidth="1" min="9" max="9" width="19.63"/>
    <col customWidth="1" min="10" max="10" width="23.13"/>
    <col customWidth="1" min="11" max="11" width="14.63"/>
    <col customWidth="1" min="15" max="15" width="18.75"/>
    <col customWidth="1" min="19" max="19" width="19.38"/>
  </cols>
  <sheetData>
    <row r="1">
      <c r="B1" s="5" t="s">
        <v>3</v>
      </c>
      <c r="C1" s="20" t="s">
        <v>7</v>
      </c>
      <c r="D1" s="21" t="s">
        <v>8</v>
      </c>
      <c r="E1" s="20" t="s">
        <v>9</v>
      </c>
      <c r="F1" s="20"/>
      <c r="G1" s="20"/>
      <c r="H1" s="20"/>
      <c r="I1" s="20"/>
      <c r="J1" s="20"/>
      <c r="K1" s="20" t="s">
        <v>7</v>
      </c>
      <c r="L1" s="20" t="s">
        <v>10</v>
      </c>
      <c r="M1" s="20" t="s">
        <v>11</v>
      </c>
      <c r="N1" s="20" t="s">
        <v>12</v>
      </c>
      <c r="O1" s="21" t="s">
        <v>8</v>
      </c>
      <c r="P1" s="20" t="s">
        <v>10</v>
      </c>
      <c r="Q1" s="20" t="s">
        <v>11</v>
      </c>
      <c r="R1" s="20" t="s">
        <v>12</v>
      </c>
      <c r="S1" s="20" t="s">
        <v>9</v>
      </c>
      <c r="T1" s="20" t="s">
        <v>10</v>
      </c>
      <c r="U1" s="20" t="s">
        <v>11</v>
      </c>
      <c r="V1" s="20" t="s">
        <v>12</v>
      </c>
    </row>
    <row r="2">
      <c r="A2" s="1" t="s">
        <v>4</v>
      </c>
      <c r="B2" s="5" t="s">
        <v>5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>
      <c r="A3" s="2">
        <v>40546.0</v>
      </c>
      <c r="B3" s="5">
        <v>516.0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>
      <c r="A4" s="2">
        <v>40547.0</v>
      </c>
      <c r="B4" s="5">
        <v>324.0</v>
      </c>
      <c r="C4" s="20"/>
      <c r="D4" s="20"/>
      <c r="E4" s="22">
        <f>B3</f>
        <v>516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>
      <c r="A5" s="2">
        <v>40548.0</v>
      </c>
      <c r="B5" s="5">
        <v>3618.0</v>
      </c>
      <c r="C5" s="20"/>
      <c r="D5" s="20"/>
      <c r="E5" s="22">
        <f t="shared" ref="E5:E570" si="1">ROUND(J$7*B4+(1-J$7)*E4,0)</f>
        <v>401</v>
      </c>
      <c r="F5" s="20"/>
      <c r="G5" s="23"/>
      <c r="H5" s="23"/>
      <c r="I5" s="23"/>
      <c r="J5" s="23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>
      <c r="A6" s="2">
        <v>40549.0</v>
      </c>
      <c r="B6" s="5">
        <v>414.0</v>
      </c>
      <c r="C6" s="20"/>
      <c r="D6" s="20"/>
      <c r="E6" s="22">
        <f t="shared" si="1"/>
        <v>2331</v>
      </c>
      <c r="F6" s="24"/>
      <c r="G6" s="20"/>
      <c r="H6" s="25" t="s">
        <v>7</v>
      </c>
      <c r="I6" s="26" t="s">
        <v>8</v>
      </c>
      <c r="J6" s="27" t="s">
        <v>9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>
      <c r="A7" s="2">
        <v>40550.0</v>
      </c>
      <c r="B7" s="5">
        <v>72.0</v>
      </c>
      <c r="C7" s="20"/>
      <c r="D7" s="20"/>
      <c r="E7" s="22">
        <f t="shared" si="1"/>
        <v>1181</v>
      </c>
      <c r="F7" s="28"/>
      <c r="G7" s="25" t="s">
        <v>14</v>
      </c>
      <c r="H7" s="29"/>
      <c r="I7" s="29"/>
      <c r="J7" s="30">
        <v>0.6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>
      <c r="A8" s="2">
        <v>40553.0</v>
      </c>
      <c r="B8" s="5">
        <v>546.0</v>
      </c>
      <c r="C8" s="22">
        <f t="shared" ref="C8:C570" si="2">ROUND(AVERAGE(B3:B7),0)</f>
        <v>989</v>
      </c>
      <c r="D8" s="22">
        <f t="shared" ref="D8:D570" si="3">ROUND(AVERAGE(B$3:B7),0)</f>
        <v>989</v>
      </c>
      <c r="E8" s="22">
        <f t="shared" si="1"/>
        <v>516</v>
      </c>
      <c r="F8" s="24"/>
      <c r="G8" s="25" t="s">
        <v>15</v>
      </c>
      <c r="H8" s="31">
        <f>AVERAGE(L24:L570)</f>
        <v>0.7659963437</v>
      </c>
      <c r="I8" s="31">
        <f>AVERAGE(P24:P570)</f>
        <v>187.6892139</v>
      </c>
      <c r="J8" s="32">
        <f>AVERAGE(T24:T570)</f>
        <v>0.1700182815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>
      <c r="A9" s="2">
        <v>40554.0</v>
      </c>
      <c r="B9" s="5">
        <v>186.0</v>
      </c>
      <c r="C9" s="22">
        <f t="shared" si="2"/>
        <v>995</v>
      </c>
      <c r="D9" s="22">
        <f t="shared" si="3"/>
        <v>915</v>
      </c>
      <c r="E9" s="22">
        <f t="shared" si="1"/>
        <v>534</v>
      </c>
      <c r="F9" s="24"/>
      <c r="G9" s="25" t="s">
        <v>16</v>
      </c>
      <c r="H9" s="33">
        <f>AVERAGE(M24:M570)</f>
        <v>6.919509395</v>
      </c>
      <c r="I9" s="33">
        <f>AVERAGE(Q24:Q570)</f>
        <v>9.382164629</v>
      </c>
      <c r="J9" s="34">
        <f>AVERAGE(U24:U570)</f>
        <v>6.713243769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>
      <c r="A10" s="2">
        <v>40555.0</v>
      </c>
      <c r="B10" s="5">
        <v>3954.0</v>
      </c>
      <c r="C10" s="22">
        <f t="shared" si="2"/>
        <v>967</v>
      </c>
      <c r="D10" s="22">
        <f t="shared" si="3"/>
        <v>811</v>
      </c>
      <c r="E10" s="22">
        <f t="shared" si="1"/>
        <v>325</v>
      </c>
      <c r="F10" s="24"/>
      <c r="G10" s="35" t="s">
        <v>17</v>
      </c>
      <c r="H10" s="36">
        <f>AVERAGE(N24:N570)</f>
        <v>5053227.146</v>
      </c>
      <c r="I10" s="36">
        <f>AVERAGE(R24:R570)</f>
        <v>4794900.859</v>
      </c>
      <c r="J10" s="37">
        <f>AVERAGE(V24:V570)</f>
        <v>7186089.896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>
      <c r="A11" s="2">
        <v>40556.0</v>
      </c>
      <c r="B11" s="5">
        <v>396.0</v>
      </c>
      <c r="C11" s="22">
        <f t="shared" si="2"/>
        <v>1034</v>
      </c>
      <c r="D11" s="22">
        <f t="shared" si="3"/>
        <v>1204</v>
      </c>
      <c r="E11" s="22">
        <f t="shared" si="1"/>
        <v>2502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>
      <c r="A12" s="2">
        <v>40557.0</v>
      </c>
      <c r="B12" s="5">
        <v>78.0</v>
      </c>
      <c r="C12" s="22">
        <f t="shared" si="2"/>
        <v>1031</v>
      </c>
      <c r="D12" s="22">
        <f t="shared" si="3"/>
        <v>1114</v>
      </c>
      <c r="E12" s="22">
        <f t="shared" si="1"/>
        <v>1238</v>
      </c>
      <c r="F12" s="20"/>
      <c r="G12" s="21" t="s">
        <v>18</v>
      </c>
      <c r="H12" s="20">
        <f>MIN(B3:B570)</f>
        <v>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>
      <c r="A13" s="2">
        <v>40560.0</v>
      </c>
      <c r="B13" s="5">
        <v>468.0</v>
      </c>
      <c r="C13" s="22">
        <f t="shared" si="2"/>
        <v>1032</v>
      </c>
      <c r="D13" s="22">
        <f t="shared" si="3"/>
        <v>1010</v>
      </c>
      <c r="E13" s="22">
        <f t="shared" si="1"/>
        <v>542</v>
      </c>
      <c r="F13" s="20"/>
      <c r="G13" s="21" t="s">
        <v>19</v>
      </c>
      <c r="H13" s="20">
        <f>MAX(B3:B570)</f>
        <v>13200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>
      <c r="A14" s="2">
        <v>40561.0</v>
      </c>
      <c r="B14" s="5">
        <v>1218.0</v>
      </c>
      <c r="C14" s="22">
        <f t="shared" si="2"/>
        <v>1016</v>
      </c>
      <c r="D14" s="22">
        <f t="shared" si="3"/>
        <v>961</v>
      </c>
      <c r="E14" s="22">
        <f t="shared" si="1"/>
        <v>498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>
      <c r="A15" s="2">
        <v>40562.0</v>
      </c>
      <c r="B15" s="5">
        <v>2844.0</v>
      </c>
      <c r="C15" s="22">
        <f t="shared" si="2"/>
        <v>1223</v>
      </c>
      <c r="D15" s="22">
        <f t="shared" si="3"/>
        <v>983</v>
      </c>
      <c r="E15" s="22">
        <f t="shared" si="1"/>
        <v>930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>
      <c r="A16" s="2">
        <v>40563.0</v>
      </c>
      <c r="B16" s="5">
        <v>618.0</v>
      </c>
      <c r="C16" s="22">
        <f t="shared" si="2"/>
        <v>1001</v>
      </c>
      <c r="D16" s="22">
        <f t="shared" si="3"/>
        <v>1126</v>
      </c>
      <c r="E16" s="22">
        <f t="shared" si="1"/>
        <v>2078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>
      <c r="A17" s="2">
        <v>40564.0</v>
      </c>
      <c r="B17" s="5">
        <v>54.0</v>
      </c>
      <c r="C17" s="22">
        <f t="shared" si="2"/>
        <v>1045</v>
      </c>
      <c r="D17" s="22">
        <f t="shared" si="3"/>
        <v>1089</v>
      </c>
      <c r="E17" s="22">
        <f t="shared" si="1"/>
        <v>1202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>
      <c r="A18" s="2">
        <v>40567.0</v>
      </c>
      <c r="B18" s="5">
        <v>246.0</v>
      </c>
      <c r="C18" s="22">
        <f t="shared" si="2"/>
        <v>1040</v>
      </c>
      <c r="D18" s="22">
        <f t="shared" si="3"/>
        <v>1020</v>
      </c>
      <c r="E18" s="22">
        <f t="shared" si="1"/>
        <v>513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>
      <c r="A19" s="2">
        <v>40568.0</v>
      </c>
      <c r="B19" s="5">
        <v>1842.0</v>
      </c>
      <c r="C19" s="22">
        <f t="shared" si="2"/>
        <v>996</v>
      </c>
      <c r="D19" s="22">
        <f t="shared" si="3"/>
        <v>972</v>
      </c>
      <c r="E19" s="22">
        <f t="shared" si="1"/>
        <v>353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>
      <c r="A20" s="2">
        <v>40569.0</v>
      </c>
      <c r="B20" s="5">
        <v>2712.0</v>
      </c>
      <c r="C20" s="22">
        <f t="shared" si="2"/>
        <v>1121</v>
      </c>
      <c r="D20" s="22">
        <f t="shared" si="3"/>
        <v>1023</v>
      </c>
      <c r="E20" s="22">
        <f t="shared" si="1"/>
        <v>1246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>
      <c r="A21" s="2">
        <v>40570.0</v>
      </c>
      <c r="B21" s="5">
        <v>408.0</v>
      </c>
      <c r="C21" s="22">
        <f t="shared" si="2"/>
        <v>1094</v>
      </c>
      <c r="D21" s="22">
        <f t="shared" si="3"/>
        <v>1117</v>
      </c>
      <c r="E21" s="22">
        <f t="shared" si="1"/>
        <v>2126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>
      <c r="A22" s="2">
        <v>40571.0</v>
      </c>
      <c r="B22" s="5">
        <v>48.0</v>
      </c>
      <c r="C22" s="22">
        <f t="shared" si="2"/>
        <v>1052</v>
      </c>
      <c r="D22" s="22">
        <f t="shared" si="3"/>
        <v>1080</v>
      </c>
      <c r="E22" s="22">
        <f t="shared" si="1"/>
        <v>1095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>
      <c r="A23" s="2">
        <v>40574.0</v>
      </c>
      <c r="B23" s="5">
        <v>396.0</v>
      </c>
      <c r="C23" s="22">
        <f t="shared" si="2"/>
        <v>1051</v>
      </c>
      <c r="D23" s="22">
        <f t="shared" si="3"/>
        <v>1028</v>
      </c>
      <c r="E23" s="22">
        <f t="shared" si="1"/>
        <v>467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>
      <c r="A24" s="2">
        <v>40575.0</v>
      </c>
      <c r="B24" s="5">
        <v>168.0</v>
      </c>
      <c r="C24" s="22">
        <f t="shared" si="2"/>
        <v>1081</v>
      </c>
      <c r="D24" s="22">
        <f t="shared" si="3"/>
        <v>998</v>
      </c>
      <c r="E24" s="22">
        <f t="shared" si="1"/>
        <v>424</v>
      </c>
      <c r="F24" s="20"/>
      <c r="G24" s="20"/>
      <c r="H24" s="20"/>
      <c r="I24" s="20"/>
      <c r="J24" s="20"/>
      <c r="K24" s="20"/>
      <c r="L24" s="22">
        <f t="shared" ref="L24:L570" si="4">B24-C24</f>
        <v>-913</v>
      </c>
      <c r="M24" s="38">
        <f t="shared" ref="M24:M570" si="5">IF(B24=0, IF(C24=0, 0, 1), ABS(B24-C24)/B24)</f>
        <v>5.43452381</v>
      </c>
      <c r="N24" s="22">
        <f t="shared" ref="N24:N570" si="6">(B24-C24)^2</f>
        <v>833569</v>
      </c>
      <c r="O24" s="20"/>
      <c r="P24" s="22">
        <f t="shared" ref="P24:P570" si="7">B24-D24</f>
        <v>-830</v>
      </c>
      <c r="Q24" s="38">
        <f t="shared" ref="Q24:Q570" si="8">IF(B24=0, IF(D24=0, 0, 1), ABS(B24-D24)/B24)</f>
        <v>4.94047619</v>
      </c>
      <c r="R24" s="22">
        <f t="shared" ref="R24:R570" si="9">(B24-D24)^2</f>
        <v>688900</v>
      </c>
      <c r="S24" s="20"/>
      <c r="T24" s="22">
        <f t="shared" ref="T24:T570" si="10">B24-E24</f>
        <v>-256</v>
      </c>
      <c r="U24" s="38">
        <f t="shared" ref="U24:U570" si="11">IF(B24=0, IF(E24=0, 0, 1), ABS(B24-E24)/B24)</f>
        <v>1.523809524</v>
      </c>
      <c r="V24" s="22">
        <f t="shared" ref="V24:V570" si="12">(B24-E24)^2</f>
        <v>65536</v>
      </c>
    </row>
    <row r="25">
      <c r="A25" s="2">
        <v>40576.0</v>
      </c>
      <c r="B25" s="5">
        <v>4200.0</v>
      </c>
      <c r="C25" s="22">
        <f t="shared" si="2"/>
        <v>746</v>
      </c>
      <c r="D25" s="22">
        <f t="shared" si="3"/>
        <v>960</v>
      </c>
      <c r="E25" s="22">
        <f t="shared" si="1"/>
        <v>270</v>
      </c>
      <c r="F25" s="20"/>
      <c r="G25" s="20"/>
      <c r="H25" s="20"/>
      <c r="I25" s="20"/>
      <c r="J25" s="20"/>
      <c r="K25" s="20"/>
      <c r="L25" s="22">
        <f t="shared" si="4"/>
        <v>3454</v>
      </c>
      <c r="M25" s="38">
        <f t="shared" si="5"/>
        <v>0.8223809524</v>
      </c>
      <c r="N25" s="22">
        <f t="shared" si="6"/>
        <v>11930116</v>
      </c>
      <c r="O25" s="20"/>
      <c r="P25" s="22">
        <f t="shared" si="7"/>
        <v>3240</v>
      </c>
      <c r="Q25" s="38">
        <f t="shared" si="8"/>
        <v>0.7714285714</v>
      </c>
      <c r="R25" s="22">
        <f t="shared" si="9"/>
        <v>10497600</v>
      </c>
      <c r="S25" s="20"/>
      <c r="T25" s="22">
        <f t="shared" si="10"/>
        <v>3930</v>
      </c>
      <c r="U25" s="38">
        <f t="shared" si="11"/>
        <v>0.9357142857</v>
      </c>
      <c r="V25" s="22">
        <f t="shared" si="12"/>
        <v>15444900</v>
      </c>
    </row>
    <row r="26">
      <c r="A26" s="2">
        <v>40577.0</v>
      </c>
      <c r="B26" s="5">
        <v>444.0</v>
      </c>
      <c r="C26" s="22">
        <f t="shared" si="2"/>
        <v>1044</v>
      </c>
      <c r="D26" s="22">
        <f t="shared" si="3"/>
        <v>1101</v>
      </c>
      <c r="E26" s="22">
        <f t="shared" si="1"/>
        <v>2628</v>
      </c>
      <c r="F26" s="20"/>
      <c r="G26" s="20"/>
      <c r="H26" s="20"/>
      <c r="I26" s="20"/>
      <c r="J26" s="20"/>
      <c r="K26" s="20"/>
      <c r="L26" s="22">
        <f t="shared" si="4"/>
        <v>-600</v>
      </c>
      <c r="M26" s="38">
        <f t="shared" si="5"/>
        <v>1.351351351</v>
      </c>
      <c r="N26" s="22">
        <f t="shared" si="6"/>
        <v>360000</v>
      </c>
      <c r="O26" s="20"/>
      <c r="P26" s="22">
        <f t="shared" si="7"/>
        <v>-657</v>
      </c>
      <c r="Q26" s="38">
        <f t="shared" si="8"/>
        <v>1.47972973</v>
      </c>
      <c r="R26" s="22">
        <f t="shared" si="9"/>
        <v>431649</v>
      </c>
      <c r="S26" s="20"/>
      <c r="T26" s="22">
        <f t="shared" si="10"/>
        <v>-2184</v>
      </c>
      <c r="U26" s="38">
        <f t="shared" si="11"/>
        <v>4.918918919</v>
      </c>
      <c r="V26" s="22">
        <f t="shared" si="12"/>
        <v>4769856</v>
      </c>
    </row>
    <row r="27">
      <c r="A27" s="2">
        <v>40578.0</v>
      </c>
      <c r="B27" s="5">
        <v>108.0</v>
      </c>
      <c r="C27" s="22">
        <f t="shared" si="2"/>
        <v>1051</v>
      </c>
      <c r="D27" s="22">
        <f t="shared" si="3"/>
        <v>1074</v>
      </c>
      <c r="E27" s="22">
        <f t="shared" si="1"/>
        <v>1318</v>
      </c>
      <c r="F27" s="20"/>
      <c r="G27" s="20"/>
      <c r="H27" s="20"/>
      <c r="I27" s="20"/>
      <c r="J27" s="20"/>
      <c r="K27" s="20"/>
      <c r="L27" s="22">
        <f t="shared" si="4"/>
        <v>-943</v>
      </c>
      <c r="M27" s="38">
        <f t="shared" si="5"/>
        <v>8.731481481</v>
      </c>
      <c r="N27" s="22">
        <f t="shared" si="6"/>
        <v>889249</v>
      </c>
      <c r="O27" s="20"/>
      <c r="P27" s="22">
        <f t="shared" si="7"/>
        <v>-966</v>
      </c>
      <c r="Q27" s="38">
        <f t="shared" si="8"/>
        <v>8.944444444</v>
      </c>
      <c r="R27" s="22">
        <f t="shared" si="9"/>
        <v>933156</v>
      </c>
      <c r="S27" s="20"/>
      <c r="T27" s="22">
        <f t="shared" si="10"/>
        <v>-1210</v>
      </c>
      <c r="U27" s="38">
        <f t="shared" si="11"/>
        <v>11.2037037</v>
      </c>
      <c r="V27" s="22">
        <f t="shared" si="12"/>
        <v>1464100</v>
      </c>
    </row>
    <row r="28">
      <c r="A28" s="2">
        <v>40581.0</v>
      </c>
      <c r="B28" s="5">
        <v>342.0</v>
      </c>
      <c r="C28" s="22">
        <f t="shared" si="2"/>
        <v>1063</v>
      </c>
      <c r="D28" s="22">
        <f t="shared" si="3"/>
        <v>1035</v>
      </c>
      <c r="E28" s="22">
        <f t="shared" si="1"/>
        <v>592</v>
      </c>
      <c r="F28" s="20"/>
      <c r="G28" s="20"/>
      <c r="H28" s="20"/>
      <c r="I28" s="20"/>
      <c r="J28" s="20"/>
      <c r="K28" s="20"/>
      <c r="L28" s="22">
        <f t="shared" si="4"/>
        <v>-721</v>
      </c>
      <c r="M28" s="38">
        <f t="shared" si="5"/>
        <v>2.108187135</v>
      </c>
      <c r="N28" s="22">
        <f t="shared" si="6"/>
        <v>519841</v>
      </c>
      <c r="O28" s="20"/>
      <c r="P28" s="22">
        <f t="shared" si="7"/>
        <v>-693</v>
      </c>
      <c r="Q28" s="38">
        <f t="shared" si="8"/>
        <v>2.026315789</v>
      </c>
      <c r="R28" s="22">
        <f t="shared" si="9"/>
        <v>480249</v>
      </c>
      <c r="S28" s="20"/>
      <c r="T28" s="22">
        <f t="shared" si="10"/>
        <v>-250</v>
      </c>
      <c r="U28" s="38">
        <f t="shared" si="11"/>
        <v>0.730994152</v>
      </c>
      <c r="V28" s="22">
        <f t="shared" si="12"/>
        <v>62500</v>
      </c>
    </row>
    <row r="29">
      <c r="A29" s="2">
        <v>40582.0</v>
      </c>
      <c r="B29" s="5">
        <v>1290.0</v>
      </c>
      <c r="C29" s="22">
        <f t="shared" si="2"/>
        <v>1052</v>
      </c>
      <c r="D29" s="22">
        <f t="shared" si="3"/>
        <v>1008</v>
      </c>
      <c r="E29" s="22">
        <f t="shared" si="1"/>
        <v>442</v>
      </c>
      <c r="F29" s="20"/>
      <c r="G29" s="20"/>
      <c r="H29" s="20"/>
      <c r="I29" s="20"/>
      <c r="J29" s="20"/>
      <c r="K29" s="20"/>
      <c r="L29" s="22">
        <f t="shared" si="4"/>
        <v>238</v>
      </c>
      <c r="M29" s="38">
        <f t="shared" si="5"/>
        <v>0.184496124</v>
      </c>
      <c r="N29" s="22">
        <f t="shared" si="6"/>
        <v>56644</v>
      </c>
      <c r="O29" s="20"/>
      <c r="P29" s="22">
        <f t="shared" si="7"/>
        <v>282</v>
      </c>
      <c r="Q29" s="38">
        <f t="shared" si="8"/>
        <v>0.2186046512</v>
      </c>
      <c r="R29" s="22">
        <f t="shared" si="9"/>
        <v>79524</v>
      </c>
      <c r="S29" s="20"/>
      <c r="T29" s="22">
        <f t="shared" si="10"/>
        <v>848</v>
      </c>
      <c r="U29" s="38">
        <f t="shared" si="11"/>
        <v>0.6573643411</v>
      </c>
      <c r="V29" s="22">
        <f t="shared" si="12"/>
        <v>719104</v>
      </c>
    </row>
    <row r="30">
      <c r="A30" s="2">
        <v>40583.0</v>
      </c>
      <c r="B30" s="5">
        <v>3780.0</v>
      </c>
      <c r="C30" s="22">
        <f t="shared" si="2"/>
        <v>1277</v>
      </c>
      <c r="D30" s="22">
        <f t="shared" si="3"/>
        <v>1019</v>
      </c>
      <c r="E30" s="22">
        <f t="shared" si="1"/>
        <v>951</v>
      </c>
      <c r="F30" s="20"/>
      <c r="G30" s="20"/>
      <c r="H30" s="20"/>
      <c r="I30" s="20"/>
      <c r="J30" s="20"/>
      <c r="K30" s="20"/>
      <c r="L30" s="22">
        <f t="shared" si="4"/>
        <v>2503</v>
      </c>
      <c r="M30" s="38">
        <f t="shared" si="5"/>
        <v>0.6621693122</v>
      </c>
      <c r="N30" s="22">
        <f t="shared" si="6"/>
        <v>6265009</v>
      </c>
      <c r="O30" s="20"/>
      <c r="P30" s="22">
        <f t="shared" si="7"/>
        <v>2761</v>
      </c>
      <c r="Q30" s="38">
        <f t="shared" si="8"/>
        <v>0.7304232804</v>
      </c>
      <c r="R30" s="22">
        <f t="shared" si="9"/>
        <v>7623121</v>
      </c>
      <c r="S30" s="20"/>
      <c r="T30" s="22">
        <f t="shared" si="10"/>
        <v>2829</v>
      </c>
      <c r="U30" s="38">
        <f t="shared" si="11"/>
        <v>0.7484126984</v>
      </c>
      <c r="V30" s="22">
        <f t="shared" si="12"/>
        <v>8003241</v>
      </c>
    </row>
    <row r="31">
      <c r="A31" s="2">
        <v>40584.0</v>
      </c>
      <c r="B31" s="5">
        <v>540.0</v>
      </c>
      <c r="C31" s="22">
        <f t="shared" si="2"/>
        <v>1193</v>
      </c>
      <c r="D31" s="22">
        <f t="shared" si="3"/>
        <v>1118</v>
      </c>
      <c r="E31" s="22">
        <f t="shared" si="1"/>
        <v>2648</v>
      </c>
      <c r="F31" s="20"/>
      <c r="G31" s="20"/>
      <c r="H31" s="20"/>
      <c r="I31" s="20"/>
      <c r="J31" s="20"/>
      <c r="K31" s="20"/>
      <c r="L31" s="22">
        <f t="shared" si="4"/>
        <v>-653</v>
      </c>
      <c r="M31" s="38">
        <f t="shared" si="5"/>
        <v>1.209259259</v>
      </c>
      <c r="N31" s="22">
        <f t="shared" si="6"/>
        <v>426409</v>
      </c>
      <c r="O31" s="20"/>
      <c r="P31" s="22">
        <f t="shared" si="7"/>
        <v>-578</v>
      </c>
      <c r="Q31" s="38">
        <f t="shared" si="8"/>
        <v>1.07037037</v>
      </c>
      <c r="R31" s="22">
        <f t="shared" si="9"/>
        <v>334084</v>
      </c>
      <c r="S31" s="20"/>
      <c r="T31" s="22">
        <f t="shared" si="10"/>
        <v>-2108</v>
      </c>
      <c r="U31" s="38">
        <f t="shared" si="11"/>
        <v>3.903703704</v>
      </c>
      <c r="V31" s="22">
        <f t="shared" si="12"/>
        <v>4443664</v>
      </c>
    </row>
    <row r="32">
      <c r="A32" s="2">
        <v>40585.0</v>
      </c>
      <c r="B32" s="5">
        <v>90.0</v>
      </c>
      <c r="C32" s="22">
        <f t="shared" si="2"/>
        <v>1212</v>
      </c>
      <c r="D32" s="22">
        <f t="shared" si="3"/>
        <v>1098</v>
      </c>
      <c r="E32" s="22">
        <f t="shared" si="1"/>
        <v>1383</v>
      </c>
      <c r="F32" s="20"/>
      <c r="G32" s="20"/>
      <c r="H32" s="20"/>
      <c r="I32" s="20"/>
      <c r="J32" s="20"/>
      <c r="K32" s="20"/>
      <c r="L32" s="22">
        <f t="shared" si="4"/>
        <v>-1122</v>
      </c>
      <c r="M32" s="38">
        <f t="shared" si="5"/>
        <v>12.46666667</v>
      </c>
      <c r="N32" s="22">
        <f t="shared" si="6"/>
        <v>1258884</v>
      </c>
      <c r="O32" s="20"/>
      <c r="P32" s="22">
        <f t="shared" si="7"/>
        <v>-1008</v>
      </c>
      <c r="Q32" s="38">
        <f t="shared" si="8"/>
        <v>11.2</v>
      </c>
      <c r="R32" s="22">
        <f t="shared" si="9"/>
        <v>1016064</v>
      </c>
      <c r="S32" s="20"/>
      <c r="T32" s="22">
        <f t="shared" si="10"/>
        <v>-1293</v>
      </c>
      <c r="U32" s="38">
        <f t="shared" si="11"/>
        <v>14.36666667</v>
      </c>
      <c r="V32" s="22">
        <f t="shared" si="12"/>
        <v>1671849</v>
      </c>
    </row>
    <row r="33">
      <c r="A33" s="2">
        <v>40588.0</v>
      </c>
      <c r="B33" s="5">
        <v>294.0</v>
      </c>
      <c r="C33" s="22">
        <f t="shared" si="2"/>
        <v>1208</v>
      </c>
      <c r="D33" s="22">
        <f t="shared" si="3"/>
        <v>1064</v>
      </c>
      <c r="E33" s="22">
        <f t="shared" si="1"/>
        <v>607</v>
      </c>
      <c r="F33" s="20"/>
      <c r="G33" s="20"/>
      <c r="H33" s="20"/>
      <c r="I33" s="20"/>
      <c r="J33" s="20"/>
      <c r="K33" s="20"/>
      <c r="L33" s="22">
        <f t="shared" si="4"/>
        <v>-914</v>
      </c>
      <c r="M33" s="38">
        <f t="shared" si="5"/>
        <v>3.108843537</v>
      </c>
      <c r="N33" s="22">
        <f t="shared" si="6"/>
        <v>835396</v>
      </c>
      <c r="O33" s="20"/>
      <c r="P33" s="22">
        <f t="shared" si="7"/>
        <v>-770</v>
      </c>
      <c r="Q33" s="38">
        <f t="shared" si="8"/>
        <v>2.619047619</v>
      </c>
      <c r="R33" s="22">
        <f t="shared" si="9"/>
        <v>592900</v>
      </c>
      <c r="S33" s="20"/>
      <c r="T33" s="22">
        <f t="shared" si="10"/>
        <v>-313</v>
      </c>
      <c r="U33" s="38">
        <f t="shared" si="11"/>
        <v>1.06462585</v>
      </c>
      <c r="V33" s="22">
        <f t="shared" si="12"/>
        <v>97969</v>
      </c>
    </row>
    <row r="34">
      <c r="A34" s="2">
        <v>40589.0</v>
      </c>
      <c r="B34" s="5">
        <v>1620.0</v>
      </c>
      <c r="C34" s="22">
        <f t="shared" si="2"/>
        <v>1199</v>
      </c>
      <c r="D34" s="22">
        <f t="shared" si="3"/>
        <v>1039</v>
      </c>
      <c r="E34" s="22">
        <f t="shared" si="1"/>
        <v>419</v>
      </c>
      <c r="F34" s="20"/>
      <c r="G34" s="20"/>
      <c r="H34" s="20"/>
      <c r="I34" s="20"/>
      <c r="J34" s="20"/>
      <c r="K34" s="20"/>
      <c r="L34" s="22">
        <f t="shared" si="4"/>
        <v>421</v>
      </c>
      <c r="M34" s="38">
        <f t="shared" si="5"/>
        <v>0.2598765432</v>
      </c>
      <c r="N34" s="22">
        <f t="shared" si="6"/>
        <v>177241</v>
      </c>
      <c r="O34" s="20"/>
      <c r="P34" s="22">
        <f t="shared" si="7"/>
        <v>581</v>
      </c>
      <c r="Q34" s="38">
        <f t="shared" si="8"/>
        <v>0.3586419753</v>
      </c>
      <c r="R34" s="22">
        <f t="shared" si="9"/>
        <v>337561</v>
      </c>
      <c r="S34" s="20"/>
      <c r="T34" s="22">
        <f t="shared" si="10"/>
        <v>1201</v>
      </c>
      <c r="U34" s="38">
        <f t="shared" si="11"/>
        <v>0.7413580247</v>
      </c>
      <c r="V34" s="22">
        <f t="shared" si="12"/>
        <v>1442401</v>
      </c>
    </row>
    <row r="35">
      <c r="A35" s="2">
        <v>40590.0</v>
      </c>
      <c r="B35" s="5">
        <v>2826.0</v>
      </c>
      <c r="C35" s="22">
        <f t="shared" si="2"/>
        <v>1265</v>
      </c>
      <c r="D35" s="22">
        <f t="shared" si="3"/>
        <v>1057</v>
      </c>
      <c r="E35" s="22">
        <f t="shared" si="1"/>
        <v>1140</v>
      </c>
      <c r="F35" s="20"/>
      <c r="G35" s="20"/>
      <c r="H35" s="20"/>
      <c r="I35" s="20"/>
      <c r="J35" s="20"/>
      <c r="K35" s="20"/>
      <c r="L35" s="22">
        <f t="shared" si="4"/>
        <v>1561</v>
      </c>
      <c r="M35" s="38">
        <f t="shared" si="5"/>
        <v>0.5523708422</v>
      </c>
      <c r="N35" s="22">
        <f t="shared" si="6"/>
        <v>2436721</v>
      </c>
      <c r="O35" s="20"/>
      <c r="P35" s="22">
        <f t="shared" si="7"/>
        <v>1769</v>
      </c>
      <c r="Q35" s="38">
        <f t="shared" si="8"/>
        <v>0.6259731069</v>
      </c>
      <c r="R35" s="22">
        <f t="shared" si="9"/>
        <v>3129361</v>
      </c>
      <c r="S35" s="20"/>
      <c r="T35" s="22">
        <f t="shared" si="10"/>
        <v>1686</v>
      </c>
      <c r="U35" s="38">
        <f t="shared" si="11"/>
        <v>0.5966029724</v>
      </c>
      <c r="V35" s="22">
        <f t="shared" si="12"/>
        <v>2842596</v>
      </c>
    </row>
    <row r="36">
      <c r="A36" s="2">
        <v>40591.0</v>
      </c>
      <c r="B36" s="5">
        <v>702.0</v>
      </c>
      <c r="C36" s="22">
        <f t="shared" si="2"/>
        <v>1074</v>
      </c>
      <c r="D36" s="22">
        <f t="shared" si="3"/>
        <v>1111</v>
      </c>
      <c r="E36" s="22">
        <f t="shared" si="1"/>
        <v>2152</v>
      </c>
      <c r="F36" s="20"/>
      <c r="G36" s="20"/>
      <c r="H36" s="20"/>
      <c r="I36" s="20"/>
      <c r="J36" s="20"/>
      <c r="K36" s="20"/>
      <c r="L36" s="22">
        <f t="shared" si="4"/>
        <v>-372</v>
      </c>
      <c r="M36" s="38">
        <f t="shared" si="5"/>
        <v>0.5299145299</v>
      </c>
      <c r="N36" s="22">
        <f t="shared" si="6"/>
        <v>138384</v>
      </c>
      <c r="O36" s="20"/>
      <c r="P36" s="22">
        <f t="shared" si="7"/>
        <v>-409</v>
      </c>
      <c r="Q36" s="38">
        <f t="shared" si="8"/>
        <v>0.5826210826</v>
      </c>
      <c r="R36" s="22">
        <f t="shared" si="9"/>
        <v>167281</v>
      </c>
      <c r="S36" s="20"/>
      <c r="T36" s="22">
        <f t="shared" si="10"/>
        <v>-1450</v>
      </c>
      <c r="U36" s="38">
        <f t="shared" si="11"/>
        <v>2.065527066</v>
      </c>
      <c r="V36" s="22">
        <f t="shared" si="12"/>
        <v>2102500</v>
      </c>
    </row>
    <row r="37">
      <c r="A37" s="2">
        <v>40592.0</v>
      </c>
      <c r="B37" s="5">
        <v>48.0</v>
      </c>
      <c r="C37" s="22">
        <f t="shared" si="2"/>
        <v>1106</v>
      </c>
      <c r="D37" s="22">
        <f t="shared" si="3"/>
        <v>1099</v>
      </c>
      <c r="E37" s="22">
        <f t="shared" si="1"/>
        <v>1282</v>
      </c>
      <c r="F37" s="20"/>
      <c r="G37" s="20"/>
      <c r="H37" s="20"/>
      <c r="I37" s="20"/>
      <c r="J37" s="20"/>
      <c r="K37" s="20"/>
      <c r="L37" s="22">
        <f t="shared" si="4"/>
        <v>-1058</v>
      </c>
      <c r="M37" s="38">
        <f t="shared" si="5"/>
        <v>22.04166667</v>
      </c>
      <c r="N37" s="22">
        <f t="shared" si="6"/>
        <v>1119364</v>
      </c>
      <c r="O37" s="20"/>
      <c r="P37" s="22">
        <f t="shared" si="7"/>
        <v>-1051</v>
      </c>
      <c r="Q37" s="38">
        <f t="shared" si="8"/>
        <v>21.89583333</v>
      </c>
      <c r="R37" s="22">
        <f t="shared" si="9"/>
        <v>1104601</v>
      </c>
      <c r="S37" s="20"/>
      <c r="T37" s="22">
        <f t="shared" si="10"/>
        <v>-1234</v>
      </c>
      <c r="U37" s="38">
        <f t="shared" si="11"/>
        <v>25.70833333</v>
      </c>
      <c r="V37" s="22">
        <f t="shared" si="12"/>
        <v>1522756</v>
      </c>
    </row>
    <row r="38">
      <c r="A38" s="2">
        <v>40596.0</v>
      </c>
      <c r="B38" s="5">
        <v>0.0</v>
      </c>
      <c r="C38" s="22">
        <f t="shared" si="2"/>
        <v>1098</v>
      </c>
      <c r="D38" s="22">
        <f t="shared" si="3"/>
        <v>1069</v>
      </c>
      <c r="E38" s="22">
        <f t="shared" si="1"/>
        <v>542</v>
      </c>
      <c r="F38" s="20"/>
      <c r="G38" s="20"/>
      <c r="H38" s="20"/>
      <c r="I38" s="20"/>
      <c r="J38" s="20"/>
      <c r="K38" s="20"/>
      <c r="L38" s="22">
        <f t="shared" si="4"/>
        <v>-1098</v>
      </c>
      <c r="M38" s="38">
        <f t="shared" si="5"/>
        <v>1</v>
      </c>
      <c r="N38" s="22">
        <f t="shared" si="6"/>
        <v>1205604</v>
      </c>
      <c r="O38" s="20"/>
      <c r="P38" s="22">
        <f t="shared" si="7"/>
        <v>-1069</v>
      </c>
      <c r="Q38" s="38">
        <f t="shared" si="8"/>
        <v>1</v>
      </c>
      <c r="R38" s="22">
        <f t="shared" si="9"/>
        <v>1142761</v>
      </c>
      <c r="S38" s="20"/>
      <c r="T38" s="22">
        <f t="shared" si="10"/>
        <v>-542</v>
      </c>
      <c r="U38" s="38">
        <f t="shared" si="11"/>
        <v>1</v>
      </c>
      <c r="V38" s="22">
        <f t="shared" si="12"/>
        <v>293764</v>
      </c>
    </row>
    <row r="39">
      <c r="A39" s="2">
        <v>40597.0</v>
      </c>
      <c r="B39" s="5">
        <v>0.0</v>
      </c>
      <c r="C39" s="22">
        <f t="shared" si="2"/>
        <v>1039</v>
      </c>
      <c r="D39" s="22">
        <f t="shared" si="3"/>
        <v>1039</v>
      </c>
      <c r="E39" s="22">
        <f t="shared" si="1"/>
        <v>217</v>
      </c>
      <c r="F39" s="20"/>
      <c r="G39" s="20"/>
      <c r="H39" s="20"/>
      <c r="I39" s="20"/>
      <c r="J39" s="20"/>
      <c r="K39" s="20"/>
      <c r="L39" s="22">
        <f t="shared" si="4"/>
        <v>-1039</v>
      </c>
      <c r="M39" s="38">
        <f t="shared" si="5"/>
        <v>1</v>
      </c>
      <c r="N39" s="22">
        <f t="shared" si="6"/>
        <v>1079521</v>
      </c>
      <c r="O39" s="20"/>
      <c r="P39" s="22">
        <f t="shared" si="7"/>
        <v>-1039</v>
      </c>
      <c r="Q39" s="38">
        <f t="shared" si="8"/>
        <v>1</v>
      </c>
      <c r="R39" s="22">
        <f t="shared" si="9"/>
        <v>1079521</v>
      </c>
      <c r="S39" s="20"/>
      <c r="T39" s="22">
        <f t="shared" si="10"/>
        <v>-217</v>
      </c>
      <c r="U39" s="38">
        <f t="shared" si="11"/>
        <v>1</v>
      </c>
      <c r="V39" s="22">
        <f t="shared" si="12"/>
        <v>47089</v>
      </c>
    </row>
    <row r="40">
      <c r="A40" s="2">
        <v>40598.0</v>
      </c>
      <c r="B40" s="5">
        <v>0.0</v>
      </c>
      <c r="C40" s="22">
        <f t="shared" si="2"/>
        <v>715</v>
      </c>
      <c r="D40" s="22">
        <f t="shared" si="3"/>
        <v>1011</v>
      </c>
      <c r="E40" s="22">
        <f t="shared" si="1"/>
        <v>87</v>
      </c>
      <c r="F40" s="20"/>
      <c r="G40" s="20"/>
      <c r="H40" s="20"/>
      <c r="I40" s="20"/>
      <c r="J40" s="20"/>
      <c r="K40" s="20"/>
      <c r="L40" s="22">
        <f t="shared" si="4"/>
        <v>-715</v>
      </c>
      <c r="M40" s="38">
        <f t="shared" si="5"/>
        <v>1</v>
      </c>
      <c r="N40" s="22">
        <f t="shared" si="6"/>
        <v>511225</v>
      </c>
      <c r="O40" s="20"/>
      <c r="P40" s="22">
        <f t="shared" si="7"/>
        <v>-1011</v>
      </c>
      <c r="Q40" s="38">
        <f t="shared" si="8"/>
        <v>1</v>
      </c>
      <c r="R40" s="22">
        <f t="shared" si="9"/>
        <v>1022121</v>
      </c>
      <c r="S40" s="20"/>
      <c r="T40" s="22">
        <f t="shared" si="10"/>
        <v>-87</v>
      </c>
      <c r="U40" s="38">
        <f t="shared" si="11"/>
        <v>1</v>
      </c>
      <c r="V40" s="22">
        <f t="shared" si="12"/>
        <v>7569</v>
      </c>
    </row>
    <row r="41">
      <c r="A41" s="2">
        <v>40599.0</v>
      </c>
      <c r="B41" s="5">
        <v>0.0</v>
      </c>
      <c r="C41" s="22">
        <f t="shared" si="2"/>
        <v>150</v>
      </c>
      <c r="D41" s="22">
        <f t="shared" si="3"/>
        <v>984</v>
      </c>
      <c r="E41" s="22">
        <f t="shared" si="1"/>
        <v>35</v>
      </c>
      <c r="F41" s="20"/>
      <c r="G41" s="20"/>
      <c r="H41" s="20"/>
      <c r="I41" s="20"/>
      <c r="J41" s="20"/>
      <c r="K41" s="20"/>
      <c r="L41" s="22">
        <f t="shared" si="4"/>
        <v>-150</v>
      </c>
      <c r="M41" s="38">
        <f t="shared" si="5"/>
        <v>1</v>
      </c>
      <c r="N41" s="22">
        <f t="shared" si="6"/>
        <v>22500</v>
      </c>
      <c r="O41" s="20"/>
      <c r="P41" s="22">
        <f t="shared" si="7"/>
        <v>-984</v>
      </c>
      <c r="Q41" s="38">
        <f t="shared" si="8"/>
        <v>1</v>
      </c>
      <c r="R41" s="22">
        <f t="shared" si="9"/>
        <v>968256</v>
      </c>
      <c r="S41" s="20"/>
      <c r="T41" s="22">
        <f t="shared" si="10"/>
        <v>-35</v>
      </c>
      <c r="U41" s="38">
        <f t="shared" si="11"/>
        <v>1</v>
      </c>
      <c r="V41" s="22">
        <f t="shared" si="12"/>
        <v>1225</v>
      </c>
    </row>
    <row r="42">
      <c r="A42" s="2">
        <v>40602.0</v>
      </c>
      <c r="B42" s="5">
        <v>900.0</v>
      </c>
      <c r="C42" s="22">
        <f t="shared" si="2"/>
        <v>10</v>
      </c>
      <c r="D42" s="22">
        <f t="shared" si="3"/>
        <v>959</v>
      </c>
      <c r="E42" s="22">
        <f t="shared" si="1"/>
        <v>14</v>
      </c>
      <c r="F42" s="20"/>
      <c r="G42" s="20"/>
      <c r="H42" s="20"/>
      <c r="I42" s="20"/>
      <c r="J42" s="20"/>
      <c r="K42" s="20"/>
      <c r="L42" s="22">
        <f t="shared" si="4"/>
        <v>890</v>
      </c>
      <c r="M42" s="38">
        <f t="shared" si="5"/>
        <v>0.9888888889</v>
      </c>
      <c r="N42" s="22">
        <f t="shared" si="6"/>
        <v>792100</v>
      </c>
      <c r="O42" s="20"/>
      <c r="P42" s="22">
        <f t="shared" si="7"/>
        <v>-59</v>
      </c>
      <c r="Q42" s="38">
        <f t="shared" si="8"/>
        <v>0.06555555556</v>
      </c>
      <c r="R42" s="22">
        <f t="shared" si="9"/>
        <v>3481</v>
      </c>
      <c r="S42" s="20"/>
      <c r="T42" s="22">
        <f t="shared" si="10"/>
        <v>886</v>
      </c>
      <c r="U42" s="38">
        <f t="shared" si="11"/>
        <v>0.9844444444</v>
      </c>
      <c r="V42" s="22">
        <f t="shared" si="12"/>
        <v>784996</v>
      </c>
    </row>
    <row r="43">
      <c r="A43" s="2">
        <v>40603.0</v>
      </c>
      <c r="B43" s="5">
        <v>0.0</v>
      </c>
      <c r="C43" s="22">
        <f t="shared" si="2"/>
        <v>180</v>
      </c>
      <c r="D43" s="22">
        <f t="shared" si="3"/>
        <v>958</v>
      </c>
      <c r="E43" s="22">
        <f t="shared" si="1"/>
        <v>546</v>
      </c>
      <c r="F43" s="20"/>
      <c r="G43" s="20"/>
      <c r="H43" s="20"/>
      <c r="I43" s="20"/>
      <c r="J43" s="20"/>
      <c r="K43" s="20"/>
      <c r="L43" s="22">
        <f t="shared" si="4"/>
        <v>-180</v>
      </c>
      <c r="M43" s="38">
        <f t="shared" si="5"/>
        <v>1</v>
      </c>
      <c r="N43" s="22">
        <f t="shared" si="6"/>
        <v>32400</v>
      </c>
      <c r="O43" s="20"/>
      <c r="P43" s="22">
        <f t="shared" si="7"/>
        <v>-958</v>
      </c>
      <c r="Q43" s="38">
        <f t="shared" si="8"/>
        <v>1</v>
      </c>
      <c r="R43" s="22">
        <f t="shared" si="9"/>
        <v>917764</v>
      </c>
      <c r="S43" s="20"/>
      <c r="T43" s="22">
        <f t="shared" si="10"/>
        <v>-546</v>
      </c>
      <c r="U43" s="38">
        <f t="shared" si="11"/>
        <v>1</v>
      </c>
      <c r="V43" s="22">
        <f t="shared" si="12"/>
        <v>298116</v>
      </c>
    </row>
    <row r="44">
      <c r="A44" s="2">
        <v>40604.0</v>
      </c>
      <c r="B44" s="5">
        <v>0.0</v>
      </c>
      <c r="C44" s="22">
        <f t="shared" si="2"/>
        <v>180</v>
      </c>
      <c r="D44" s="22">
        <f t="shared" si="3"/>
        <v>934</v>
      </c>
      <c r="E44" s="22">
        <f t="shared" si="1"/>
        <v>218</v>
      </c>
      <c r="F44" s="20"/>
      <c r="G44" s="20"/>
      <c r="H44" s="20"/>
      <c r="I44" s="20"/>
      <c r="J44" s="20"/>
      <c r="K44" s="20"/>
      <c r="L44" s="22">
        <f t="shared" si="4"/>
        <v>-180</v>
      </c>
      <c r="M44" s="38">
        <f t="shared" si="5"/>
        <v>1</v>
      </c>
      <c r="N44" s="22">
        <f t="shared" si="6"/>
        <v>32400</v>
      </c>
      <c r="O44" s="20"/>
      <c r="P44" s="22">
        <f t="shared" si="7"/>
        <v>-934</v>
      </c>
      <c r="Q44" s="38">
        <f t="shared" si="8"/>
        <v>1</v>
      </c>
      <c r="R44" s="22">
        <f t="shared" si="9"/>
        <v>872356</v>
      </c>
      <c r="S44" s="20"/>
      <c r="T44" s="22">
        <f t="shared" si="10"/>
        <v>-218</v>
      </c>
      <c r="U44" s="38">
        <f t="shared" si="11"/>
        <v>1</v>
      </c>
      <c r="V44" s="22">
        <f t="shared" si="12"/>
        <v>47524</v>
      </c>
    </row>
    <row r="45">
      <c r="A45" s="2">
        <v>40605.0</v>
      </c>
      <c r="B45" s="5">
        <v>422.0</v>
      </c>
      <c r="C45" s="22">
        <f t="shared" si="2"/>
        <v>180</v>
      </c>
      <c r="D45" s="22">
        <f t="shared" si="3"/>
        <v>912</v>
      </c>
      <c r="E45" s="22">
        <f t="shared" si="1"/>
        <v>87</v>
      </c>
      <c r="F45" s="20"/>
      <c r="G45" s="20"/>
      <c r="H45" s="20"/>
      <c r="I45" s="20"/>
      <c r="J45" s="20"/>
      <c r="K45" s="20"/>
      <c r="L45" s="22">
        <f t="shared" si="4"/>
        <v>242</v>
      </c>
      <c r="M45" s="38">
        <f t="shared" si="5"/>
        <v>0.5734597156</v>
      </c>
      <c r="N45" s="22">
        <f t="shared" si="6"/>
        <v>58564</v>
      </c>
      <c r="O45" s="20"/>
      <c r="P45" s="22">
        <f t="shared" si="7"/>
        <v>-490</v>
      </c>
      <c r="Q45" s="38">
        <f t="shared" si="8"/>
        <v>1.161137441</v>
      </c>
      <c r="R45" s="22">
        <f t="shared" si="9"/>
        <v>240100</v>
      </c>
      <c r="S45" s="20"/>
      <c r="T45" s="22">
        <f t="shared" si="10"/>
        <v>335</v>
      </c>
      <c r="U45" s="38">
        <f t="shared" si="11"/>
        <v>0.7938388626</v>
      </c>
      <c r="V45" s="22">
        <f t="shared" si="12"/>
        <v>112225</v>
      </c>
    </row>
    <row r="46">
      <c r="A46" s="2">
        <v>40606.0</v>
      </c>
      <c r="B46" s="5">
        <v>9036.0</v>
      </c>
      <c r="C46" s="22">
        <f t="shared" si="2"/>
        <v>264</v>
      </c>
      <c r="D46" s="22">
        <f t="shared" si="3"/>
        <v>901</v>
      </c>
      <c r="E46" s="22">
        <f t="shared" si="1"/>
        <v>288</v>
      </c>
      <c r="F46" s="20"/>
      <c r="G46" s="20"/>
      <c r="H46" s="20"/>
      <c r="I46" s="20"/>
      <c r="J46" s="20"/>
      <c r="K46" s="20"/>
      <c r="L46" s="22">
        <f t="shared" si="4"/>
        <v>8772</v>
      </c>
      <c r="M46" s="38">
        <f t="shared" si="5"/>
        <v>0.9707835325</v>
      </c>
      <c r="N46" s="22">
        <f t="shared" si="6"/>
        <v>76947984</v>
      </c>
      <c r="O46" s="20"/>
      <c r="P46" s="22">
        <f t="shared" si="7"/>
        <v>8135</v>
      </c>
      <c r="Q46" s="38">
        <f t="shared" si="8"/>
        <v>0.9002877379</v>
      </c>
      <c r="R46" s="22">
        <f t="shared" si="9"/>
        <v>66178225</v>
      </c>
      <c r="S46" s="20"/>
      <c r="T46" s="22">
        <f t="shared" si="10"/>
        <v>8748</v>
      </c>
      <c r="U46" s="38">
        <f t="shared" si="11"/>
        <v>0.96812749</v>
      </c>
      <c r="V46" s="22">
        <f t="shared" si="12"/>
        <v>76527504</v>
      </c>
    </row>
    <row r="47">
      <c r="A47" s="2">
        <v>40609.0</v>
      </c>
      <c r="B47" s="5">
        <v>24.0</v>
      </c>
      <c r="C47" s="22">
        <f t="shared" si="2"/>
        <v>2072</v>
      </c>
      <c r="D47" s="22">
        <f t="shared" si="3"/>
        <v>1086</v>
      </c>
      <c r="E47" s="22">
        <f t="shared" si="1"/>
        <v>5537</v>
      </c>
      <c r="F47" s="20"/>
      <c r="G47" s="20"/>
      <c r="H47" s="20"/>
      <c r="I47" s="20"/>
      <c r="J47" s="20"/>
      <c r="K47" s="20"/>
      <c r="L47" s="22">
        <f t="shared" si="4"/>
        <v>-2048</v>
      </c>
      <c r="M47" s="38">
        <f t="shared" si="5"/>
        <v>85.33333333</v>
      </c>
      <c r="N47" s="22">
        <f t="shared" si="6"/>
        <v>4194304</v>
      </c>
      <c r="O47" s="20"/>
      <c r="P47" s="22">
        <f t="shared" si="7"/>
        <v>-1062</v>
      </c>
      <c r="Q47" s="38">
        <f t="shared" si="8"/>
        <v>44.25</v>
      </c>
      <c r="R47" s="22">
        <f t="shared" si="9"/>
        <v>1127844</v>
      </c>
      <c r="S47" s="20"/>
      <c r="T47" s="22">
        <f t="shared" si="10"/>
        <v>-5513</v>
      </c>
      <c r="U47" s="38">
        <f t="shared" si="11"/>
        <v>229.7083333</v>
      </c>
      <c r="V47" s="22">
        <f t="shared" si="12"/>
        <v>30393169</v>
      </c>
    </row>
    <row r="48">
      <c r="A48" s="2">
        <v>40610.0</v>
      </c>
      <c r="B48" s="5">
        <v>0.0</v>
      </c>
      <c r="C48" s="22">
        <f t="shared" si="2"/>
        <v>1896</v>
      </c>
      <c r="D48" s="22">
        <f t="shared" si="3"/>
        <v>1062</v>
      </c>
      <c r="E48" s="22">
        <f t="shared" si="1"/>
        <v>2229</v>
      </c>
      <c r="F48" s="20"/>
      <c r="G48" s="20"/>
      <c r="H48" s="20"/>
      <c r="I48" s="20"/>
      <c r="J48" s="20"/>
      <c r="K48" s="20"/>
      <c r="L48" s="22">
        <f t="shared" si="4"/>
        <v>-1896</v>
      </c>
      <c r="M48" s="38">
        <f t="shared" si="5"/>
        <v>1</v>
      </c>
      <c r="N48" s="22">
        <f t="shared" si="6"/>
        <v>3594816</v>
      </c>
      <c r="O48" s="20"/>
      <c r="P48" s="22">
        <f t="shared" si="7"/>
        <v>-1062</v>
      </c>
      <c r="Q48" s="38">
        <f t="shared" si="8"/>
        <v>1</v>
      </c>
      <c r="R48" s="22">
        <f t="shared" si="9"/>
        <v>1127844</v>
      </c>
      <c r="S48" s="20"/>
      <c r="T48" s="22">
        <f t="shared" si="10"/>
        <v>-2229</v>
      </c>
      <c r="U48" s="38">
        <f t="shared" si="11"/>
        <v>1</v>
      </c>
      <c r="V48" s="22">
        <f t="shared" si="12"/>
        <v>4968441</v>
      </c>
    </row>
    <row r="49">
      <c r="A49" s="2">
        <v>40611.0</v>
      </c>
      <c r="B49" s="5">
        <v>0.0</v>
      </c>
      <c r="C49" s="22">
        <f t="shared" si="2"/>
        <v>1896</v>
      </c>
      <c r="D49" s="22">
        <f t="shared" si="3"/>
        <v>1039</v>
      </c>
      <c r="E49" s="22">
        <f t="shared" si="1"/>
        <v>892</v>
      </c>
      <c r="F49" s="20"/>
      <c r="G49" s="20"/>
      <c r="H49" s="20"/>
      <c r="I49" s="20"/>
      <c r="J49" s="20"/>
      <c r="K49" s="20"/>
      <c r="L49" s="22">
        <f t="shared" si="4"/>
        <v>-1896</v>
      </c>
      <c r="M49" s="38">
        <f t="shared" si="5"/>
        <v>1</v>
      </c>
      <c r="N49" s="22">
        <f t="shared" si="6"/>
        <v>3594816</v>
      </c>
      <c r="O49" s="20"/>
      <c r="P49" s="22">
        <f t="shared" si="7"/>
        <v>-1039</v>
      </c>
      <c r="Q49" s="38">
        <f t="shared" si="8"/>
        <v>1</v>
      </c>
      <c r="R49" s="22">
        <f t="shared" si="9"/>
        <v>1079521</v>
      </c>
      <c r="S49" s="20"/>
      <c r="T49" s="22">
        <f t="shared" si="10"/>
        <v>-892</v>
      </c>
      <c r="U49" s="38">
        <f t="shared" si="11"/>
        <v>1</v>
      </c>
      <c r="V49" s="22">
        <f t="shared" si="12"/>
        <v>795664</v>
      </c>
    </row>
    <row r="50">
      <c r="A50" s="2">
        <v>40612.0</v>
      </c>
      <c r="B50" s="5">
        <v>5.0</v>
      </c>
      <c r="C50" s="22">
        <f t="shared" si="2"/>
        <v>1896</v>
      </c>
      <c r="D50" s="22">
        <f t="shared" si="3"/>
        <v>1017</v>
      </c>
      <c r="E50" s="22">
        <f t="shared" si="1"/>
        <v>357</v>
      </c>
      <c r="F50" s="20"/>
      <c r="G50" s="20"/>
      <c r="H50" s="20"/>
      <c r="I50" s="20"/>
      <c r="J50" s="20"/>
      <c r="K50" s="20"/>
      <c r="L50" s="22">
        <f t="shared" si="4"/>
        <v>-1891</v>
      </c>
      <c r="M50" s="38">
        <f t="shared" si="5"/>
        <v>378.2</v>
      </c>
      <c r="N50" s="22">
        <f t="shared" si="6"/>
        <v>3575881</v>
      </c>
      <c r="O50" s="20"/>
      <c r="P50" s="22">
        <f t="shared" si="7"/>
        <v>-1012</v>
      </c>
      <c r="Q50" s="38">
        <f t="shared" si="8"/>
        <v>202.4</v>
      </c>
      <c r="R50" s="22">
        <f t="shared" si="9"/>
        <v>1024144</v>
      </c>
      <c r="S50" s="20"/>
      <c r="T50" s="22">
        <f t="shared" si="10"/>
        <v>-352</v>
      </c>
      <c r="U50" s="38">
        <f t="shared" si="11"/>
        <v>70.4</v>
      </c>
      <c r="V50" s="22">
        <f t="shared" si="12"/>
        <v>123904</v>
      </c>
    </row>
    <row r="51">
      <c r="A51" s="2">
        <v>40613.0</v>
      </c>
      <c r="B51" s="5">
        <v>0.0</v>
      </c>
      <c r="C51" s="22">
        <f t="shared" si="2"/>
        <v>1813</v>
      </c>
      <c r="D51" s="22">
        <f t="shared" si="3"/>
        <v>996</v>
      </c>
      <c r="E51" s="22">
        <f t="shared" si="1"/>
        <v>146</v>
      </c>
      <c r="F51" s="20"/>
      <c r="G51" s="20"/>
      <c r="H51" s="20"/>
      <c r="I51" s="20"/>
      <c r="J51" s="20"/>
      <c r="K51" s="20"/>
      <c r="L51" s="22">
        <f t="shared" si="4"/>
        <v>-1813</v>
      </c>
      <c r="M51" s="38">
        <f t="shared" si="5"/>
        <v>1</v>
      </c>
      <c r="N51" s="22">
        <f t="shared" si="6"/>
        <v>3286969</v>
      </c>
      <c r="O51" s="20"/>
      <c r="P51" s="22">
        <f t="shared" si="7"/>
        <v>-996</v>
      </c>
      <c r="Q51" s="38">
        <f t="shared" si="8"/>
        <v>1</v>
      </c>
      <c r="R51" s="22">
        <f t="shared" si="9"/>
        <v>992016</v>
      </c>
      <c r="S51" s="20"/>
      <c r="T51" s="22">
        <f t="shared" si="10"/>
        <v>-146</v>
      </c>
      <c r="U51" s="38">
        <f t="shared" si="11"/>
        <v>1</v>
      </c>
      <c r="V51" s="22">
        <f t="shared" si="12"/>
        <v>21316</v>
      </c>
    </row>
    <row r="52">
      <c r="A52" s="2">
        <v>40616.0</v>
      </c>
      <c r="B52" s="5">
        <v>0.0</v>
      </c>
      <c r="C52" s="22">
        <f t="shared" si="2"/>
        <v>6</v>
      </c>
      <c r="D52" s="22">
        <f t="shared" si="3"/>
        <v>975</v>
      </c>
      <c r="E52" s="22">
        <f t="shared" si="1"/>
        <v>58</v>
      </c>
      <c r="F52" s="20"/>
      <c r="G52" s="20"/>
      <c r="H52" s="20"/>
      <c r="I52" s="20"/>
      <c r="J52" s="20"/>
      <c r="K52" s="20"/>
      <c r="L52" s="22">
        <f t="shared" si="4"/>
        <v>-6</v>
      </c>
      <c r="M52" s="38">
        <f t="shared" si="5"/>
        <v>1</v>
      </c>
      <c r="N52" s="22">
        <f t="shared" si="6"/>
        <v>36</v>
      </c>
      <c r="O52" s="20"/>
      <c r="P52" s="22">
        <f t="shared" si="7"/>
        <v>-975</v>
      </c>
      <c r="Q52" s="38">
        <f t="shared" si="8"/>
        <v>1</v>
      </c>
      <c r="R52" s="22">
        <f t="shared" si="9"/>
        <v>950625</v>
      </c>
      <c r="S52" s="20"/>
      <c r="T52" s="22">
        <f t="shared" si="10"/>
        <v>-58</v>
      </c>
      <c r="U52" s="38">
        <f t="shared" si="11"/>
        <v>1</v>
      </c>
      <c r="V52" s="22">
        <f t="shared" si="12"/>
        <v>3364</v>
      </c>
    </row>
    <row r="53">
      <c r="A53" s="2">
        <v>40617.0</v>
      </c>
      <c r="B53" s="5">
        <v>1104.0</v>
      </c>
      <c r="C53" s="22">
        <f t="shared" si="2"/>
        <v>1</v>
      </c>
      <c r="D53" s="22">
        <f t="shared" si="3"/>
        <v>956</v>
      </c>
      <c r="E53" s="22">
        <f t="shared" si="1"/>
        <v>23</v>
      </c>
      <c r="F53" s="20"/>
      <c r="G53" s="20"/>
      <c r="H53" s="20"/>
      <c r="I53" s="20"/>
      <c r="J53" s="20"/>
      <c r="K53" s="20"/>
      <c r="L53" s="22">
        <f t="shared" si="4"/>
        <v>1103</v>
      </c>
      <c r="M53" s="38">
        <f t="shared" si="5"/>
        <v>0.9990942029</v>
      </c>
      <c r="N53" s="22">
        <f t="shared" si="6"/>
        <v>1216609</v>
      </c>
      <c r="O53" s="20"/>
      <c r="P53" s="22">
        <f t="shared" si="7"/>
        <v>148</v>
      </c>
      <c r="Q53" s="38">
        <f t="shared" si="8"/>
        <v>0.134057971</v>
      </c>
      <c r="R53" s="22">
        <f t="shared" si="9"/>
        <v>21904</v>
      </c>
      <c r="S53" s="20"/>
      <c r="T53" s="22">
        <f t="shared" si="10"/>
        <v>1081</v>
      </c>
      <c r="U53" s="38">
        <f t="shared" si="11"/>
        <v>0.9791666667</v>
      </c>
      <c r="V53" s="22">
        <f t="shared" si="12"/>
        <v>1168561</v>
      </c>
    </row>
    <row r="54">
      <c r="A54" s="2">
        <v>40618.0</v>
      </c>
      <c r="B54" s="5">
        <v>0.0</v>
      </c>
      <c r="C54" s="22">
        <f t="shared" si="2"/>
        <v>222</v>
      </c>
      <c r="D54" s="22">
        <f t="shared" si="3"/>
        <v>959</v>
      </c>
      <c r="E54" s="22">
        <f t="shared" si="1"/>
        <v>672</v>
      </c>
      <c r="F54" s="20"/>
      <c r="G54" s="20"/>
      <c r="H54" s="20"/>
      <c r="I54" s="20"/>
      <c r="J54" s="20"/>
      <c r="K54" s="20"/>
      <c r="L54" s="22">
        <f t="shared" si="4"/>
        <v>-222</v>
      </c>
      <c r="M54" s="38">
        <f t="shared" si="5"/>
        <v>1</v>
      </c>
      <c r="N54" s="22">
        <f t="shared" si="6"/>
        <v>49284</v>
      </c>
      <c r="O54" s="20"/>
      <c r="P54" s="22">
        <f t="shared" si="7"/>
        <v>-959</v>
      </c>
      <c r="Q54" s="38">
        <f t="shared" si="8"/>
        <v>1</v>
      </c>
      <c r="R54" s="22">
        <f t="shared" si="9"/>
        <v>919681</v>
      </c>
      <c r="S54" s="20"/>
      <c r="T54" s="22">
        <f t="shared" si="10"/>
        <v>-672</v>
      </c>
      <c r="U54" s="38">
        <f t="shared" si="11"/>
        <v>1</v>
      </c>
      <c r="V54" s="22">
        <f t="shared" si="12"/>
        <v>451584</v>
      </c>
    </row>
    <row r="55">
      <c r="A55" s="2">
        <v>40619.0</v>
      </c>
      <c r="B55" s="5">
        <v>0.0</v>
      </c>
      <c r="C55" s="22">
        <f t="shared" si="2"/>
        <v>222</v>
      </c>
      <c r="D55" s="22">
        <f t="shared" si="3"/>
        <v>940</v>
      </c>
      <c r="E55" s="22">
        <f t="shared" si="1"/>
        <v>269</v>
      </c>
      <c r="F55" s="20"/>
      <c r="G55" s="20"/>
      <c r="H55" s="20"/>
      <c r="I55" s="20"/>
      <c r="J55" s="20"/>
      <c r="K55" s="20"/>
      <c r="L55" s="22">
        <f t="shared" si="4"/>
        <v>-222</v>
      </c>
      <c r="M55" s="38">
        <f t="shared" si="5"/>
        <v>1</v>
      </c>
      <c r="N55" s="22">
        <f t="shared" si="6"/>
        <v>49284</v>
      </c>
      <c r="O55" s="20"/>
      <c r="P55" s="22">
        <f t="shared" si="7"/>
        <v>-940</v>
      </c>
      <c r="Q55" s="38">
        <f t="shared" si="8"/>
        <v>1</v>
      </c>
      <c r="R55" s="22">
        <f t="shared" si="9"/>
        <v>883600</v>
      </c>
      <c r="S55" s="20"/>
      <c r="T55" s="22">
        <f t="shared" si="10"/>
        <v>-269</v>
      </c>
      <c r="U55" s="38">
        <f t="shared" si="11"/>
        <v>1</v>
      </c>
      <c r="V55" s="22">
        <f t="shared" si="12"/>
        <v>72361</v>
      </c>
    </row>
    <row r="56">
      <c r="A56" s="2">
        <v>40620.0</v>
      </c>
      <c r="B56" s="5">
        <v>0.0</v>
      </c>
      <c r="C56" s="22">
        <f t="shared" si="2"/>
        <v>221</v>
      </c>
      <c r="D56" s="22">
        <f t="shared" si="3"/>
        <v>923</v>
      </c>
      <c r="E56" s="22">
        <f t="shared" si="1"/>
        <v>108</v>
      </c>
      <c r="F56" s="20"/>
      <c r="G56" s="20"/>
      <c r="H56" s="20"/>
      <c r="I56" s="20"/>
      <c r="J56" s="20"/>
      <c r="K56" s="20"/>
      <c r="L56" s="22">
        <f t="shared" si="4"/>
        <v>-221</v>
      </c>
      <c r="M56" s="38">
        <f t="shared" si="5"/>
        <v>1</v>
      </c>
      <c r="N56" s="22">
        <f t="shared" si="6"/>
        <v>48841</v>
      </c>
      <c r="O56" s="20"/>
      <c r="P56" s="22">
        <f t="shared" si="7"/>
        <v>-923</v>
      </c>
      <c r="Q56" s="38">
        <f t="shared" si="8"/>
        <v>1</v>
      </c>
      <c r="R56" s="22">
        <f t="shared" si="9"/>
        <v>851929</v>
      </c>
      <c r="S56" s="20"/>
      <c r="T56" s="22">
        <f t="shared" si="10"/>
        <v>-108</v>
      </c>
      <c r="U56" s="38">
        <f t="shared" si="11"/>
        <v>1</v>
      </c>
      <c r="V56" s="22">
        <f t="shared" si="12"/>
        <v>11664</v>
      </c>
    </row>
    <row r="57">
      <c r="A57" s="2">
        <v>40623.0</v>
      </c>
      <c r="B57" s="5">
        <v>3.0</v>
      </c>
      <c r="C57" s="22">
        <f t="shared" si="2"/>
        <v>221</v>
      </c>
      <c r="D57" s="22">
        <f t="shared" si="3"/>
        <v>906</v>
      </c>
      <c r="E57" s="22">
        <f t="shared" si="1"/>
        <v>43</v>
      </c>
      <c r="F57" s="20"/>
      <c r="G57" s="20"/>
      <c r="H57" s="20"/>
      <c r="I57" s="20"/>
      <c r="J57" s="20"/>
      <c r="K57" s="20"/>
      <c r="L57" s="22">
        <f t="shared" si="4"/>
        <v>-218</v>
      </c>
      <c r="M57" s="38">
        <f t="shared" si="5"/>
        <v>72.66666667</v>
      </c>
      <c r="N57" s="22">
        <f t="shared" si="6"/>
        <v>47524</v>
      </c>
      <c r="O57" s="20"/>
      <c r="P57" s="22">
        <f t="shared" si="7"/>
        <v>-903</v>
      </c>
      <c r="Q57" s="38">
        <f t="shared" si="8"/>
        <v>301</v>
      </c>
      <c r="R57" s="22">
        <f t="shared" si="9"/>
        <v>815409</v>
      </c>
      <c r="S57" s="20"/>
      <c r="T57" s="22">
        <f t="shared" si="10"/>
        <v>-40</v>
      </c>
      <c r="U57" s="38">
        <f t="shared" si="11"/>
        <v>13.33333333</v>
      </c>
      <c r="V57" s="22">
        <f t="shared" si="12"/>
        <v>1600</v>
      </c>
    </row>
    <row r="58">
      <c r="A58" s="2">
        <v>40624.0</v>
      </c>
      <c r="B58" s="5">
        <v>0.0</v>
      </c>
      <c r="C58" s="22">
        <f t="shared" si="2"/>
        <v>221</v>
      </c>
      <c r="D58" s="22">
        <f t="shared" si="3"/>
        <v>889</v>
      </c>
      <c r="E58" s="22">
        <f t="shared" si="1"/>
        <v>19</v>
      </c>
      <c r="F58" s="20"/>
      <c r="G58" s="20"/>
      <c r="H58" s="20"/>
      <c r="I58" s="20"/>
      <c r="J58" s="20"/>
      <c r="K58" s="20"/>
      <c r="L58" s="22">
        <f t="shared" si="4"/>
        <v>-221</v>
      </c>
      <c r="M58" s="38">
        <f t="shared" si="5"/>
        <v>1</v>
      </c>
      <c r="N58" s="22">
        <f t="shared" si="6"/>
        <v>48841</v>
      </c>
      <c r="O58" s="20"/>
      <c r="P58" s="22">
        <f t="shared" si="7"/>
        <v>-889</v>
      </c>
      <c r="Q58" s="38">
        <f t="shared" si="8"/>
        <v>1</v>
      </c>
      <c r="R58" s="22">
        <f t="shared" si="9"/>
        <v>790321</v>
      </c>
      <c r="S58" s="20"/>
      <c r="T58" s="22">
        <f t="shared" si="10"/>
        <v>-19</v>
      </c>
      <c r="U58" s="38">
        <f t="shared" si="11"/>
        <v>1</v>
      </c>
      <c r="V58" s="22">
        <f t="shared" si="12"/>
        <v>361</v>
      </c>
    </row>
    <row r="59">
      <c r="A59" s="2">
        <v>40625.0</v>
      </c>
      <c r="B59" s="5">
        <v>0.0</v>
      </c>
      <c r="C59" s="22">
        <f t="shared" si="2"/>
        <v>1</v>
      </c>
      <c r="D59" s="22">
        <f t="shared" si="3"/>
        <v>873</v>
      </c>
      <c r="E59" s="22">
        <f t="shared" si="1"/>
        <v>8</v>
      </c>
      <c r="F59" s="20"/>
      <c r="G59" s="20"/>
      <c r="H59" s="20"/>
      <c r="I59" s="20"/>
      <c r="J59" s="20"/>
      <c r="K59" s="20"/>
      <c r="L59" s="22">
        <f t="shared" si="4"/>
        <v>-1</v>
      </c>
      <c r="M59" s="38">
        <f t="shared" si="5"/>
        <v>1</v>
      </c>
      <c r="N59" s="22">
        <f t="shared" si="6"/>
        <v>1</v>
      </c>
      <c r="O59" s="20"/>
      <c r="P59" s="22">
        <f t="shared" si="7"/>
        <v>-873</v>
      </c>
      <c r="Q59" s="38">
        <f t="shared" si="8"/>
        <v>1</v>
      </c>
      <c r="R59" s="22">
        <f t="shared" si="9"/>
        <v>762129</v>
      </c>
      <c r="S59" s="20"/>
      <c r="T59" s="22">
        <f t="shared" si="10"/>
        <v>-8</v>
      </c>
      <c r="U59" s="38">
        <f t="shared" si="11"/>
        <v>1</v>
      </c>
      <c r="V59" s="22">
        <f t="shared" si="12"/>
        <v>64</v>
      </c>
    </row>
    <row r="60">
      <c r="A60" s="2">
        <v>40626.0</v>
      </c>
      <c r="B60" s="5">
        <v>2.0</v>
      </c>
      <c r="C60" s="22">
        <f t="shared" si="2"/>
        <v>1</v>
      </c>
      <c r="D60" s="22">
        <f t="shared" si="3"/>
        <v>858</v>
      </c>
      <c r="E60" s="22">
        <f t="shared" si="1"/>
        <v>3</v>
      </c>
      <c r="F60" s="20"/>
      <c r="G60" s="20"/>
      <c r="H60" s="20"/>
      <c r="I60" s="20"/>
      <c r="J60" s="20"/>
      <c r="K60" s="20"/>
      <c r="L60" s="22">
        <f t="shared" si="4"/>
        <v>1</v>
      </c>
      <c r="M60" s="38">
        <f t="shared" si="5"/>
        <v>0.5</v>
      </c>
      <c r="N60" s="22">
        <f t="shared" si="6"/>
        <v>1</v>
      </c>
      <c r="O60" s="20"/>
      <c r="P60" s="22">
        <f t="shared" si="7"/>
        <v>-856</v>
      </c>
      <c r="Q60" s="38">
        <f t="shared" si="8"/>
        <v>428</v>
      </c>
      <c r="R60" s="22">
        <f t="shared" si="9"/>
        <v>732736</v>
      </c>
      <c r="S60" s="20"/>
      <c r="T60" s="22">
        <f t="shared" si="10"/>
        <v>-1</v>
      </c>
      <c r="U60" s="38">
        <f t="shared" si="11"/>
        <v>0.5</v>
      </c>
      <c r="V60" s="22">
        <f t="shared" si="12"/>
        <v>1</v>
      </c>
    </row>
    <row r="61">
      <c r="A61" s="2">
        <v>40627.0</v>
      </c>
      <c r="B61" s="5">
        <v>2615.0</v>
      </c>
      <c r="C61" s="22">
        <f t="shared" si="2"/>
        <v>1</v>
      </c>
      <c r="D61" s="22">
        <f t="shared" si="3"/>
        <v>843</v>
      </c>
      <c r="E61" s="22">
        <f t="shared" si="1"/>
        <v>2</v>
      </c>
      <c r="F61" s="20"/>
      <c r="G61" s="20"/>
      <c r="H61" s="20"/>
      <c r="I61" s="20"/>
      <c r="J61" s="20"/>
      <c r="K61" s="20"/>
      <c r="L61" s="22">
        <f t="shared" si="4"/>
        <v>2614</v>
      </c>
      <c r="M61" s="38">
        <f t="shared" si="5"/>
        <v>0.9996175908</v>
      </c>
      <c r="N61" s="22">
        <f t="shared" si="6"/>
        <v>6832996</v>
      </c>
      <c r="O61" s="20"/>
      <c r="P61" s="22">
        <f t="shared" si="7"/>
        <v>1772</v>
      </c>
      <c r="Q61" s="38">
        <f t="shared" si="8"/>
        <v>0.6776290631</v>
      </c>
      <c r="R61" s="22">
        <f t="shared" si="9"/>
        <v>3139984</v>
      </c>
      <c r="S61" s="20"/>
      <c r="T61" s="22">
        <f t="shared" si="10"/>
        <v>2613</v>
      </c>
      <c r="U61" s="38">
        <f t="shared" si="11"/>
        <v>0.9992351816</v>
      </c>
      <c r="V61" s="22">
        <f t="shared" si="12"/>
        <v>6827769</v>
      </c>
    </row>
    <row r="62">
      <c r="A62" s="2">
        <v>40630.0</v>
      </c>
      <c r="B62" s="5">
        <v>4812.0</v>
      </c>
      <c r="C62" s="22">
        <f t="shared" si="2"/>
        <v>524</v>
      </c>
      <c r="D62" s="22">
        <f t="shared" si="3"/>
        <v>873</v>
      </c>
      <c r="E62" s="22">
        <f t="shared" si="1"/>
        <v>1570</v>
      </c>
      <c r="F62" s="20"/>
      <c r="G62" s="20"/>
      <c r="H62" s="20"/>
      <c r="I62" s="20"/>
      <c r="J62" s="20"/>
      <c r="K62" s="20"/>
      <c r="L62" s="22">
        <f t="shared" si="4"/>
        <v>4288</v>
      </c>
      <c r="M62" s="38">
        <f t="shared" si="5"/>
        <v>0.8911055694</v>
      </c>
      <c r="N62" s="22">
        <f t="shared" si="6"/>
        <v>18386944</v>
      </c>
      <c r="O62" s="20"/>
      <c r="P62" s="22">
        <f t="shared" si="7"/>
        <v>3939</v>
      </c>
      <c r="Q62" s="38">
        <f t="shared" si="8"/>
        <v>0.8185785536</v>
      </c>
      <c r="R62" s="22">
        <f t="shared" si="9"/>
        <v>15515721</v>
      </c>
      <c r="S62" s="20"/>
      <c r="T62" s="22">
        <f t="shared" si="10"/>
        <v>3242</v>
      </c>
      <c r="U62" s="38">
        <f t="shared" si="11"/>
        <v>0.6737323358</v>
      </c>
      <c r="V62" s="22">
        <f t="shared" si="12"/>
        <v>10510564</v>
      </c>
    </row>
    <row r="63">
      <c r="A63" s="2">
        <v>40631.0</v>
      </c>
      <c r="B63" s="5">
        <v>0.0</v>
      </c>
      <c r="C63" s="22">
        <f t="shared" si="2"/>
        <v>1486</v>
      </c>
      <c r="D63" s="22">
        <f t="shared" si="3"/>
        <v>939</v>
      </c>
      <c r="E63" s="22">
        <f t="shared" si="1"/>
        <v>3515</v>
      </c>
      <c r="F63" s="20"/>
      <c r="G63" s="20"/>
      <c r="H63" s="20"/>
      <c r="I63" s="20"/>
      <c r="J63" s="20"/>
      <c r="K63" s="20"/>
      <c r="L63" s="22">
        <f t="shared" si="4"/>
        <v>-1486</v>
      </c>
      <c r="M63" s="38">
        <f t="shared" si="5"/>
        <v>1</v>
      </c>
      <c r="N63" s="22">
        <f t="shared" si="6"/>
        <v>2208196</v>
      </c>
      <c r="O63" s="20"/>
      <c r="P63" s="22">
        <f t="shared" si="7"/>
        <v>-939</v>
      </c>
      <c r="Q63" s="38">
        <f t="shared" si="8"/>
        <v>1</v>
      </c>
      <c r="R63" s="22">
        <f t="shared" si="9"/>
        <v>881721</v>
      </c>
      <c r="S63" s="20"/>
      <c r="T63" s="22">
        <f t="shared" si="10"/>
        <v>-3515</v>
      </c>
      <c r="U63" s="38">
        <f t="shared" si="11"/>
        <v>1</v>
      </c>
      <c r="V63" s="22">
        <f t="shared" si="12"/>
        <v>12355225</v>
      </c>
    </row>
    <row r="64">
      <c r="A64" s="2">
        <v>40632.0</v>
      </c>
      <c r="B64" s="5">
        <v>168.0</v>
      </c>
      <c r="C64" s="22">
        <f t="shared" si="2"/>
        <v>1486</v>
      </c>
      <c r="D64" s="22">
        <f t="shared" si="3"/>
        <v>923</v>
      </c>
      <c r="E64" s="22">
        <f t="shared" si="1"/>
        <v>1406</v>
      </c>
      <c r="F64" s="20"/>
      <c r="G64" s="20"/>
      <c r="H64" s="20"/>
      <c r="I64" s="20"/>
      <c r="J64" s="20"/>
      <c r="K64" s="20"/>
      <c r="L64" s="22">
        <f t="shared" si="4"/>
        <v>-1318</v>
      </c>
      <c r="M64" s="38">
        <f t="shared" si="5"/>
        <v>7.845238095</v>
      </c>
      <c r="N64" s="22">
        <f t="shared" si="6"/>
        <v>1737124</v>
      </c>
      <c r="O64" s="20"/>
      <c r="P64" s="22">
        <f t="shared" si="7"/>
        <v>-755</v>
      </c>
      <c r="Q64" s="38">
        <f t="shared" si="8"/>
        <v>4.494047619</v>
      </c>
      <c r="R64" s="22">
        <f t="shared" si="9"/>
        <v>570025</v>
      </c>
      <c r="S64" s="20"/>
      <c r="T64" s="22">
        <f t="shared" si="10"/>
        <v>-1238</v>
      </c>
      <c r="U64" s="38">
        <f t="shared" si="11"/>
        <v>7.369047619</v>
      </c>
      <c r="V64" s="22">
        <f t="shared" si="12"/>
        <v>1532644</v>
      </c>
    </row>
    <row r="65">
      <c r="A65" s="2">
        <v>40633.0</v>
      </c>
      <c r="B65" s="5">
        <v>18.0</v>
      </c>
      <c r="C65" s="22">
        <f t="shared" si="2"/>
        <v>1519</v>
      </c>
      <c r="D65" s="22">
        <f t="shared" si="3"/>
        <v>911</v>
      </c>
      <c r="E65" s="22">
        <f t="shared" si="1"/>
        <v>663</v>
      </c>
      <c r="F65" s="20"/>
      <c r="G65" s="20"/>
      <c r="H65" s="20"/>
      <c r="I65" s="20"/>
      <c r="J65" s="20"/>
      <c r="K65" s="20"/>
      <c r="L65" s="22">
        <f t="shared" si="4"/>
        <v>-1501</v>
      </c>
      <c r="M65" s="38">
        <f t="shared" si="5"/>
        <v>83.38888889</v>
      </c>
      <c r="N65" s="22">
        <f t="shared" si="6"/>
        <v>2253001</v>
      </c>
      <c r="O65" s="20"/>
      <c r="P65" s="22">
        <f t="shared" si="7"/>
        <v>-893</v>
      </c>
      <c r="Q65" s="38">
        <f t="shared" si="8"/>
        <v>49.61111111</v>
      </c>
      <c r="R65" s="22">
        <f t="shared" si="9"/>
        <v>797449</v>
      </c>
      <c r="S65" s="20"/>
      <c r="T65" s="22">
        <f t="shared" si="10"/>
        <v>-645</v>
      </c>
      <c r="U65" s="38">
        <f t="shared" si="11"/>
        <v>35.83333333</v>
      </c>
      <c r="V65" s="22">
        <f t="shared" si="12"/>
        <v>416025</v>
      </c>
    </row>
    <row r="66">
      <c r="A66" s="2">
        <v>40634.0</v>
      </c>
      <c r="B66" s="5">
        <v>0.0</v>
      </c>
      <c r="C66" s="22">
        <f t="shared" si="2"/>
        <v>1523</v>
      </c>
      <c r="D66" s="22">
        <f t="shared" si="3"/>
        <v>897</v>
      </c>
      <c r="E66" s="22">
        <f t="shared" si="1"/>
        <v>276</v>
      </c>
      <c r="F66" s="20"/>
      <c r="G66" s="20"/>
      <c r="H66" s="20"/>
      <c r="I66" s="20"/>
      <c r="J66" s="20"/>
      <c r="K66" s="20"/>
      <c r="L66" s="22">
        <f t="shared" si="4"/>
        <v>-1523</v>
      </c>
      <c r="M66" s="38">
        <f t="shared" si="5"/>
        <v>1</v>
      </c>
      <c r="N66" s="22">
        <f t="shared" si="6"/>
        <v>2319529</v>
      </c>
      <c r="O66" s="20"/>
      <c r="P66" s="22">
        <f t="shared" si="7"/>
        <v>-897</v>
      </c>
      <c r="Q66" s="38">
        <f t="shared" si="8"/>
        <v>1</v>
      </c>
      <c r="R66" s="22">
        <f t="shared" si="9"/>
        <v>804609</v>
      </c>
      <c r="S66" s="20"/>
      <c r="T66" s="22">
        <f t="shared" si="10"/>
        <v>-276</v>
      </c>
      <c r="U66" s="38">
        <f t="shared" si="11"/>
        <v>1</v>
      </c>
      <c r="V66" s="22">
        <f t="shared" si="12"/>
        <v>76176</v>
      </c>
    </row>
    <row r="67">
      <c r="A67" s="2">
        <v>40637.0</v>
      </c>
      <c r="B67" s="5">
        <v>0.0</v>
      </c>
      <c r="C67" s="22">
        <f t="shared" si="2"/>
        <v>1000</v>
      </c>
      <c r="D67" s="22">
        <f t="shared" si="3"/>
        <v>883</v>
      </c>
      <c r="E67" s="22">
        <f t="shared" si="1"/>
        <v>110</v>
      </c>
      <c r="F67" s="20"/>
      <c r="G67" s="20"/>
      <c r="H67" s="20"/>
      <c r="I67" s="20"/>
      <c r="J67" s="20"/>
      <c r="K67" s="20"/>
      <c r="L67" s="22">
        <f t="shared" si="4"/>
        <v>-1000</v>
      </c>
      <c r="M67" s="38">
        <f t="shared" si="5"/>
        <v>1</v>
      </c>
      <c r="N67" s="22">
        <f t="shared" si="6"/>
        <v>1000000</v>
      </c>
      <c r="O67" s="20"/>
      <c r="P67" s="22">
        <f t="shared" si="7"/>
        <v>-883</v>
      </c>
      <c r="Q67" s="38">
        <f t="shared" si="8"/>
        <v>1</v>
      </c>
      <c r="R67" s="22">
        <f t="shared" si="9"/>
        <v>779689</v>
      </c>
      <c r="S67" s="20"/>
      <c r="T67" s="22">
        <f t="shared" si="10"/>
        <v>-110</v>
      </c>
      <c r="U67" s="38">
        <f t="shared" si="11"/>
        <v>1</v>
      </c>
      <c r="V67" s="22">
        <f t="shared" si="12"/>
        <v>12100</v>
      </c>
    </row>
    <row r="68">
      <c r="A68" s="2">
        <v>40638.0</v>
      </c>
      <c r="B68" s="5">
        <v>2.0</v>
      </c>
      <c r="C68" s="22">
        <f t="shared" si="2"/>
        <v>37</v>
      </c>
      <c r="D68" s="22">
        <f t="shared" si="3"/>
        <v>870</v>
      </c>
      <c r="E68" s="22">
        <f t="shared" si="1"/>
        <v>44</v>
      </c>
      <c r="F68" s="20"/>
      <c r="G68" s="20"/>
      <c r="H68" s="20"/>
      <c r="I68" s="20"/>
      <c r="J68" s="20"/>
      <c r="K68" s="20"/>
      <c r="L68" s="22">
        <f t="shared" si="4"/>
        <v>-35</v>
      </c>
      <c r="M68" s="38">
        <f t="shared" si="5"/>
        <v>17.5</v>
      </c>
      <c r="N68" s="22">
        <f t="shared" si="6"/>
        <v>1225</v>
      </c>
      <c r="O68" s="20"/>
      <c r="P68" s="22">
        <f t="shared" si="7"/>
        <v>-868</v>
      </c>
      <c r="Q68" s="38">
        <f t="shared" si="8"/>
        <v>434</v>
      </c>
      <c r="R68" s="22">
        <f t="shared" si="9"/>
        <v>753424</v>
      </c>
      <c r="S68" s="20"/>
      <c r="T68" s="22">
        <f t="shared" si="10"/>
        <v>-42</v>
      </c>
      <c r="U68" s="38">
        <f t="shared" si="11"/>
        <v>21</v>
      </c>
      <c r="V68" s="22">
        <f t="shared" si="12"/>
        <v>1764</v>
      </c>
    </row>
    <row r="69">
      <c r="A69" s="2">
        <v>40639.0</v>
      </c>
      <c r="B69" s="5">
        <v>5.0</v>
      </c>
      <c r="C69" s="22">
        <f t="shared" si="2"/>
        <v>38</v>
      </c>
      <c r="D69" s="22">
        <f t="shared" si="3"/>
        <v>856</v>
      </c>
      <c r="E69" s="22">
        <f t="shared" si="1"/>
        <v>19</v>
      </c>
      <c r="F69" s="20"/>
      <c r="G69" s="20"/>
      <c r="H69" s="20"/>
      <c r="I69" s="20"/>
      <c r="J69" s="20"/>
      <c r="K69" s="20"/>
      <c r="L69" s="22">
        <f t="shared" si="4"/>
        <v>-33</v>
      </c>
      <c r="M69" s="38">
        <f t="shared" si="5"/>
        <v>6.6</v>
      </c>
      <c r="N69" s="22">
        <f t="shared" si="6"/>
        <v>1089</v>
      </c>
      <c r="O69" s="20"/>
      <c r="P69" s="22">
        <f t="shared" si="7"/>
        <v>-851</v>
      </c>
      <c r="Q69" s="38">
        <f t="shared" si="8"/>
        <v>170.2</v>
      </c>
      <c r="R69" s="22">
        <f t="shared" si="9"/>
        <v>724201</v>
      </c>
      <c r="S69" s="20"/>
      <c r="T69" s="22">
        <f t="shared" si="10"/>
        <v>-14</v>
      </c>
      <c r="U69" s="38">
        <f t="shared" si="11"/>
        <v>2.8</v>
      </c>
      <c r="V69" s="22">
        <f t="shared" si="12"/>
        <v>196</v>
      </c>
    </row>
    <row r="70">
      <c r="A70" s="2">
        <v>40640.0</v>
      </c>
      <c r="B70" s="5">
        <v>2.0</v>
      </c>
      <c r="C70" s="22">
        <f t="shared" si="2"/>
        <v>5</v>
      </c>
      <c r="D70" s="22">
        <f t="shared" si="3"/>
        <v>844</v>
      </c>
      <c r="E70" s="22">
        <f t="shared" si="1"/>
        <v>11</v>
      </c>
      <c r="F70" s="20"/>
      <c r="G70" s="20"/>
      <c r="H70" s="20"/>
      <c r="I70" s="20"/>
      <c r="J70" s="20"/>
      <c r="K70" s="20"/>
      <c r="L70" s="22">
        <f t="shared" si="4"/>
        <v>-3</v>
      </c>
      <c r="M70" s="38">
        <f t="shared" si="5"/>
        <v>1.5</v>
      </c>
      <c r="N70" s="22">
        <f t="shared" si="6"/>
        <v>9</v>
      </c>
      <c r="O70" s="20"/>
      <c r="P70" s="22">
        <f t="shared" si="7"/>
        <v>-842</v>
      </c>
      <c r="Q70" s="38">
        <f t="shared" si="8"/>
        <v>421</v>
      </c>
      <c r="R70" s="22">
        <f t="shared" si="9"/>
        <v>708964</v>
      </c>
      <c r="S70" s="20"/>
      <c r="T70" s="22">
        <f t="shared" si="10"/>
        <v>-9</v>
      </c>
      <c r="U70" s="38">
        <f t="shared" si="11"/>
        <v>4.5</v>
      </c>
      <c r="V70" s="22">
        <f t="shared" si="12"/>
        <v>81</v>
      </c>
    </row>
    <row r="71">
      <c r="A71" s="2">
        <v>40641.0</v>
      </c>
      <c r="B71" s="5">
        <v>0.0</v>
      </c>
      <c r="C71" s="22">
        <f t="shared" si="2"/>
        <v>2</v>
      </c>
      <c r="D71" s="22">
        <f t="shared" si="3"/>
        <v>831</v>
      </c>
      <c r="E71" s="22">
        <f t="shared" si="1"/>
        <v>6</v>
      </c>
      <c r="F71" s="20"/>
      <c r="G71" s="20"/>
      <c r="H71" s="20"/>
      <c r="I71" s="20"/>
      <c r="J71" s="20"/>
      <c r="K71" s="20"/>
      <c r="L71" s="22">
        <f t="shared" si="4"/>
        <v>-2</v>
      </c>
      <c r="M71" s="38">
        <f t="shared" si="5"/>
        <v>1</v>
      </c>
      <c r="N71" s="22">
        <f t="shared" si="6"/>
        <v>4</v>
      </c>
      <c r="O71" s="20"/>
      <c r="P71" s="22">
        <f t="shared" si="7"/>
        <v>-831</v>
      </c>
      <c r="Q71" s="38">
        <f t="shared" si="8"/>
        <v>1</v>
      </c>
      <c r="R71" s="22">
        <f t="shared" si="9"/>
        <v>690561</v>
      </c>
      <c r="S71" s="20"/>
      <c r="T71" s="22">
        <f t="shared" si="10"/>
        <v>-6</v>
      </c>
      <c r="U71" s="38">
        <f t="shared" si="11"/>
        <v>1</v>
      </c>
      <c r="V71" s="22">
        <f t="shared" si="12"/>
        <v>36</v>
      </c>
    </row>
    <row r="72">
      <c r="A72" s="2">
        <v>40644.0</v>
      </c>
      <c r="B72" s="5">
        <v>4932.0</v>
      </c>
      <c r="C72" s="22">
        <f t="shared" si="2"/>
        <v>2</v>
      </c>
      <c r="D72" s="22">
        <f t="shared" si="3"/>
        <v>819</v>
      </c>
      <c r="E72" s="22">
        <f t="shared" si="1"/>
        <v>2</v>
      </c>
      <c r="F72" s="20"/>
      <c r="G72" s="20"/>
      <c r="H72" s="20"/>
      <c r="I72" s="20"/>
      <c r="J72" s="20"/>
      <c r="K72" s="20"/>
      <c r="L72" s="22">
        <f t="shared" si="4"/>
        <v>4930</v>
      </c>
      <c r="M72" s="38">
        <f t="shared" si="5"/>
        <v>0.999594485</v>
      </c>
      <c r="N72" s="22">
        <f t="shared" si="6"/>
        <v>24304900</v>
      </c>
      <c r="O72" s="20"/>
      <c r="P72" s="22">
        <f t="shared" si="7"/>
        <v>4113</v>
      </c>
      <c r="Q72" s="38">
        <f t="shared" si="8"/>
        <v>0.8339416058</v>
      </c>
      <c r="R72" s="22">
        <f t="shared" si="9"/>
        <v>16916769</v>
      </c>
      <c r="S72" s="20"/>
      <c r="T72" s="22">
        <f t="shared" si="10"/>
        <v>4930</v>
      </c>
      <c r="U72" s="38">
        <f t="shared" si="11"/>
        <v>0.999594485</v>
      </c>
      <c r="V72" s="22">
        <f t="shared" si="12"/>
        <v>24304900</v>
      </c>
    </row>
    <row r="73">
      <c r="A73" s="2">
        <v>40645.0</v>
      </c>
      <c r="B73" s="5">
        <v>11534.0</v>
      </c>
      <c r="C73" s="22">
        <f t="shared" si="2"/>
        <v>988</v>
      </c>
      <c r="D73" s="22">
        <f t="shared" si="3"/>
        <v>878</v>
      </c>
      <c r="E73" s="22">
        <f t="shared" si="1"/>
        <v>2960</v>
      </c>
      <c r="F73" s="20"/>
      <c r="G73" s="20"/>
      <c r="H73" s="20"/>
      <c r="I73" s="20"/>
      <c r="J73" s="20"/>
      <c r="K73" s="20"/>
      <c r="L73" s="22">
        <f t="shared" si="4"/>
        <v>10546</v>
      </c>
      <c r="M73" s="38">
        <f t="shared" si="5"/>
        <v>0.9143402115</v>
      </c>
      <c r="N73" s="22">
        <f t="shared" si="6"/>
        <v>111218116</v>
      </c>
      <c r="O73" s="20"/>
      <c r="P73" s="22">
        <f t="shared" si="7"/>
        <v>10656</v>
      </c>
      <c r="Q73" s="38">
        <f t="shared" si="8"/>
        <v>0.9238772325</v>
      </c>
      <c r="R73" s="22">
        <f t="shared" si="9"/>
        <v>113550336</v>
      </c>
      <c r="S73" s="20"/>
      <c r="T73" s="22">
        <f t="shared" si="10"/>
        <v>8574</v>
      </c>
      <c r="U73" s="38">
        <f t="shared" si="11"/>
        <v>0.7433674354</v>
      </c>
      <c r="V73" s="22">
        <f t="shared" si="12"/>
        <v>73513476</v>
      </c>
    </row>
    <row r="74">
      <c r="A74" s="2">
        <v>40646.0</v>
      </c>
      <c r="B74" s="5">
        <v>2357.0</v>
      </c>
      <c r="C74" s="22">
        <f t="shared" si="2"/>
        <v>3295</v>
      </c>
      <c r="D74" s="22">
        <f t="shared" si="3"/>
        <v>1028</v>
      </c>
      <c r="E74" s="22">
        <f t="shared" si="1"/>
        <v>8104</v>
      </c>
      <c r="F74" s="20"/>
      <c r="G74" s="20"/>
      <c r="H74" s="20"/>
      <c r="I74" s="20"/>
      <c r="J74" s="20"/>
      <c r="K74" s="20"/>
      <c r="L74" s="22">
        <f t="shared" si="4"/>
        <v>-938</v>
      </c>
      <c r="M74" s="38">
        <f t="shared" si="5"/>
        <v>0.3979635129</v>
      </c>
      <c r="N74" s="22">
        <f t="shared" si="6"/>
        <v>879844</v>
      </c>
      <c r="O74" s="20"/>
      <c r="P74" s="22">
        <f t="shared" si="7"/>
        <v>1329</v>
      </c>
      <c r="Q74" s="38">
        <f t="shared" si="8"/>
        <v>0.5638523547</v>
      </c>
      <c r="R74" s="22">
        <f t="shared" si="9"/>
        <v>1766241</v>
      </c>
      <c r="S74" s="20"/>
      <c r="T74" s="22">
        <f t="shared" si="10"/>
        <v>-5747</v>
      </c>
      <c r="U74" s="38">
        <f t="shared" si="11"/>
        <v>2.438268986</v>
      </c>
      <c r="V74" s="22">
        <f t="shared" si="12"/>
        <v>33028009</v>
      </c>
    </row>
    <row r="75">
      <c r="A75" s="2">
        <v>40647.0</v>
      </c>
      <c r="B75" s="5">
        <v>310.0</v>
      </c>
      <c r="C75" s="22">
        <f t="shared" si="2"/>
        <v>3765</v>
      </c>
      <c r="D75" s="22">
        <f t="shared" si="3"/>
        <v>1047</v>
      </c>
      <c r="E75" s="22">
        <f t="shared" si="1"/>
        <v>4656</v>
      </c>
      <c r="F75" s="20"/>
      <c r="G75" s="20"/>
      <c r="H75" s="20"/>
      <c r="I75" s="20"/>
      <c r="J75" s="20"/>
      <c r="K75" s="20"/>
      <c r="L75" s="22">
        <f t="shared" si="4"/>
        <v>-3455</v>
      </c>
      <c r="M75" s="38">
        <f t="shared" si="5"/>
        <v>11.14516129</v>
      </c>
      <c r="N75" s="22">
        <f t="shared" si="6"/>
        <v>11937025</v>
      </c>
      <c r="O75" s="20"/>
      <c r="P75" s="22">
        <f t="shared" si="7"/>
        <v>-737</v>
      </c>
      <c r="Q75" s="38">
        <f t="shared" si="8"/>
        <v>2.377419355</v>
      </c>
      <c r="R75" s="22">
        <f t="shared" si="9"/>
        <v>543169</v>
      </c>
      <c r="S75" s="20"/>
      <c r="T75" s="22">
        <f t="shared" si="10"/>
        <v>-4346</v>
      </c>
      <c r="U75" s="38">
        <f t="shared" si="11"/>
        <v>14.01935484</v>
      </c>
      <c r="V75" s="22">
        <f t="shared" si="12"/>
        <v>18887716</v>
      </c>
    </row>
    <row r="76">
      <c r="A76" s="2">
        <v>40648.0</v>
      </c>
      <c r="B76" s="5">
        <v>186.0</v>
      </c>
      <c r="C76" s="22">
        <f t="shared" si="2"/>
        <v>3827</v>
      </c>
      <c r="D76" s="22">
        <f t="shared" si="3"/>
        <v>1036</v>
      </c>
      <c r="E76" s="22">
        <f t="shared" si="1"/>
        <v>2048</v>
      </c>
      <c r="F76" s="20"/>
      <c r="G76" s="20"/>
      <c r="H76" s="20"/>
      <c r="I76" s="20"/>
      <c r="J76" s="20"/>
      <c r="K76" s="20"/>
      <c r="L76" s="22">
        <f t="shared" si="4"/>
        <v>-3641</v>
      </c>
      <c r="M76" s="38">
        <f t="shared" si="5"/>
        <v>19.57526882</v>
      </c>
      <c r="N76" s="22">
        <f t="shared" si="6"/>
        <v>13256881</v>
      </c>
      <c r="O76" s="20"/>
      <c r="P76" s="22">
        <f t="shared" si="7"/>
        <v>-850</v>
      </c>
      <c r="Q76" s="38">
        <f t="shared" si="8"/>
        <v>4.569892473</v>
      </c>
      <c r="R76" s="22">
        <f t="shared" si="9"/>
        <v>722500</v>
      </c>
      <c r="S76" s="20"/>
      <c r="T76" s="22">
        <f t="shared" si="10"/>
        <v>-1862</v>
      </c>
      <c r="U76" s="38">
        <f t="shared" si="11"/>
        <v>10.01075269</v>
      </c>
      <c r="V76" s="22">
        <f t="shared" si="12"/>
        <v>3467044</v>
      </c>
    </row>
    <row r="77">
      <c r="A77" s="2">
        <v>40651.0</v>
      </c>
      <c r="B77" s="5">
        <v>517.0</v>
      </c>
      <c r="C77" s="22">
        <f t="shared" si="2"/>
        <v>3864</v>
      </c>
      <c r="D77" s="22">
        <f t="shared" si="3"/>
        <v>1025</v>
      </c>
      <c r="E77" s="22">
        <f t="shared" si="1"/>
        <v>931</v>
      </c>
      <c r="F77" s="20"/>
      <c r="G77" s="20"/>
      <c r="H77" s="20"/>
      <c r="I77" s="20"/>
      <c r="J77" s="20"/>
      <c r="K77" s="20"/>
      <c r="L77" s="22">
        <f t="shared" si="4"/>
        <v>-3347</v>
      </c>
      <c r="M77" s="38">
        <f t="shared" si="5"/>
        <v>6.473887814</v>
      </c>
      <c r="N77" s="22">
        <f t="shared" si="6"/>
        <v>11202409</v>
      </c>
      <c r="O77" s="20"/>
      <c r="P77" s="22">
        <f t="shared" si="7"/>
        <v>-508</v>
      </c>
      <c r="Q77" s="38">
        <f t="shared" si="8"/>
        <v>0.9825918762</v>
      </c>
      <c r="R77" s="22">
        <f t="shared" si="9"/>
        <v>258064</v>
      </c>
      <c r="S77" s="20"/>
      <c r="T77" s="22">
        <f t="shared" si="10"/>
        <v>-414</v>
      </c>
      <c r="U77" s="38">
        <f t="shared" si="11"/>
        <v>0.8007736944</v>
      </c>
      <c r="V77" s="22">
        <f t="shared" si="12"/>
        <v>171396</v>
      </c>
    </row>
    <row r="78">
      <c r="A78" s="2">
        <v>40652.0</v>
      </c>
      <c r="B78" s="5">
        <v>648.0</v>
      </c>
      <c r="C78" s="22">
        <f t="shared" si="2"/>
        <v>2981</v>
      </c>
      <c r="D78" s="22">
        <f t="shared" si="3"/>
        <v>1018</v>
      </c>
      <c r="E78" s="22">
        <f t="shared" si="1"/>
        <v>683</v>
      </c>
      <c r="F78" s="20"/>
      <c r="G78" s="20"/>
      <c r="H78" s="20"/>
      <c r="I78" s="20"/>
      <c r="J78" s="20"/>
      <c r="K78" s="20"/>
      <c r="L78" s="22">
        <f t="shared" si="4"/>
        <v>-2333</v>
      </c>
      <c r="M78" s="38">
        <f t="shared" si="5"/>
        <v>3.600308642</v>
      </c>
      <c r="N78" s="22">
        <f t="shared" si="6"/>
        <v>5442889</v>
      </c>
      <c r="O78" s="20"/>
      <c r="P78" s="22">
        <f t="shared" si="7"/>
        <v>-370</v>
      </c>
      <c r="Q78" s="38">
        <f t="shared" si="8"/>
        <v>0.5709876543</v>
      </c>
      <c r="R78" s="22">
        <f t="shared" si="9"/>
        <v>136900</v>
      </c>
      <c r="S78" s="20"/>
      <c r="T78" s="22">
        <f t="shared" si="10"/>
        <v>-35</v>
      </c>
      <c r="U78" s="38">
        <f t="shared" si="11"/>
        <v>0.05401234568</v>
      </c>
      <c r="V78" s="22">
        <f t="shared" si="12"/>
        <v>1225</v>
      </c>
    </row>
    <row r="79">
      <c r="A79" s="2">
        <v>40653.0</v>
      </c>
      <c r="B79" s="5">
        <v>5226.0</v>
      </c>
      <c r="C79" s="22">
        <f t="shared" si="2"/>
        <v>804</v>
      </c>
      <c r="D79" s="22">
        <f t="shared" si="3"/>
        <v>1013</v>
      </c>
      <c r="E79" s="22">
        <f t="shared" si="1"/>
        <v>662</v>
      </c>
      <c r="F79" s="20"/>
      <c r="G79" s="20"/>
      <c r="H79" s="20"/>
      <c r="I79" s="20"/>
      <c r="J79" s="20"/>
      <c r="K79" s="20"/>
      <c r="L79" s="22">
        <f t="shared" si="4"/>
        <v>4422</v>
      </c>
      <c r="M79" s="38">
        <f t="shared" si="5"/>
        <v>0.8461538462</v>
      </c>
      <c r="N79" s="22">
        <f t="shared" si="6"/>
        <v>19554084</v>
      </c>
      <c r="O79" s="20"/>
      <c r="P79" s="22">
        <f t="shared" si="7"/>
        <v>4213</v>
      </c>
      <c r="Q79" s="38">
        <f t="shared" si="8"/>
        <v>0.8061615002</v>
      </c>
      <c r="R79" s="22">
        <f t="shared" si="9"/>
        <v>17749369</v>
      </c>
      <c r="S79" s="20"/>
      <c r="T79" s="22">
        <f t="shared" si="10"/>
        <v>4564</v>
      </c>
      <c r="U79" s="38">
        <f t="shared" si="11"/>
        <v>0.8733256793</v>
      </c>
      <c r="V79" s="22">
        <f t="shared" si="12"/>
        <v>20830096</v>
      </c>
    </row>
    <row r="80">
      <c r="A80" s="2">
        <v>40654.0</v>
      </c>
      <c r="B80" s="5">
        <v>306.0</v>
      </c>
      <c r="C80" s="22">
        <f t="shared" si="2"/>
        <v>1377</v>
      </c>
      <c r="D80" s="22">
        <f t="shared" si="3"/>
        <v>1068</v>
      </c>
      <c r="E80" s="22">
        <f t="shared" si="1"/>
        <v>3400</v>
      </c>
      <c r="F80" s="20"/>
      <c r="G80" s="20"/>
      <c r="H80" s="20"/>
      <c r="I80" s="20"/>
      <c r="J80" s="20"/>
      <c r="K80" s="20"/>
      <c r="L80" s="22">
        <f t="shared" si="4"/>
        <v>-1071</v>
      </c>
      <c r="M80" s="38">
        <f t="shared" si="5"/>
        <v>3.5</v>
      </c>
      <c r="N80" s="22">
        <f t="shared" si="6"/>
        <v>1147041</v>
      </c>
      <c r="O80" s="20"/>
      <c r="P80" s="22">
        <f t="shared" si="7"/>
        <v>-762</v>
      </c>
      <c r="Q80" s="38">
        <f t="shared" si="8"/>
        <v>2.490196078</v>
      </c>
      <c r="R80" s="22">
        <f t="shared" si="9"/>
        <v>580644</v>
      </c>
      <c r="S80" s="20"/>
      <c r="T80" s="22">
        <f t="shared" si="10"/>
        <v>-3094</v>
      </c>
      <c r="U80" s="38">
        <f t="shared" si="11"/>
        <v>10.11111111</v>
      </c>
      <c r="V80" s="22">
        <f t="shared" si="12"/>
        <v>9572836</v>
      </c>
    </row>
    <row r="81">
      <c r="A81" s="2">
        <v>40655.0</v>
      </c>
      <c r="B81" s="5">
        <v>54.0</v>
      </c>
      <c r="C81" s="22">
        <f t="shared" si="2"/>
        <v>1377</v>
      </c>
      <c r="D81" s="22">
        <f t="shared" si="3"/>
        <v>1058</v>
      </c>
      <c r="E81" s="22">
        <f t="shared" si="1"/>
        <v>1544</v>
      </c>
      <c r="F81" s="20"/>
      <c r="G81" s="20"/>
      <c r="H81" s="20"/>
      <c r="I81" s="20"/>
      <c r="J81" s="20"/>
      <c r="K81" s="20"/>
      <c r="L81" s="22">
        <f t="shared" si="4"/>
        <v>-1323</v>
      </c>
      <c r="M81" s="38">
        <f t="shared" si="5"/>
        <v>24.5</v>
      </c>
      <c r="N81" s="22">
        <f t="shared" si="6"/>
        <v>1750329</v>
      </c>
      <c r="O81" s="20"/>
      <c r="P81" s="22">
        <f t="shared" si="7"/>
        <v>-1004</v>
      </c>
      <c r="Q81" s="38">
        <f t="shared" si="8"/>
        <v>18.59259259</v>
      </c>
      <c r="R81" s="22">
        <f t="shared" si="9"/>
        <v>1008016</v>
      </c>
      <c r="S81" s="20"/>
      <c r="T81" s="22">
        <f t="shared" si="10"/>
        <v>-1490</v>
      </c>
      <c r="U81" s="38">
        <f t="shared" si="11"/>
        <v>27.59259259</v>
      </c>
      <c r="V81" s="22">
        <f t="shared" si="12"/>
        <v>2220100</v>
      </c>
    </row>
    <row r="82">
      <c r="A82" s="2">
        <v>40658.0</v>
      </c>
      <c r="B82" s="5">
        <v>294.0</v>
      </c>
      <c r="C82" s="22">
        <f t="shared" si="2"/>
        <v>1350</v>
      </c>
      <c r="D82" s="22">
        <f t="shared" si="3"/>
        <v>1046</v>
      </c>
      <c r="E82" s="22">
        <f t="shared" si="1"/>
        <v>650</v>
      </c>
      <c r="F82" s="20"/>
      <c r="G82" s="20"/>
      <c r="H82" s="20"/>
      <c r="I82" s="20"/>
      <c r="J82" s="20"/>
      <c r="K82" s="20"/>
      <c r="L82" s="22">
        <f t="shared" si="4"/>
        <v>-1056</v>
      </c>
      <c r="M82" s="38">
        <f t="shared" si="5"/>
        <v>3.591836735</v>
      </c>
      <c r="N82" s="22">
        <f t="shared" si="6"/>
        <v>1115136</v>
      </c>
      <c r="O82" s="20"/>
      <c r="P82" s="22">
        <f t="shared" si="7"/>
        <v>-752</v>
      </c>
      <c r="Q82" s="38">
        <f t="shared" si="8"/>
        <v>2.557823129</v>
      </c>
      <c r="R82" s="22">
        <f t="shared" si="9"/>
        <v>565504</v>
      </c>
      <c r="S82" s="20"/>
      <c r="T82" s="22">
        <f t="shared" si="10"/>
        <v>-356</v>
      </c>
      <c r="U82" s="38">
        <f t="shared" si="11"/>
        <v>1.210884354</v>
      </c>
      <c r="V82" s="22">
        <f t="shared" si="12"/>
        <v>126736</v>
      </c>
    </row>
    <row r="83">
      <c r="A83" s="2">
        <v>40659.0</v>
      </c>
      <c r="B83" s="5">
        <v>2448.0</v>
      </c>
      <c r="C83" s="22">
        <f t="shared" si="2"/>
        <v>1306</v>
      </c>
      <c r="D83" s="22">
        <f t="shared" si="3"/>
        <v>1036</v>
      </c>
      <c r="E83" s="22">
        <f t="shared" si="1"/>
        <v>436</v>
      </c>
      <c r="F83" s="20"/>
      <c r="G83" s="20"/>
      <c r="H83" s="20"/>
      <c r="I83" s="20"/>
      <c r="J83" s="20"/>
      <c r="K83" s="20"/>
      <c r="L83" s="22">
        <f t="shared" si="4"/>
        <v>1142</v>
      </c>
      <c r="M83" s="38">
        <f t="shared" si="5"/>
        <v>0.466503268</v>
      </c>
      <c r="N83" s="22">
        <f t="shared" si="6"/>
        <v>1304164</v>
      </c>
      <c r="O83" s="20"/>
      <c r="P83" s="22">
        <f t="shared" si="7"/>
        <v>1412</v>
      </c>
      <c r="Q83" s="38">
        <f t="shared" si="8"/>
        <v>0.5767973856</v>
      </c>
      <c r="R83" s="22">
        <f t="shared" si="9"/>
        <v>1993744</v>
      </c>
      <c r="S83" s="20"/>
      <c r="T83" s="22">
        <f t="shared" si="10"/>
        <v>2012</v>
      </c>
      <c r="U83" s="38">
        <f t="shared" si="11"/>
        <v>0.8218954248</v>
      </c>
      <c r="V83" s="22">
        <f t="shared" si="12"/>
        <v>4048144</v>
      </c>
    </row>
    <row r="84">
      <c r="A84" s="2">
        <v>40660.0</v>
      </c>
      <c r="B84" s="5">
        <v>9966.0</v>
      </c>
      <c r="C84" s="22">
        <f t="shared" si="2"/>
        <v>1666</v>
      </c>
      <c r="D84" s="22">
        <f t="shared" si="3"/>
        <v>1054</v>
      </c>
      <c r="E84" s="22">
        <f t="shared" si="1"/>
        <v>1643</v>
      </c>
      <c r="F84" s="20"/>
      <c r="G84" s="20"/>
      <c r="H84" s="20"/>
      <c r="I84" s="20"/>
      <c r="J84" s="20"/>
      <c r="K84" s="20"/>
      <c r="L84" s="22">
        <f t="shared" si="4"/>
        <v>8300</v>
      </c>
      <c r="M84" s="38">
        <f t="shared" si="5"/>
        <v>0.8328316275</v>
      </c>
      <c r="N84" s="22">
        <f t="shared" si="6"/>
        <v>68890000</v>
      </c>
      <c r="O84" s="20"/>
      <c r="P84" s="22">
        <f t="shared" si="7"/>
        <v>8912</v>
      </c>
      <c r="Q84" s="38">
        <f t="shared" si="8"/>
        <v>0.8942404174</v>
      </c>
      <c r="R84" s="22">
        <f t="shared" si="9"/>
        <v>79423744</v>
      </c>
      <c r="S84" s="20"/>
      <c r="T84" s="22">
        <f t="shared" si="10"/>
        <v>8323</v>
      </c>
      <c r="U84" s="38">
        <f t="shared" si="11"/>
        <v>0.8351394742</v>
      </c>
      <c r="V84" s="22">
        <f t="shared" si="12"/>
        <v>69272329</v>
      </c>
    </row>
    <row r="85">
      <c r="A85" s="2">
        <v>40661.0</v>
      </c>
      <c r="B85" s="5">
        <v>312.0</v>
      </c>
      <c r="C85" s="22">
        <f t="shared" si="2"/>
        <v>2614</v>
      </c>
      <c r="D85" s="22">
        <f t="shared" si="3"/>
        <v>1162</v>
      </c>
      <c r="E85" s="22">
        <f t="shared" si="1"/>
        <v>6637</v>
      </c>
      <c r="F85" s="20"/>
      <c r="G85" s="20"/>
      <c r="H85" s="20"/>
      <c r="I85" s="20"/>
      <c r="J85" s="20"/>
      <c r="K85" s="20"/>
      <c r="L85" s="22">
        <f t="shared" si="4"/>
        <v>-2302</v>
      </c>
      <c r="M85" s="38">
        <f t="shared" si="5"/>
        <v>7.378205128</v>
      </c>
      <c r="N85" s="22">
        <f t="shared" si="6"/>
        <v>5299204</v>
      </c>
      <c r="O85" s="20"/>
      <c r="P85" s="22">
        <f t="shared" si="7"/>
        <v>-850</v>
      </c>
      <c r="Q85" s="38">
        <f t="shared" si="8"/>
        <v>2.724358974</v>
      </c>
      <c r="R85" s="22">
        <f t="shared" si="9"/>
        <v>722500</v>
      </c>
      <c r="S85" s="20"/>
      <c r="T85" s="22">
        <f t="shared" si="10"/>
        <v>-6325</v>
      </c>
      <c r="U85" s="38">
        <f t="shared" si="11"/>
        <v>20.2724359</v>
      </c>
      <c r="V85" s="22">
        <f t="shared" si="12"/>
        <v>40005625</v>
      </c>
    </row>
    <row r="86">
      <c r="A86" s="2">
        <v>40662.0</v>
      </c>
      <c r="B86" s="5">
        <v>42.0</v>
      </c>
      <c r="C86" s="22">
        <f t="shared" si="2"/>
        <v>2615</v>
      </c>
      <c r="D86" s="22">
        <f t="shared" si="3"/>
        <v>1152</v>
      </c>
      <c r="E86" s="22">
        <f t="shared" si="1"/>
        <v>2842</v>
      </c>
      <c r="F86" s="20"/>
      <c r="G86" s="20"/>
      <c r="H86" s="20"/>
      <c r="I86" s="20"/>
      <c r="J86" s="20"/>
      <c r="K86" s="20"/>
      <c r="L86" s="22">
        <f t="shared" si="4"/>
        <v>-2573</v>
      </c>
      <c r="M86" s="38">
        <f t="shared" si="5"/>
        <v>61.26190476</v>
      </c>
      <c r="N86" s="22">
        <f t="shared" si="6"/>
        <v>6620329</v>
      </c>
      <c r="O86" s="20"/>
      <c r="P86" s="22">
        <f t="shared" si="7"/>
        <v>-1110</v>
      </c>
      <c r="Q86" s="38">
        <f t="shared" si="8"/>
        <v>26.42857143</v>
      </c>
      <c r="R86" s="22">
        <f t="shared" si="9"/>
        <v>1232100</v>
      </c>
      <c r="S86" s="20"/>
      <c r="T86" s="22">
        <f t="shared" si="10"/>
        <v>-2800</v>
      </c>
      <c r="U86" s="38">
        <f t="shared" si="11"/>
        <v>66.66666667</v>
      </c>
      <c r="V86" s="22">
        <f t="shared" si="12"/>
        <v>7840000</v>
      </c>
    </row>
    <row r="87">
      <c r="A87" s="4">
        <v>40665.0</v>
      </c>
      <c r="B87" s="5">
        <v>456.0</v>
      </c>
      <c r="C87" s="22">
        <f t="shared" si="2"/>
        <v>2612</v>
      </c>
      <c r="D87" s="22">
        <f t="shared" si="3"/>
        <v>1139</v>
      </c>
      <c r="E87" s="22">
        <f t="shared" si="1"/>
        <v>1162</v>
      </c>
      <c r="F87" s="20"/>
      <c r="G87" s="20"/>
      <c r="H87" s="20"/>
      <c r="I87" s="20"/>
      <c r="J87" s="20"/>
      <c r="K87" s="20"/>
      <c r="L87" s="22">
        <f t="shared" si="4"/>
        <v>-2156</v>
      </c>
      <c r="M87" s="38">
        <f t="shared" si="5"/>
        <v>4.728070175</v>
      </c>
      <c r="N87" s="22">
        <f t="shared" si="6"/>
        <v>4648336</v>
      </c>
      <c r="O87" s="20"/>
      <c r="P87" s="22">
        <f t="shared" si="7"/>
        <v>-683</v>
      </c>
      <c r="Q87" s="38">
        <f t="shared" si="8"/>
        <v>1.497807018</v>
      </c>
      <c r="R87" s="22">
        <f t="shared" si="9"/>
        <v>466489</v>
      </c>
      <c r="S87" s="20"/>
      <c r="T87" s="22">
        <f t="shared" si="10"/>
        <v>-706</v>
      </c>
      <c r="U87" s="38">
        <f t="shared" si="11"/>
        <v>1.548245614</v>
      </c>
      <c r="V87" s="22">
        <f t="shared" si="12"/>
        <v>498436</v>
      </c>
    </row>
    <row r="88">
      <c r="A88" s="4">
        <v>40666.0</v>
      </c>
      <c r="B88" s="5">
        <v>168.0</v>
      </c>
      <c r="C88" s="22">
        <f t="shared" si="2"/>
        <v>2645</v>
      </c>
      <c r="D88" s="22">
        <f t="shared" si="3"/>
        <v>1131</v>
      </c>
      <c r="E88" s="22">
        <f t="shared" si="1"/>
        <v>738</v>
      </c>
      <c r="F88" s="20"/>
      <c r="G88" s="20"/>
      <c r="H88" s="20"/>
      <c r="I88" s="20"/>
      <c r="J88" s="20"/>
      <c r="K88" s="20"/>
      <c r="L88" s="22">
        <f t="shared" si="4"/>
        <v>-2477</v>
      </c>
      <c r="M88" s="38">
        <f t="shared" si="5"/>
        <v>14.74404762</v>
      </c>
      <c r="N88" s="22">
        <f t="shared" si="6"/>
        <v>6135529</v>
      </c>
      <c r="O88" s="20"/>
      <c r="P88" s="22">
        <f t="shared" si="7"/>
        <v>-963</v>
      </c>
      <c r="Q88" s="38">
        <f t="shared" si="8"/>
        <v>5.732142857</v>
      </c>
      <c r="R88" s="22">
        <f t="shared" si="9"/>
        <v>927369</v>
      </c>
      <c r="S88" s="20"/>
      <c r="T88" s="22">
        <f t="shared" si="10"/>
        <v>-570</v>
      </c>
      <c r="U88" s="38">
        <f t="shared" si="11"/>
        <v>3.392857143</v>
      </c>
      <c r="V88" s="22">
        <f t="shared" si="12"/>
        <v>324900</v>
      </c>
    </row>
    <row r="89">
      <c r="A89" s="4">
        <v>40667.0</v>
      </c>
      <c r="B89" s="5">
        <v>102.0</v>
      </c>
      <c r="C89" s="22">
        <f t="shared" si="2"/>
        <v>2189</v>
      </c>
      <c r="D89" s="22">
        <f t="shared" si="3"/>
        <v>1120</v>
      </c>
      <c r="E89" s="22">
        <f t="shared" si="1"/>
        <v>396</v>
      </c>
      <c r="F89" s="20"/>
      <c r="G89" s="20"/>
      <c r="H89" s="20"/>
      <c r="I89" s="20"/>
      <c r="J89" s="20"/>
      <c r="K89" s="20"/>
      <c r="L89" s="22">
        <f t="shared" si="4"/>
        <v>-2087</v>
      </c>
      <c r="M89" s="38">
        <f t="shared" si="5"/>
        <v>20.46078431</v>
      </c>
      <c r="N89" s="22">
        <f t="shared" si="6"/>
        <v>4355569</v>
      </c>
      <c r="O89" s="20"/>
      <c r="P89" s="22">
        <f t="shared" si="7"/>
        <v>-1018</v>
      </c>
      <c r="Q89" s="38">
        <f t="shared" si="8"/>
        <v>9.980392157</v>
      </c>
      <c r="R89" s="22">
        <f t="shared" si="9"/>
        <v>1036324</v>
      </c>
      <c r="S89" s="20"/>
      <c r="T89" s="22">
        <f t="shared" si="10"/>
        <v>-294</v>
      </c>
      <c r="U89" s="38">
        <f t="shared" si="11"/>
        <v>2.882352941</v>
      </c>
      <c r="V89" s="22">
        <f t="shared" si="12"/>
        <v>86436</v>
      </c>
    </row>
    <row r="90">
      <c r="A90" s="4">
        <v>40668.0</v>
      </c>
      <c r="B90" s="5">
        <v>336.0</v>
      </c>
      <c r="C90" s="22">
        <f t="shared" si="2"/>
        <v>216</v>
      </c>
      <c r="D90" s="22">
        <f t="shared" si="3"/>
        <v>1108</v>
      </c>
      <c r="E90" s="22">
        <f t="shared" si="1"/>
        <v>220</v>
      </c>
      <c r="F90" s="20"/>
      <c r="G90" s="20"/>
      <c r="H90" s="20"/>
      <c r="I90" s="20"/>
      <c r="J90" s="20"/>
      <c r="K90" s="20"/>
      <c r="L90" s="22">
        <f t="shared" si="4"/>
        <v>120</v>
      </c>
      <c r="M90" s="38">
        <f t="shared" si="5"/>
        <v>0.3571428571</v>
      </c>
      <c r="N90" s="22">
        <f t="shared" si="6"/>
        <v>14400</v>
      </c>
      <c r="O90" s="20"/>
      <c r="P90" s="22">
        <f t="shared" si="7"/>
        <v>-772</v>
      </c>
      <c r="Q90" s="38">
        <f t="shared" si="8"/>
        <v>2.297619048</v>
      </c>
      <c r="R90" s="22">
        <f t="shared" si="9"/>
        <v>595984</v>
      </c>
      <c r="S90" s="20"/>
      <c r="T90" s="22">
        <f t="shared" si="10"/>
        <v>116</v>
      </c>
      <c r="U90" s="38">
        <f t="shared" si="11"/>
        <v>0.3452380952</v>
      </c>
      <c r="V90" s="22">
        <f t="shared" si="12"/>
        <v>13456</v>
      </c>
    </row>
    <row r="91">
      <c r="A91" s="4">
        <v>40669.0</v>
      </c>
      <c r="B91" s="5">
        <v>114.0</v>
      </c>
      <c r="C91" s="22">
        <f t="shared" si="2"/>
        <v>221</v>
      </c>
      <c r="D91" s="22">
        <f t="shared" si="3"/>
        <v>1099</v>
      </c>
      <c r="E91" s="22">
        <f t="shared" si="1"/>
        <v>290</v>
      </c>
      <c r="F91" s="20"/>
      <c r="G91" s="20"/>
      <c r="H91" s="20"/>
      <c r="I91" s="20"/>
      <c r="J91" s="20"/>
      <c r="K91" s="20"/>
      <c r="L91" s="22">
        <f t="shared" si="4"/>
        <v>-107</v>
      </c>
      <c r="M91" s="38">
        <f t="shared" si="5"/>
        <v>0.9385964912</v>
      </c>
      <c r="N91" s="22">
        <f t="shared" si="6"/>
        <v>11449</v>
      </c>
      <c r="O91" s="20"/>
      <c r="P91" s="22">
        <f t="shared" si="7"/>
        <v>-985</v>
      </c>
      <c r="Q91" s="38">
        <f t="shared" si="8"/>
        <v>8.640350877</v>
      </c>
      <c r="R91" s="22">
        <f t="shared" si="9"/>
        <v>970225</v>
      </c>
      <c r="S91" s="20"/>
      <c r="T91" s="22">
        <f t="shared" si="10"/>
        <v>-176</v>
      </c>
      <c r="U91" s="38">
        <f t="shared" si="11"/>
        <v>1.543859649</v>
      </c>
      <c r="V91" s="22">
        <f t="shared" si="12"/>
        <v>30976</v>
      </c>
    </row>
    <row r="92">
      <c r="A92" s="4">
        <v>40672.0</v>
      </c>
      <c r="B92" s="5">
        <v>432.0</v>
      </c>
      <c r="C92" s="22">
        <f t="shared" si="2"/>
        <v>235</v>
      </c>
      <c r="D92" s="22">
        <f t="shared" si="3"/>
        <v>1088</v>
      </c>
      <c r="E92" s="22">
        <f t="shared" si="1"/>
        <v>184</v>
      </c>
      <c r="F92" s="20"/>
      <c r="G92" s="20"/>
      <c r="H92" s="20"/>
      <c r="I92" s="20"/>
      <c r="J92" s="20"/>
      <c r="K92" s="20"/>
      <c r="L92" s="22">
        <f t="shared" si="4"/>
        <v>197</v>
      </c>
      <c r="M92" s="38">
        <f t="shared" si="5"/>
        <v>0.4560185185</v>
      </c>
      <c r="N92" s="22">
        <f t="shared" si="6"/>
        <v>38809</v>
      </c>
      <c r="O92" s="20"/>
      <c r="P92" s="22">
        <f t="shared" si="7"/>
        <v>-656</v>
      </c>
      <c r="Q92" s="38">
        <f t="shared" si="8"/>
        <v>1.518518519</v>
      </c>
      <c r="R92" s="22">
        <f t="shared" si="9"/>
        <v>430336</v>
      </c>
      <c r="S92" s="20"/>
      <c r="T92" s="22">
        <f t="shared" si="10"/>
        <v>248</v>
      </c>
      <c r="U92" s="38">
        <f t="shared" si="11"/>
        <v>0.5740740741</v>
      </c>
      <c r="V92" s="22">
        <f t="shared" si="12"/>
        <v>61504</v>
      </c>
    </row>
    <row r="93">
      <c r="A93" s="4">
        <v>40673.0</v>
      </c>
      <c r="B93" s="5">
        <v>54.0</v>
      </c>
      <c r="C93" s="22">
        <f t="shared" si="2"/>
        <v>230</v>
      </c>
      <c r="D93" s="22">
        <f t="shared" si="3"/>
        <v>1081</v>
      </c>
      <c r="E93" s="22">
        <f t="shared" si="1"/>
        <v>333</v>
      </c>
      <c r="F93" s="20"/>
      <c r="G93" s="20"/>
      <c r="H93" s="20"/>
      <c r="I93" s="20"/>
      <c r="J93" s="20"/>
      <c r="K93" s="20"/>
      <c r="L93" s="22">
        <f t="shared" si="4"/>
        <v>-176</v>
      </c>
      <c r="M93" s="38">
        <f t="shared" si="5"/>
        <v>3.259259259</v>
      </c>
      <c r="N93" s="22">
        <f t="shared" si="6"/>
        <v>30976</v>
      </c>
      <c r="O93" s="20"/>
      <c r="P93" s="22">
        <f t="shared" si="7"/>
        <v>-1027</v>
      </c>
      <c r="Q93" s="38">
        <f t="shared" si="8"/>
        <v>19.01851852</v>
      </c>
      <c r="R93" s="22">
        <f t="shared" si="9"/>
        <v>1054729</v>
      </c>
      <c r="S93" s="20"/>
      <c r="T93" s="22">
        <f t="shared" si="10"/>
        <v>-279</v>
      </c>
      <c r="U93" s="38">
        <f t="shared" si="11"/>
        <v>5.166666667</v>
      </c>
      <c r="V93" s="22">
        <f t="shared" si="12"/>
        <v>77841</v>
      </c>
    </row>
    <row r="94">
      <c r="A94" s="4">
        <v>40674.0</v>
      </c>
      <c r="B94" s="5">
        <v>0.0</v>
      </c>
      <c r="C94" s="22">
        <f t="shared" si="2"/>
        <v>208</v>
      </c>
      <c r="D94" s="22">
        <f t="shared" si="3"/>
        <v>1069</v>
      </c>
      <c r="E94" s="22">
        <f t="shared" si="1"/>
        <v>166</v>
      </c>
      <c r="F94" s="20"/>
      <c r="G94" s="20"/>
      <c r="H94" s="20"/>
      <c r="I94" s="20"/>
      <c r="J94" s="20"/>
      <c r="K94" s="20"/>
      <c r="L94" s="22">
        <f t="shared" si="4"/>
        <v>-208</v>
      </c>
      <c r="M94" s="38">
        <f t="shared" si="5"/>
        <v>1</v>
      </c>
      <c r="N94" s="22">
        <f t="shared" si="6"/>
        <v>43264</v>
      </c>
      <c r="O94" s="20"/>
      <c r="P94" s="22">
        <f t="shared" si="7"/>
        <v>-1069</v>
      </c>
      <c r="Q94" s="38">
        <f t="shared" si="8"/>
        <v>1</v>
      </c>
      <c r="R94" s="22">
        <f t="shared" si="9"/>
        <v>1142761</v>
      </c>
      <c r="S94" s="20"/>
      <c r="T94" s="22">
        <f t="shared" si="10"/>
        <v>-166</v>
      </c>
      <c r="U94" s="38">
        <f t="shared" si="11"/>
        <v>1</v>
      </c>
      <c r="V94" s="22">
        <f t="shared" si="12"/>
        <v>27556</v>
      </c>
    </row>
    <row r="95">
      <c r="A95" s="4">
        <v>40675.0</v>
      </c>
      <c r="B95" s="5">
        <v>0.0</v>
      </c>
      <c r="C95" s="22">
        <f t="shared" si="2"/>
        <v>187</v>
      </c>
      <c r="D95" s="22">
        <f t="shared" si="3"/>
        <v>1058</v>
      </c>
      <c r="E95" s="22">
        <f t="shared" si="1"/>
        <v>66</v>
      </c>
      <c r="F95" s="20"/>
      <c r="G95" s="20"/>
      <c r="H95" s="20"/>
      <c r="I95" s="20"/>
      <c r="J95" s="20"/>
      <c r="K95" s="20"/>
      <c r="L95" s="22">
        <f t="shared" si="4"/>
        <v>-187</v>
      </c>
      <c r="M95" s="38">
        <f t="shared" si="5"/>
        <v>1</v>
      </c>
      <c r="N95" s="22">
        <f t="shared" si="6"/>
        <v>34969</v>
      </c>
      <c r="O95" s="20"/>
      <c r="P95" s="22">
        <f t="shared" si="7"/>
        <v>-1058</v>
      </c>
      <c r="Q95" s="38">
        <f t="shared" si="8"/>
        <v>1</v>
      </c>
      <c r="R95" s="22">
        <f t="shared" si="9"/>
        <v>1119364</v>
      </c>
      <c r="S95" s="20"/>
      <c r="T95" s="22">
        <f t="shared" si="10"/>
        <v>-66</v>
      </c>
      <c r="U95" s="38">
        <f t="shared" si="11"/>
        <v>1</v>
      </c>
      <c r="V95" s="22">
        <f t="shared" si="12"/>
        <v>4356</v>
      </c>
    </row>
    <row r="96">
      <c r="A96" s="4">
        <v>40676.0</v>
      </c>
      <c r="B96" s="5">
        <v>0.0</v>
      </c>
      <c r="C96" s="22">
        <f t="shared" si="2"/>
        <v>120</v>
      </c>
      <c r="D96" s="22">
        <f t="shared" si="3"/>
        <v>1046</v>
      </c>
      <c r="E96" s="22">
        <f t="shared" si="1"/>
        <v>26</v>
      </c>
      <c r="F96" s="20"/>
      <c r="G96" s="20"/>
      <c r="H96" s="20"/>
      <c r="I96" s="20"/>
      <c r="J96" s="20"/>
      <c r="K96" s="20"/>
      <c r="L96" s="22">
        <f t="shared" si="4"/>
        <v>-120</v>
      </c>
      <c r="M96" s="38">
        <f t="shared" si="5"/>
        <v>1</v>
      </c>
      <c r="N96" s="22">
        <f t="shared" si="6"/>
        <v>14400</v>
      </c>
      <c r="O96" s="20"/>
      <c r="P96" s="22">
        <f t="shared" si="7"/>
        <v>-1046</v>
      </c>
      <c r="Q96" s="38">
        <f t="shared" si="8"/>
        <v>1</v>
      </c>
      <c r="R96" s="22">
        <f t="shared" si="9"/>
        <v>1094116</v>
      </c>
      <c r="S96" s="20"/>
      <c r="T96" s="22">
        <f t="shared" si="10"/>
        <v>-26</v>
      </c>
      <c r="U96" s="38">
        <f t="shared" si="11"/>
        <v>1</v>
      </c>
      <c r="V96" s="22">
        <f t="shared" si="12"/>
        <v>676</v>
      </c>
    </row>
    <row r="97">
      <c r="A97" s="4">
        <v>40679.0</v>
      </c>
      <c r="B97" s="5">
        <v>0.0</v>
      </c>
      <c r="C97" s="22">
        <f t="shared" si="2"/>
        <v>97</v>
      </c>
      <c r="D97" s="22">
        <f t="shared" si="3"/>
        <v>1035</v>
      </c>
      <c r="E97" s="22">
        <f t="shared" si="1"/>
        <v>10</v>
      </c>
      <c r="F97" s="20"/>
      <c r="G97" s="20"/>
      <c r="H97" s="20"/>
      <c r="I97" s="20"/>
      <c r="J97" s="20"/>
      <c r="K97" s="20"/>
      <c r="L97" s="22">
        <f t="shared" si="4"/>
        <v>-97</v>
      </c>
      <c r="M97" s="38">
        <f t="shared" si="5"/>
        <v>1</v>
      </c>
      <c r="N97" s="22">
        <f t="shared" si="6"/>
        <v>9409</v>
      </c>
      <c r="O97" s="20"/>
      <c r="P97" s="22">
        <f t="shared" si="7"/>
        <v>-1035</v>
      </c>
      <c r="Q97" s="38">
        <f t="shared" si="8"/>
        <v>1</v>
      </c>
      <c r="R97" s="22">
        <f t="shared" si="9"/>
        <v>1071225</v>
      </c>
      <c r="S97" s="20"/>
      <c r="T97" s="22">
        <f t="shared" si="10"/>
        <v>-10</v>
      </c>
      <c r="U97" s="38">
        <f t="shared" si="11"/>
        <v>1</v>
      </c>
      <c r="V97" s="22">
        <f t="shared" si="12"/>
        <v>100</v>
      </c>
    </row>
    <row r="98">
      <c r="A98" s="4">
        <v>40680.0</v>
      </c>
      <c r="B98" s="5">
        <v>6.0</v>
      </c>
      <c r="C98" s="22">
        <f t="shared" si="2"/>
        <v>11</v>
      </c>
      <c r="D98" s="22">
        <f t="shared" si="3"/>
        <v>1024</v>
      </c>
      <c r="E98" s="22">
        <f t="shared" si="1"/>
        <v>4</v>
      </c>
      <c r="F98" s="20"/>
      <c r="G98" s="20"/>
      <c r="H98" s="20"/>
      <c r="I98" s="20"/>
      <c r="J98" s="20"/>
      <c r="K98" s="20"/>
      <c r="L98" s="22">
        <f t="shared" si="4"/>
        <v>-5</v>
      </c>
      <c r="M98" s="38">
        <f t="shared" si="5"/>
        <v>0.8333333333</v>
      </c>
      <c r="N98" s="22">
        <f t="shared" si="6"/>
        <v>25</v>
      </c>
      <c r="O98" s="20"/>
      <c r="P98" s="22">
        <f t="shared" si="7"/>
        <v>-1018</v>
      </c>
      <c r="Q98" s="38">
        <f t="shared" si="8"/>
        <v>169.6666667</v>
      </c>
      <c r="R98" s="22">
        <f t="shared" si="9"/>
        <v>1036324</v>
      </c>
      <c r="S98" s="20"/>
      <c r="T98" s="22">
        <f t="shared" si="10"/>
        <v>2</v>
      </c>
      <c r="U98" s="38">
        <f t="shared" si="11"/>
        <v>0.3333333333</v>
      </c>
      <c r="V98" s="22">
        <f t="shared" si="12"/>
        <v>4</v>
      </c>
    </row>
    <row r="99">
      <c r="A99" s="4">
        <v>40681.0</v>
      </c>
      <c r="B99" s="5">
        <v>6858.0</v>
      </c>
      <c r="C99" s="22">
        <f t="shared" si="2"/>
        <v>1</v>
      </c>
      <c r="D99" s="22">
        <f t="shared" si="3"/>
        <v>1014</v>
      </c>
      <c r="E99" s="22">
        <f t="shared" si="1"/>
        <v>5</v>
      </c>
      <c r="F99" s="20"/>
      <c r="G99" s="20"/>
      <c r="H99" s="20"/>
      <c r="I99" s="20"/>
      <c r="J99" s="20"/>
      <c r="K99" s="20"/>
      <c r="L99" s="22">
        <f t="shared" si="4"/>
        <v>6857</v>
      </c>
      <c r="M99" s="38">
        <f t="shared" si="5"/>
        <v>0.9998541849</v>
      </c>
      <c r="N99" s="22">
        <f t="shared" si="6"/>
        <v>47018449</v>
      </c>
      <c r="O99" s="20"/>
      <c r="P99" s="22">
        <f t="shared" si="7"/>
        <v>5844</v>
      </c>
      <c r="Q99" s="38">
        <f t="shared" si="8"/>
        <v>0.8521434821</v>
      </c>
      <c r="R99" s="22">
        <f t="shared" si="9"/>
        <v>34152336</v>
      </c>
      <c r="S99" s="20"/>
      <c r="T99" s="22">
        <f t="shared" si="10"/>
        <v>6853</v>
      </c>
      <c r="U99" s="38">
        <f t="shared" si="11"/>
        <v>0.9992709245</v>
      </c>
      <c r="V99" s="22">
        <f t="shared" si="12"/>
        <v>46963609</v>
      </c>
    </row>
    <row r="100">
      <c r="A100" s="4">
        <v>40682.0</v>
      </c>
      <c r="B100" s="5">
        <v>384.0</v>
      </c>
      <c r="C100" s="22">
        <f t="shared" si="2"/>
        <v>1373</v>
      </c>
      <c r="D100" s="22">
        <f t="shared" si="3"/>
        <v>1074</v>
      </c>
      <c r="E100" s="22">
        <f t="shared" si="1"/>
        <v>4117</v>
      </c>
      <c r="F100" s="20"/>
      <c r="G100" s="20"/>
      <c r="H100" s="20"/>
      <c r="I100" s="20"/>
      <c r="J100" s="20"/>
      <c r="K100" s="20"/>
      <c r="L100" s="22">
        <f t="shared" si="4"/>
        <v>-989</v>
      </c>
      <c r="M100" s="38">
        <f t="shared" si="5"/>
        <v>2.575520833</v>
      </c>
      <c r="N100" s="22">
        <f t="shared" si="6"/>
        <v>978121</v>
      </c>
      <c r="O100" s="20"/>
      <c r="P100" s="22">
        <f t="shared" si="7"/>
        <v>-690</v>
      </c>
      <c r="Q100" s="38">
        <f t="shared" si="8"/>
        <v>1.796875</v>
      </c>
      <c r="R100" s="22">
        <f t="shared" si="9"/>
        <v>476100</v>
      </c>
      <c r="S100" s="20"/>
      <c r="T100" s="22">
        <f t="shared" si="10"/>
        <v>-3733</v>
      </c>
      <c r="U100" s="38">
        <f t="shared" si="11"/>
        <v>9.721354167</v>
      </c>
      <c r="V100" s="22">
        <f t="shared" si="12"/>
        <v>13935289</v>
      </c>
    </row>
    <row r="101">
      <c r="A101" s="4">
        <v>40683.0</v>
      </c>
      <c r="B101" s="5">
        <v>2190.0</v>
      </c>
      <c r="C101" s="22">
        <f t="shared" si="2"/>
        <v>1450</v>
      </c>
      <c r="D101" s="22">
        <f t="shared" si="3"/>
        <v>1067</v>
      </c>
      <c r="E101" s="22">
        <f t="shared" si="1"/>
        <v>1877</v>
      </c>
      <c r="F101" s="20"/>
      <c r="G101" s="20"/>
      <c r="H101" s="20"/>
      <c r="I101" s="20"/>
      <c r="J101" s="20"/>
      <c r="K101" s="20"/>
      <c r="L101" s="22">
        <f t="shared" si="4"/>
        <v>740</v>
      </c>
      <c r="M101" s="38">
        <f t="shared" si="5"/>
        <v>0.3378995434</v>
      </c>
      <c r="N101" s="22">
        <f t="shared" si="6"/>
        <v>547600</v>
      </c>
      <c r="O101" s="20"/>
      <c r="P101" s="22">
        <f t="shared" si="7"/>
        <v>1123</v>
      </c>
      <c r="Q101" s="38">
        <f t="shared" si="8"/>
        <v>0.5127853881</v>
      </c>
      <c r="R101" s="22">
        <f t="shared" si="9"/>
        <v>1261129</v>
      </c>
      <c r="S101" s="20"/>
      <c r="T101" s="22">
        <f t="shared" si="10"/>
        <v>313</v>
      </c>
      <c r="U101" s="38">
        <f t="shared" si="11"/>
        <v>0.1429223744</v>
      </c>
      <c r="V101" s="22">
        <f t="shared" si="12"/>
        <v>97969</v>
      </c>
    </row>
    <row r="102">
      <c r="A102" s="4">
        <v>40686.0</v>
      </c>
      <c r="B102" s="5">
        <v>5628.0</v>
      </c>
      <c r="C102" s="22">
        <f t="shared" si="2"/>
        <v>1888</v>
      </c>
      <c r="D102" s="22">
        <f t="shared" si="3"/>
        <v>1078</v>
      </c>
      <c r="E102" s="22">
        <f t="shared" si="1"/>
        <v>2065</v>
      </c>
      <c r="F102" s="20"/>
      <c r="G102" s="20"/>
      <c r="H102" s="20"/>
      <c r="I102" s="20"/>
      <c r="J102" s="20"/>
      <c r="K102" s="20"/>
      <c r="L102" s="22">
        <f t="shared" si="4"/>
        <v>3740</v>
      </c>
      <c r="M102" s="38">
        <f t="shared" si="5"/>
        <v>0.6645344705</v>
      </c>
      <c r="N102" s="22">
        <f t="shared" si="6"/>
        <v>13987600</v>
      </c>
      <c r="O102" s="20"/>
      <c r="P102" s="22">
        <f t="shared" si="7"/>
        <v>4550</v>
      </c>
      <c r="Q102" s="38">
        <f t="shared" si="8"/>
        <v>0.8084577114</v>
      </c>
      <c r="R102" s="22">
        <f t="shared" si="9"/>
        <v>20702500</v>
      </c>
      <c r="S102" s="20"/>
      <c r="T102" s="22">
        <f t="shared" si="10"/>
        <v>3563</v>
      </c>
      <c r="U102" s="38">
        <f t="shared" si="11"/>
        <v>0.6330845771</v>
      </c>
      <c r="V102" s="22">
        <f t="shared" si="12"/>
        <v>12694969</v>
      </c>
    </row>
    <row r="103">
      <c r="A103" s="4">
        <v>40687.0</v>
      </c>
      <c r="B103" s="5">
        <v>1338.0</v>
      </c>
      <c r="C103" s="22">
        <f t="shared" si="2"/>
        <v>3013</v>
      </c>
      <c r="D103" s="22">
        <f t="shared" si="3"/>
        <v>1124</v>
      </c>
      <c r="E103" s="22">
        <f t="shared" si="1"/>
        <v>4203</v>
      </c>
      <c r="F103" s="20"/>
      <c r="G103" s="20"/>
      <c r="H103" s="20"/>
      <c r="I103" s="20"/>
      <c r="J103" s="20"/>
      <c r="K103" s="20"/>
      <c r="L103" s="22">
        <f t="shared" si="4"/>
        <v>-1675</v>
      </c>
      <c r="M103" s="38">
        <f t="shared" si="5"/>
        <v>1.25186846</v>
      </c>
      <c r="N103" s="22">
        <f t="shared" si="6"/>
        <v>2805625</v>
      </c>
      <c r="O103" s="20"/>
      <c r="P103" s="22">
        <f t="shared" si="7"/>
        <v>214</v>
      </c>
      <c r="Q103" s="38">
        <f t="shared" si="8"/>
        <v>0.1599402093</v>
      </c>
      <c r="R103" s="22">
        <f t="shared" si="9"/>
        <v>45796</v>
      </c>
      <c r="S103" s="20"/>
      <c r="T103" s="22">
        <f t="shared" si="10"/>
        <v>-2865</v>
      </c>
      <c r="U103" s="38">
        <f t="shared" si="11"/>
        <v>2.141255605</v>
      </c>
      <c r="V103" s="22">
        <f t="shared" si="12"/>
        <v>8208225</v>
      </c>
    </row>
    <row r="104">
      <c r="A104" s="4">
        <v>40688.0</v>
      </c>
      <c r="B104" s="5">
        <v>2748.0</v>
      </c>
      <c r="C104" s="22">
        <f t="shared" si="2"/>
        <v>3280</v>
      </c>
      <c r="D104" s="22">
        <f t="shared" si="3"/>
        <v>1126</v>
      </c>
      <c r="E104" s="22">
        <f t="shared" si="1"/>
        <v>2484</v>
      </c>
      <c r="F104" s="20"/>
      <c r="G104" s="20"/>
      <c r="H104" s="20"/>
      <c r="I104" s="20"/>
      <c r="J104" s="20"/>
      <c r="K104" s="20"/>
      <c r="L104" s="22">
        <f t="shared" si="4"/>
        <v>-532</v>
      </c>
      <c r="M104" s="38">
        <f t="shared" si="5"/>
        <v>0.1935953421</v>
      </c>
      <c r="N104" s="22">
        <f t="shared" si="6"/>
        <v>283024</v>
      </c>
      <c r="O104" s="20"/>
      <c r="P104" s="22">
        <f t="shared" si="7"/>
        <v>1622</v>
      </c>
      <c r="Q104" s="38">
        <f t="shared" si="8"/>
        <v>0.5902474527</v>
      </c>
      <c r="R104" s="22">
        <f t="shared" si="9"/>
        <v>2630884</v>
      </c>
      <c r="S104" s="20"/>
      <c r="T104" s="22">
        <f t="shared" si="10"/>
        <v>264</v>
      </c>
      <c r="U104" s="38">
        <f t="shared" si="11"/>
        <v>0.096069869</v>
      </c>
      <c r="V104" s="22">
        <f t="shared" si="12"/>
        <v>69696</v>
      </c>
    </row>
    <row r="105">
      <c r="A105" s="4">
        <v>40689.0</v>
      </c>
      <c r="B105" s="5">
        <v>762.0</v>
      </c>
      <c r="C105" s="22">
        <f t="shared" si="2"/>
        <v>2458</v>
      </c>
      <c r="D105" s="22">
        <f t="shared" si="3"/>
        <v>1142</v>
      </c>
      <c r="E105" s="22">
        <f t="shared" si="1"/>
        <v>2642</v>
      </c>
      <c r="F105" s="20"/>
      <c r="G105" s="20"/>
      <c r="H105" s="20"/>
      <c r="I105" s="20"/>
      <c r="J105" s="20"/>
      <c r="K105" s="20"/>
      <c r="L105" s="22">
        <f t="shared" si="4"/>
        <v>-1696</v>
      </c>
      <c r="M105" s="38">
        <f t="shared" si="5"/>
        <v>2.225721785</v>
      </c>
      <c r="N105" s="22">
        <f t="shared" si="6"/>
        <v>2876416</v>
      </c>
      <c r="O105" s="20"/>
      <c r="P105" s="22">
        <f t="shared" si="7"/>
        <v>-380</v>
      </c>
      <c r="Q105" s="38">
        <f t="shared" si="8"/>
        <v>0.498687664</v>
      </c>
      <c r="R105" s="22">
        <f t="shared" si="9"/>
        <v>144400</v>
      </c>
      <c r="S105" s="20"/>
      <c r="T105" s="22">
        <f t="shared" si="10"/>
        <v>-1880</v>
      </c>
      <c r="U105" s="38">
        <f t="shared" si="11"/>
        <v>2.467191601</v>
      </c>
      <c r="V105" s="22">
        <f t="shared" si="12"/>
        <v>3534400</v>
      </c>
    </row>
    <row r="106">
      <c r="A106" s="4">
        <v>40690.0</v>
      </c>
      <c r="B106" s="5">
        <v>108.0</v>
      </c>
      <c r="C106" s="22">
        <f t="shared" si="2"/>
        <v>2533</v>
      </c>
      <c r="D106" s="22">
        <f t="shared" si="3"/>
        <v>1138</v>
      </c>
      <c r="E106" s="22">
        <f t="shared" si="1"/>
        <v>1514</v>
      </c>
      <c r="F106" s="20"/>
      <c r="G106" s="20"/>
      <c r="H106" s="20"/>
      <c r="I106" s="20"/>
      <c r="J106" s="20"/>
      <c r="K106" s="20"/>
      <c r="L106" s="22">
        <f t="shared" si="4"/>
        <v>-2425</v>
      </c>
      <c r="M106" s="38">
        <f t="shared" si="5"/>
        <v>22.4537037</v>
      </c>
      <c r="N106" s="22">
        <f t="shared" si="6"/>
        <v>5880625</v>
      </c>
      <c r="O106" s="20"/>
      <c r="P106" s="22">
        <f t="shared" si="7"/>
        <v>-1030</v>
      </c>
      <c r="Q106" s="38">
        <f t="shared" si="8"/>
        <v>9.537037037</v>
      </c>
      <c r="R106" s="22">
        <f t="shared" si="9"/>
        <v>1060900</v>
      </c>
      <c r="S106" s="20"/>
      <c r="T106" s="22">
        <f t="shared" si="10"/>
        <v>-1406</v>
      </c>
      <c r="U106" s="38">
        <f t="shared" si="11"/>
        <v>13.01851852</v>
      </c>
      <c r="V106" s="22">
        <f t="shared" si="12"/>
        <v>1976836</v>
      </c>
    </row>
    <row r="107">
      <c r="A107" s="4">
        <v>40694.0</v>
      </c>
      <c r="B107" s="5">
        <v>0.0</v>
      </c>
      <c r="C107" s="22">
        <f t="shared" si="2"/>
        <v>2117</v>
      </c>
      <c r="D107" s="22">
        <f t="shared" si="3"/>
        <v>1128</v>
      </c>
      <c r="E107" s="22">
        <f t="shared" si="1"/>
        <v>670</v>
      </c>
      <c r="F107" s="20"/>
      <c r="G107" s="20"/>
      <c r="H107" s="20"/>
      <c r="I107" s="20"/>
      <c r="J107" s="20"/>
      <c r="K107" s="20"/>
      <c r="L107" s="22">
        <f t="shared" si="4"/>
        <v>-2117</v>
      </c>
      <c r="M107" s="38">
        <f t="shared" si="5"/>
        <v>1</v>
      </c>
      <c r="N107" s="22">
        <f t="shared" si="6"/>
        <v>4481689</v>
      </c>
      <c r="O107" s="20"/>
      <c r="P107" s="22">
        <f t="shared" si="7"/>
        <v>-1128</v>
      </c>
      <c r="Q107" s="38">
        <f t="shared" si="8"/>
        <v>1</v>
      </c>
      <c r="R107" s="22">
        <f t="shared" si="9"/>
        <v>1272384</v>
      </c>
      <c r="S107" s="20"/>
      <c r="T107" s="22">
        <f t="shared" si="10"/>
        <v>-670</v>
      </c>
      <c r="U107" s="38">
        <f t="shared" si="11"/>
        <v>1</v>
      </c>
      <c r="V107" s="22">
        <f t="shared" si="12"/>
        <v>448900</v>
      </c>
    </row>
    <row r="108">
      <c r="A108" s="2">
        <v>40695.0</v>
      </c>
      <c r="B108" s="5">
        <v>3858.0</v>
      </c>
      <c r="C108" s="22">
        <f t="shared" si="2"/>
        <v>991</v>
      </c>
      <c r="D108" s="22">
        <f t="shared" si="3"/>
        <v>1118</v>
      </c>
      <c r="E108" s="22">
        <f t="shared" si="1"/>
        <v>268</v>
      </c>
      <c r="F108" s="20"/>
      <c r="G108" s="20"/>
      <c r="H108" s="20"/>
      <c r="I108" s="20"/>
      <c r="J108" s="20"/>
      <c r="K108" s="20"/>
      <c r="L108" s="22">
        <f t="shared" si="4"/>
        <v>2867</v>
      </c>
      <c r="M108" s="38">
        <f t="shared" si="5"/>
        <v>0.743131156</v>
      </c>
      <c r="N108" s="22">
        <f t="shared" si="6"/>
        <v>8219689</v>
      </c>
      <c r="O108" s="20"/>
      <c r="P108" s="22">
        <f t="shared" si="7"/>
        <v>2740</v>
      </c>
      <c r="Q108" s="38">
        <f t="shared" si="8"/>
        <v>0.7102125454</v>
      </c>
      <c r="R108" s="22">
        <f t="shared" si="9"/>
        <v>7507600</v>
      </c>
      <c r="S108" s="20"/>
      <c r="T108" s="22">
        <f t="shared" si="10"/>
        <v>3590</v>
      </c>
      <c r="U108" s="38">
        <f t="shared" si="11"/>
        <v>0.9305339554</v>
      </c>
      <c r="V108" s="22">
        <f t="shared" si="12"/>
        <v>12888100</v>
      </c>
    </row>
    <row r="109">
      <c r="A109" s="2">
        <v>40696.0</v>
      </c>
      <c r="B109" s="5">
        <v>288.0</v>
      </c>
      <c r="C109" s="22">
        <f t="shared" si="2"/>
        <v>1495</v>
      </c>
      <c r="D109" s="22">
        <f t="shared" si="3"/>
        <v>1143</v>
      </c>
      <c r="E109" s="22">
        <f t="shared" si="1"/>
        <v>2422</v>
      </c>
      <c r="F109" s="20"/>
      <c r="G109" s="20"/>
      <c r="H109" s="20"/>
      <c r="I109" s="20"/>
      <c r="J109" s="20"/>
      <c r="K109" s="20"/>
      <c r="L109" s="22">
        <f t="shared" si="4"/>
        <v>-1207</v>
      </c>
      <c r="M109" s="38">
        <f t="shared" si="5"/>
        <v>4.190972222</v>
      </c>
      <c r="N109" s="22">
        <f t="shared" si="6"/>
        <v>1456849</v>
      </c>
      <c r="O109" s="20"/>
      <c r="P109" s="22">
        <f t="shared" si="7"/>
        <v>-855</v>
      </c>
      <c r="Q109" s="38">
        <f t="shared" si="8"/>
        <v>2.96875</v>
      </c>
      <c r="R109" s="22">
        <f t="shared" si="9"/>
        <v>731025</v>
      </c>
      <c r="S109" s="20"/>
      <c r="T109" s="22">
        <f t="shared" si="10"/>
        <v>-2134</v>
      </c>
      <c r="U109" s="38">
        <f t="shared" si="11"/>
        <v>7.409722222</v>
      </c>
      <c r="V109" s="22">
        <f t="shared" si="12"/>
        <v>4553956</v>
      </c>
    </row>
    <row r="110">
      <c r="A110" s="2">
        <v>40697.0</v>
      </c>
      <c r="B110" s="5">
        <v>18.0</v>
      </c>
      <c r="C110" s="22">
        <f t="shared" si="2"/>
        <v>1003</v>
      </c>
      <c r="D110" s="22">
        <f t="shared" si="3"/>
        <v>1135</v>
      </c>
      <c r="E110" s="22">
        <f t="shared" si="1"/>
        <v>1142</v>
      </c>
      <c r="F110" s="20"/>
      <c r="G110" s="20"/>
      <c r="H110" s="20"/>
      <c r="I110" s="20"/>
      <c r="J110" s="20"/>
      <c r="K110" s="20"/>
      <c r="L110" s="22">
        <f t="shared" si="4"/>
        <v>-985</v>
      </c>
      <c r="M110" s="38">
        <f t="shared" si="5"/>
        <v>54.72222222</v>
      </c>
      <c r="N110" s="22">
        <f t="shared" si="6"/>
        <v>970225</v>
      </c>
      <c r="O110" s="20"/>
      <c r="P110" s="22">
        <f t="shared" si="7"/>
        <v>-1117</v>
      </c>
      <c r="Q110" s="38">
        <f t="shared" si="8"/>
        <v>62.05555556</v>
      </c>
      <c r="R110" s="22">
        <f t="shared" si="9"/>
        <v>1247689</v>
      </c>
      <c r="S110" s="20"/>
      <c r="T110" s="22">
        <f t="shared" si="10"/>
        <v>-1124</v>
      </c>
      <c r="U110" s="38">
        <f t="shared" si="11"/>
        <v>62.44444444</v>
      </c>
      <c r="V110" s="22">
        <f t="shared" si="12"/>
        <v>1263376</v>
      </c>
    </row>
    <row r="111">
      <c r="A111" s="2">
        <v>40700.0</v>
      </c>
      <c r="B111" s="5">
        <v>144.0</v>
      </c>
      <c r="C111" s="22">
        <f t="shared" si="2"/>
        <v>854</v>
      </c>
      <c r="D111" s="22">
        <f t="shared" si="3"/>
        <v>1125</v>
      </c>
      <c r="E111" s="22">
        <f t="shared" si="1"/>
        <v>468</v>
      </c>
      <c r="F111" s="20"/>
      <c r="G111" s="20"/>
      <c r="H111" s="20"/>
      <c r="I111" s="20"/>
      <c r="J111" s="20"/>
      <c r="K111" s="20"/>
      <c r="L111" s="22">
        <f t="shared" si="4"/>
        <v>-710</v>
      </c>
      <c r="M111" s="38">
        <f t="shared" si="5"/>
        <v>4.930555556</v>
      </c>
      <c r="N111" s="22">
        <f t="shared" si="6"/>
        <v>504100</v>
      </c>
      <c r="O111" s="20"/>
      <c r="P111" s="22">
        <f t="shared" si="7"/>
        <v>-981</v>
      </c>
      <c r="Q111" s="38">
        <f t="shared" si="8"/>
        <v>6.8125</v>
      </c>
      <c r="R111" s="22">
        <f t="shared" si="9"/>
        <v>962361</v>
      </c>
      <c r="S111" s="20"/>
      <c r="T111" s="22">
        <f t="shared" si="10"/>
        <v>-324</v>
      </c>
      <c r="U111" s="38">
        <f t="shared" si="11"/>
        <v>2.25</v>
      </c>
      <c r="V111" s="22">
        <f t="shared" si="12"/>
        <v>104976</v>
      </c>
    </row>
    <row r="112">
      <c r="A112" s="2">
        <v>40701.0</v>
      </c>
      <c r="B112" s="5">
        <v>222.0</v>
      </c>
      <c r="C112" s="22">
        <f t="shared" si="2"/>
        <v>862</v>
      </c>
      <c r="D112" s="22">
        <f t="shared" si="3"/>
        <v>1116</v>
      </c>
      <c r="E112" s="22">
        <f t="shared" si="1"/>
        <v>274</v>
      </c>
      <c r="F112" s="20"/>
      <c r="G112" s="20"/>
      <c r="H112" s="20"/>
      <c r="I112" s="20"/>
      <c r="J112" s="20"/>
      <c r="K112" s="20"/>
      <c r="L112" s="22">
        <f t="shared" si="4"/>
        <v>-640</v>
      </c>
      <c r="M112" s="38">
        <f t="shared" si="5"/>
        <v>2.882882883</v>
      </c>
      <c r="N112" s="22">
        <f t="shared" si="6"/>
        <v>409600</v>
      </c>
      <c r="O112" s="20"/>
      <c r="P112" s="22">
        <f t="shared" si="7"/>
        <v>-894</v>
      </c>
      <c r="Q112" s="38">
        <f t="shared" si="8"/>
        <v>4.027027027</v>
      </c>
      <c r="R112" s="22">
        <f t="shared" si="9"/>
        <v>799236</v>
      </c>
      <c r="S112" s="20"/>
      <c r="T112" s="22">
        <f t="shared" si="10"/>
        <v>-52</v>
      </c>
      <c r="U112" s="38">
        <f t="shared" si="11"/>
        <v>0.2342342342</v>
      </c>
      <c r="V112" s="22">
        <f t="shared" si="12"/>
        <v>2704</v>
      </c>
    </row>
    <row r="113">
      <c r="A113" s="2">
        <v>40702.0</v>
      </c>
      <c r="B113" s="5">
        <v>3834.0</v>
      </c>
      <c r="C113" s="22">
        <f t="shared" si="2"/>
        <v>906</v>
      </c>
      <c r="D113" s="22">
        <f t="shared" si="3"/>
        <v>1108</v>
      </c>
      <c r="E113" s="22">
        <f t="shared" si="1"/>
        <v>243</v>
      </c>
      <c r="F113" s="20"/>
      <c r="G113" s="20"/>
      <c r="H113" s="20"/>
      <c r="I113" s="20"/>
      <c r="J113" s="20"/>
      <c r="K113" s="20"/>
      <c r="L113" s="22">
        <f t="shared" si="4"/>
        <v>2928</v>
      </c>
      <c r="M113" s="38">
        <f t="shared" si="5"/>
        <v>0.7636932707</v>
      </c>
      <c r="N113" s="22">
        <f t="shared" si="6"/>
        <v>8573184</v>
      </c>
      <c r="O113" s="20"/>
      <c r="P113" s="22">
        <f t="shared" si="7"/>
        <v>2726</v>
      </c>
      <c r="Q113" s="38">
        <f t="shared" si="8"/>
        <v>0.7110067814</v>
      </c>
      <c r="R113" s="22">
        <f t="shared" si="9"/>
        <v>7431076</v>
      </c>
      <c r="S113" s="20"/>
      <c r="T113" s="22">
        <f t="shared" si="10"/>
        <v>3591</v>
      </c>
      <c r="U113" s="38">
        <f t="shared" si="11"/>
        <v>0.9366197183</v>
      </c>
      <c r="V113" s="22">
        <f t="shared" si="12"/>
        <v>12895281</v>
      </c>
    </row>
    <row r="114">
      <c r="A114" s="2">
        <v>40703.0</v>
      </c>
      <c r="B114" s="5">
        <v>288.0</v>
      </c>
      <c r="C114" s="22">
        <f t="shared" si="2"/>
        <v>901</v>
      </c>
      <c r="D114" s="22">
        <f t="shared" si="3"/>
        <v>1133</v>
      </c>
      <c r="E114" s="22">
        <f t="shared" si="1"/>
        <v>2398</v>
      </c>
      <c r="F114" s="20"/>
      <c r="G114" s="20"/>
      <c r="H114" s="20"/>
      <c r="I114" s="20"/>
      <c r="J114" s="20"/>
      <c r="K114" s="20"/>
      <c r="L114" s="22">
        <f t="shared" si="4"/>
        <v>-613</v>
      </c>
      <c r="M114" s="38">
        <f t="shared" si="5"/>
        <v>2.128472222</v>
      </c>
      <c r="N114" s="22">
        <f t="shared" si="6"/>
        <v>375769</v>
      </c>
      <c r="O114" s="20"/>
      <c r="P114" s="22">
        <f t="shared" si="7"/>
        <v>-845</v>
      </c>
      <c r="Q114" s="38">
        <f t="shared" si="8"/>
        <v>2.934027778</v>
      </c>
      <c r="R114" s="22">
        <f t="shared" si="9"/>
        <v>714025</v>
      </c>
      <c r="S114" s="20"/>
      <c r="T114" s="22">
        <f t="shared" si="10"/>
        <v>-2110</v>
      </c>
      <c r="U114" s="38">
        <f t="shared" si="11"/>
        <v>7.326388889</v>
      </c>
      <c r="V114" s="22">
        <f t="shared" si="12"/>
        <v>4452100</v>
      </c>
    </row>
    <row r="115">
      <c r="A115" s="2">
        <v>40704.0</v>
      </c>
      <c r="B115" s="5">
        <v>114.0</v>
      </c>
      <c r="C115" s="22">
        <f t="shared" si="2"/>
        <v>901</v>
      </c>
      <c r="D115" s="22">
        <f t="shared" si="3"/>
        <v>1125</v>
      </c>
      <c r="E115" s="22">
        <f t="shared" si="1"/>
        <v>1132</v>
      </c>
      <c r="F115" s="20"/>
      <c r="G115" s="20"/>
      <c r="H115" s="20"/>
      <c r="I115" s="20"/>
      <c r="J115" s="20"/>
      <c r="K115" s="20"/>
      <c r="L115" s="22">
        <f t="shared" si="4"/>
        <v>-787</v>
      </c>
      <c r="M115" s="38">
        <f t="shared" si="5"/>
        <v>6.903508772</v>
      </c>
      <c r="N115" s="22">
        <f t="shared" si="6"/>
        <v>619369</v>
      </c>
      <c r="O115" s="20"/>
      <c r="P115" s="22">
        <f t="shared" si="7"/>
        <v>-1011</v>
      </c>
      <c r="Q115" s="38">
        <f t="shared" si="8"/>
        <v>8.868421053</v>
      </c>
      <c r="R115" s="22">
        <f t="shared" si="9"/>
        <v>1022121</v>
      </c>
      <c r="S115" s="20"/>
      <c r="T115" s="22">
        <f t="shared" si="10"/>
        <v>-1018</v>
      </c>
      <c r="U115" s="38">
        <f t="shared" si="11"/>
        <v>8.929824561</v>
      </c>
      <c r="V115" s="22">
        <f t="shared" si="12"/>
        <v>1036324</v>
      </c>
    </row>
    <row r="116">
      <c r="A116" s="2">
        <v>40707.0</v>
      </c>
      <c r="B116" s="5">
        <v>270.0</v>
      </c>
      <c r="C116" s="22">
        <f t="shared" si="2"/>
        <v>920</v>
      </c>
      <c r="D116" s="22">
        <f t="shared" si="3"/>
        <v>1116</v>
      </c>
      <c r="E116" s="22">
        <f t="shared" si="1"/>
        <v>521</v>
      </c>
      <c r="F116" s="20"/>
      <c r="G116" s="20"/>
      <c r="H116" s="20"/>
      <c r="I116" s="20"/>
      <c r="J116" s="20"/>
      <c r="K116" s="20"/>
      <c r="L116" s="22">
        <f t="shared" si="4"/>
        <v>-650</v>
      </c>
      <c r="M116" s="38">
        <f t="shared" si="5"/>
        <v>2.407407407</v>
      </c>
      <c r="N116" s="22">
        <f t="shared" si="6"/>
        <v>422500</v>
      </c>
      <c r="O116" s="20"/>
      <c r="P116" s="22">
        <f t="shared" si="7"/>
        <v>-846</v>
      </c>
      <c r="Q116" s="38">
        <f t="shared" si="8"/>
        <v>3.133333333</v>
      </c>
      <c r="R116" s="22">
        <f t="shared" si="9"/>
        <v>715716</v>
      </c>
      <c r="S116" s="20"/>
      <c r="T116" s="22">
        <f t="shared" si="10"/>
        <v>-251</v>
      </c>
      <c r="U116" s="38">
        <f t="shared" si="11"/>
        <v>0.9296296296</v>
      </c>
      <c r="V116" s="22">
        <f t="shared" si="12"/>
        <v>63001</v>
      </c>
    </row>
    <row r="117">
      <c r="A117" s="2">
        <v>40708.0</v>
      </c>
      <c r="B117" s="5">
        <v>318.0</v>
      </c>
      <c r="C117" s="22">
        <f t="shared" si="2"/>
        <v>946</v>
      </c>
      <c r="D117" s="22">
        <f t="shared" si="3"/>
        <v>1109</v>
      </c>
      <c r="E117" s="22">
        <f t="shared" si="1"/>
        <v>370</v>
      </c>
      <c r="F117" s="20"/>
      <c r="G117" s="20"/>
      <c r="H117" s="20"/>
      <c r="I117" s="20"/>
      <c r="J117" s="20"/>
      <c r="K117" s="20"/>
      <c r="L117" s="22">
        <f t="shared" si="4"/>
        <v>-628</v>
      </c>
      <c r="M117" s="38">
        <f t="shared" si="5"/>
        <v>1.974842767</v>
      </c>
      <c r="N117" s="22">
        <f t="shared" si="6"/>
        <v>394384</v>
      </c>
      <c r="O117" s="20"/>
      <c r="P117" s="22">
        <f t="shared" si="7"/>
        <v>-791</v>
      </c>
      <c r="Q117" s="38">
        <f t="shared" si="8"/>
        <v>2.487421384</v>
      </c>
      <c r="R117" s="22">
        <f t="shared" si="9"/>
        <v>625681</v>
      </c>
      <c r="S117" s="20"/>
      <c r="T117" s="22">
        <f t="shared" si="10"/>
        <v>-52</v>
      </c>
      <c r="U117" s="38">
        <f t="shared" si="11"/>
        <v>0.1635220126</v>
      </c>
      <c r="V117" s="22">
        <f t="shared" si="12"/>
        <v>2704</v>
      </c>
    </row>
    <row r="118">
      <c r="A118" s="2">
        <v>40709.0</v>
      </c>
      <c r="B118" s="5">
        <v>2628.0</v>
      </c>
      <c r="C118" s="22">
        <f t="shared" si="2"/>
        <v>965</v>
      </c>
      <c r="D118" s="22">
        <f t="shared" si="3"/>
        <v>1102</v>
      </c>
      <c r="E118" s="22">
        <f t="shared" si="1"/>
        <v>339</v>
      </c>
      <c r="F118" s="20"/>
      <c r="G118" s="20"/>
      <c r="H118" s="20"/>
      <c r="I118" s="20"/>
      <c r="J118" s="20"/>
      <c r="K118" s="20"/>
      <c r="L118" s="22">
        <f t="shared" si="4"/>
        <v>1663</v>
      </c>
      <c r="M118" s="38">
        <f t="shared" si="5"/>
        <v>0.6328006088</v>
      </c>
      <c r="N118" s="22">
        <f t="shared" si="6"/>
        <v>2765569</v>
      </c>
      <c r="O118" s="20"/>
      <c r="P118" s="22">
        <f t="shared" si="7"/>
        <v>1526</v>
      </c>
      <c r="Q118" s="38">
        <f t="shared" si="8"/>
        <v>0.5806697108</v>
      </c>
      <c r="R118" s="22">
        <f t="shared" si="9"/>
        <v>2328676</v>
      </c>
      <c r="S118" s="20"/>
      <c r="T118" s="22">
        <f t="shared" si="10"/>
        <v>2289</v>
      </c>
      <c r="U118" s="38">
        <f t="shared" si="11"/>
        <v>0.8710045662</v>
      </c>
      <c r="V118" s="22">
        <f t="shared" si="12"/>
        <v>5239521</v>
      </c>
    </row>
    <row r="119">
      <c r="A119" s="2">
        <v>40710.0</v>
      </c>
      <c r="B119" s="5">
        <v>720.0</v>
      </c>
      <c r="C119" s="22">
        <f t="shared" si="2"/>
        <v>724</v>
      </c>
      <c r="D119" s="22">
        <f t="shared" si="3"/>
        <v>1115</v>
      </c>
      <c r="E119" s="22">
        <f t="shared" si="1"/>
        <v>1712</v>
      </c>
      <c r="F119" s="20"/>
      <c r="G119" s="20"/>
      <c r="H119" s="20"/>
      <c r="I119" s="20"/>
      <c r="J119" s="20"/>
      <c r="K119" s="20"/>
      <c r="L119" s="22">
        <f t="shared" si="4"/>
        <v>-4</v>
      </c>
      <c r="M119" s="38">
        <f t="shared" si="5"/>
        <v>0.005555555556</v>
      </c>
      <c r="N119" s="22">
        <f t="shared" si="6"/>
        <v>16</v>
      </c>
      <c r="O119" s="20"/>
      <c r="P119" s="22">
        <f t="shared" si="7"/>
        <v>-395</v>
      </c>
      <c r="Q119" s="38">
        <f t="shared" si="8"/>
        <v>0.5486111111</v>
      </c>
      <c r="R119" s="22">
        <f t="shared" si="9"/>
        <v>156025</v>
      </c>
      <c r="S119" s="20"/>
      <c r="T119" s="22">
        <f t="shared" si="10"/>
        <v>-992</v>
      </c>
      <c r="U119" s="38">
        <f t="shared" si="11"/>
        <v>1.377777778</v>
      </c>
      <c r="V119" s="22">
        <f t="shared" si="12"/>
        <v>984064</v>
      </c>
    </row>
    <row r="120">
      <c r="A120" s="2">
        <v>40711.0</v>
      </c>
      <c r="B120" s="5">
        <v>30.0</v>
      </c>
      <c r="C120" s="22">
        <f t="shared" si="2"/>
        <v>810</v>
      </c>
      <c r="D120" s="22">
        <f t="shared" si="3"/>
        <v>1112</v>
      </c>
      <c r="E120" s="22">
        <f t="shared" si="1"/>
        <v>1117</v>
      </c>
      <c r="F120" s="20"/>
      <c r="G120" s="20"/>
      <c r="H120" s="20"/>
      <c r="I120" s="20"/>
      <c r="J120" s="20"/>
      <c r="K120" s="20"/>
      <c r="L120" s="22">
        <f t="shared" si="4"/>
        <v>-780</v>
      </c>
      <c r="M120" s="38">
        <f t="shared" si="5"/>
        <v>26</v>
      </c>
      <c r="N120" s="22">
        <f t="shared" si="6"/>
        <v>608400</v>
      </c>
      <c r="O120" s="20"/>
      <c r="P120" s="22">
        <f t="shared" si="7"/>
        <v>-1082</v>
      </c>
      <c r="Q120" s="38">
        <f t="shared" si="8"/>
        <v>36.06666667</v>
      </c>
      <c r="R120" s="22">
        <f t="shared" si="9"/>
        <v>1170724</v>
      </c>
      <c r="S120" s="20"/>
      <c r="T120" s="22">
        <f t="shared" si="10"/>
        <v>-1087</v>
      </c>
      <c r="U120" s="38">
        <f t="shared" si="11"/>
        <v>36.23333333</v>
      </c>
      <c r="V120" s="22">
        <f t="shared" si="12"/>
        <v>1181569</v>
      </c>
    </row>
    <row r="121">
      <c r="A121" s="2">
        <v>40714.0</v>
      </c>
      <c r="B121" s="5">
        <v>216.0</v>
      </c>
      <c r="C121" s="22">
        <f t="shared" si="2"/>
        <v>793</v>
      </c>
      <c r="D121" s="22">
        <f t="shared" si="3"/>
        <v>1102</v>
      </c>
      <c r="E121" s="22">
        <f t="shared" si="1"/>
        <v>465</v>
      </c>
      <c r="F121" s="20"/>
      <c r="G121" s="20"/>
      <c r="H121" s="20"/>
      <c r="I121" s="20"/>
      <c r="J121" s="20"/>
      <c r="K121" s="20"/>
      <c r="L121" s="22">
        <f t="shared" si="4"/>
        <v>-577</v>
      </c>
      <c r="M121" s="38">
        <f t="shared" si="5"/>
        <v>2.671296296</v>
      </c>
      <c r="N121" s="22">
        <f t="shared" si="6"/>
        <v>332929</v>
      </c>
      <c r="O121" s="20"/>
      <c r="P121" s="22">
        <f t="shared" si="7"/>
        <v>-886</v>
      </c>
      <c r="Q121" s="38">
        <f t="shared" si="8"/>
        <v>4.101851852</v>
      </c>
      <c r="R121" s="22">
        <f t="shared" si="9"/>
        <v>784996</v>
      </c>
      <c r="S121" s="20"/>
      <c r="T121" s="22">
        <f t="shared" si="10"/>
        <v>-249</v>
      </c>
      <c r="U121" s="38">
        <f t="shared" si="11"/>
        <v>1.152777778</v>
      </c>
      <c r="V121" s="22">
        <f t="shared" si="12"/>
        <v>62001</v>
      </c>
    </row>
    <row r="122">
      <c r="A122" s="2">
        <v>40715.0</v>
      </c>
      <c r="B122" s="5">
        <v>1476.0</v>
      </c>
      <c r="C122" s="22">
        <f t="shared" si="2"/>
        <v>782</v>
      </c>
      <c r="D122" s="22">
        <f t="shared" si="3"/>
        <v>1095</v>
      </c>
      <c r="E122" s="22">
        <f t="shared" si="1"/>
        <v>316</v>
      </c>
      <c r="F122" s="20"/>
      <c r="G122" s="20"/>
      <c r="H122" s="20"/>
      <c r="I122" s="20"/>
      <c r="J122" s="20"/>
      <c r="K122" s="20"/>
      <c r="L122" s="22">
        <f t="shared" si="4"/>
        <v>694</v>
      </c>
      <c r="M122" s="38">
        <f t="shared" si="5"/>
        <v>0.4701897019</v>
      </c>
      <c r="N122" s="22">
        <f t="shared" si="6"/>
        <v>481636</v>
      </c>
      <c r="O122" s="20"/>
      <c r="P122" s="22">
        <f t="shared" si="7"/>
        <v>381</v>
      </c>
      <c r="Q122" s="38">
        <f t="shared" si="8"/>
        <v>0.2581300813</v>
      </c>
      <c r="R122" s="22">
        <f t="shared" si="9"/>
        <v>145161</v>
      </c>
      <c r="S122" s="20"/>
      <c r="T122" s="22">
        <f t="shared" si="10"/>
        <v>1160</v>
      </c>
      <c r="U122" s="38">
        <f t="shared" si="11"/>
        <v>0.7859078591</v>
      </c>
      <c r="V122" s="22">
        <f t="shared" si="12"/>
        <v>1345600</v>
      </c>
    </row>
    <row r="123">
      <c r="A123" s="2">
        <v>40716.0</v>
      </c>
      <c r="B123" s="5">
        <v>2838.0</v>
      </c>
      <c r="C123" s="22">
        <f t="shared" si="2"/>
        <v>1014</v>
      </c>
      <c r="D123" s="22">
        <f t="shared" si="3"/>
        <v>1098</v>
      </c>
      <c r="E123" s="22">
        <f t="shared" si="1"/>
        <v>1012</v>
      </c>
      <c r="F123" s="20"/>
      <c r="G123" s="20"/>
      <c r="H123" s="20"/>
      <c r="I123" s="20"/>
      <c r="J123" s="20"/>
      <c r="K123" s="20"/>
      <c r="L123" s="22">
        <f t="shared" si="4"/>
        <v>1824</v>
      </c>
      <c r="M123" s="38">
        <f t="shared" si="5"/>
        <v>0.6427061311</v>
      </c>
      <c r="N123" s="22">
        <f t="shared" si="6"/>
        <v>3326976</v>
      </c>
      <c r="O123" s="20"/>
      <c r="P123" s="22">
        <f t="shared" si="7"/>
        <v>1740</v>
      </c>
      <c r="Q123" s="38">
        <f t="shared" si="8"/>
        <v>0.6131078224</v>
      </c>
      <c r="R123" s="22">
        <f t="shared" si="9"/>
        <v>3027600</v>
      </c>
      <c r="S123" s="20"/>
      <c r="T123" s="22">
        <f t="shared" si="10"/>
        <v>1826</v>
      </c>
      <c r="U123" s="38">
        <f t="shared" si="11"/>
        <v>0.6434108527</v>
      </c>
      <c r="V123" s="22">
        <f t="shared" si="12"/>
        <v>3334276</v>
      </c>
    </row>
    <row r="124">
      <c r="A124" s="2">
        <v>40717.0</v>
      </c>
      <c r="B124" s="5">
        <v>342.0</v>
      </c>
      <c r="C124" s="22">
        <f t="shared" si="2"/>
        <v>1056</v>
      </c>
      <c r="D124" s="22">
        <f t="shared" si="3"/>
        <v>1112</v>
      </c>
      <c r="E124" s="22">
        <f t="shared" si="1"/>
        <v>2108</v>
      </c>
      <c r="F124" s="20"/>
      <c r="G124" s="20"/>
      <c r="H124" s="20"/>
      <c r="I124" s="20"/>
      <c r="J124" s="20"/>
      <c r="K124" s="20"/>
      <c r="L124" s="22">
        <f t="shared" si="4"/>
        <v>-714</v>
      </c>
      <c r="M124" s="38">
        <f t="shared" si="5"/>
        <v>2.087719298</v>
      </c>
      <c r="N124" s="22">
        <f t="shared" si="6"/>
        <v>509796</v>
      </c>
      <c r="O124" s="20"/>
      <c r="P124" s="22">
        <f t="shared" si="7"/>
        <v>-770</v>
      </c>
      <c r="Q124" s="38">
        <f t="shared" si="8"/>
        <v>2.251461988</v>
      </c>
      <c r="R124" s="22">
        <f t="shared" si="9"/>
        <v>592900</v>
      </c>
      <c r="S124" s="20"/>
      <c r="T124" s="22">
        <f t="shared" si="10"/>
        <v>-1766</v>
      </c>
      <c r="U124" s="38">
        <f t="shared" si="11"/>
        <v>5.16374269</v>
      </c>
      <c r="V124" s="22">
        <f t="shared" si="12"/>
        <v>3118756</v>
      </c>
    </row>
    <row r="125">
      <c r="A125" s="2">
        <v>40718.0</v>
      </c>
      <c r="B125" s="5">
        <v>318.0</v>
      </c>
      <c r="C125" s="22">
        <f t="shared" si="2"/>
        <v>980</v>
      </c>
      <c r="D125" s="22">
        <f t="shared" si="3"/>
        <v>1106</v>
      </c>
      <c r="E125" s="22">
        <f t="shared" si="1"/>
        <v>1048</v>
      </c>
      <c r="F125" s="20"/>
      <c r="G125" s="20"/>
      <c r="H125" s="20"/>
      <c r="I125" s="20"/>
      <c r="J125" s="20"/>
      <c r="K125" s="20"/>
      <c r="L125" s="22">
        <f t="shared" si="4"/>
        <v>-662</v>
      </c>
      <c r="M125" s="38">
        <f t="shared" si="5"/>
        <v>2.081761006</v>
      </c>
      <c r="N125" s="22">
        <f t="shared" si="6"/>
        <v>438244</v>
      </c>
      <c r="O125" s="20"/>
      <c r="P125" s="22">
        <f t="shared" si="7"/>
        <v>-788</v>
      </c>
      <c r="Q125" s="38">
        <f t="shared" si="8"/>
        <v>2.477987421</v>
      </c>
      <c r="R125" s="22">
        <f t="shared" si="9"/>
        <v>620944</v>
      </c>
      <c r="S125" s="20"/>
      <c r="T125" s="22">
        <f t="shared" si="10"/>
        <v>-730</v>
      </c>
      <c r="U125" s="38">
        <f t="shared" si="11"/>
        <v>2.295597484</v>
      </c>
      <c r="V125" s="22">
        <f t="shared" si="12"/>
        <v>532900</v>
      </c>
    </row>
    <row r="126">
      <c r="A126" s="2">
        <v>40721.0</v>
      </c>
      <c r="B126" s="5">
        <v>186.0</v>
      </c>
      <c r="C126" s="22">
        <f t="shared" si="2"/>
        <v>1038</v>
      </c>
      <c r="D126" s="22">
        <f t="shared" si="3"/>
        <v>1100</v>
      </c>
      <c r="E126" s="22">
        <f t="shared" si="1"/>
        <v>610</v>
      </c>
      <c r="F126" s="20"/>
      <c r="G126" s="20"/>
      <c r="H126" s="20"/>
      <c r="I126" s="20"/>
      <c r="J126" s="20"/>
      <c r="K126" s="20"/>
      <c r="L126" s="22">
        <f t="shared" si="4"/>
        <v>-852</v>
      </c>
      <c r="M126" s="38">
        <f t="shared" si="5"/>
        <v>4.580645161</v>
      </c>
      <c r="N126" s="22">
        <f t="shared" si="6"/>
        <v>725904</v>
      </c>
      <c r="O126" s="20"/>
      <c r="P126" s="22">
        <f t="shared" si="7"/>
        <v>-914</v>
      </c>
      <c r="Q126" s="38">
        <f t="shared" si="8"/>
        <v>4.913978495</v>
      </c>
      <c r="R126" s="22">
        <f t="shared" si="9"/>
        <v>835396</v>
      </c>
      <c r="S126" s="20"/>
      <c r="T126" s="22">
        <f t="shared" si="10"/>
        <v>-424</v>
      </c>
      <c r="U126" s="38">
        <f t="shared" si="11"/>
        <v>2.279569892</v>
      </c>
      <c r="V126" s="22">
        <f t="shared" si="12"/>
        <v>179776</v>
      </c>
    </row>
    <row r="127">
      <c r="A127" s="2">
        <v>40722.0</v>
      </c>
      <c r="B127" s="5">
        <v>1650.0</v>
      </c>
      <c r="C127" s="22">
        <f t="shared" si="2"/>
        <v>1032</v>
      </c>
      <c r="D127" s="22">
        <f t="shared" si="3"/>
        <v>1092</v>
      </c>
      <c r="E127" s="22">
        <f t="shared" si="1"/>
        <v>356</v>
      </c>
      <c r="F127" s="20"/>
      <c r="G127" s="20"/>
      <c r="H127" s="20"/>
      <c r="I127" s="20"/>
      <c r="J127" s="20"/>
      <c r="K127" s="20"/>
      <c r="L127" s="22">
        <f t="shared" si="4"/>
        <v>618</v>
      </c>
      <c r="M127" s="38">
        <f t="shared" si="5"/>
        <v>0.3745454545</v>
      </c>
      <c r="N127" s="22">
        <f t="shared" si="6"/>
        <v>381924</v>
      </c>
      <c r="O127" s="20"/>
      <c r="P127" s="22">
        <f t="shared" si="7"/>
        <v>558</v>
      </c>
      <c r="Q127" s="38">
        <f t="shared" si="8"/>
        <v>0.3381818182</v>
      </c>
      <c r="R127" s="22">
        <f t="shared" si="9"/>
        <v>311364</v>
      </c>
      <c r="S127" s="20"/>
      <c r="T127" s="22">
        <f t="shared" si="10"/>
        <v>1294</v>
      </c>
      <c r="U127" s="38">
        <f t="shared" si="11"/>
        <v>0.7842424242</v>
      </c>
      <c r="V127" s="22">
        <f t="shared" si="12"/>
        <v>1674436</v>
      </c>
    </row>
    <row r="128">
      <c r="A128" s="2">
        <v>40723.0</v>
      </c>
      <c r="B128" s="5">
        <v>936.0</v>
      </c>
      <c r="C128" s="22">
        <f t="shared" si="2"/>
        <v>1067</v>
      </c>
      <c r="D128" s="22">
        <f t="shared" si="3"/>
        <v>1097</v>
      </c>
      <c r="E128" s="22">
        <f t="shared" si="1"/>
        <v>1132</v>
      </c>
      <c r="F128" s="20"/>
      <c r="G128" s="20"/>
      <c r="H128" s="20"/>
      <c r="I128" s="20"/>
      <c r="J128" s="20"/>
      <c r="K128" s="20"/>
      <c r="L128" s="22">
        <f t="shared" si="4"/>
        <v>-131</v>
      </c>
      <c r="M128" s="38">
        <f t="shared" si="5"/>
        <v>0.139957265</v>
      </c>
      <c r="N128" s="22">
        <f t="shared" si="6"/>
        <v>17161</v>
      </c>
      <c r="O128" s="20"/>
      <c r="P128" s="22">
        <f t="shared" si="7"/>
        <v>-161</v>
      </c>
      <c r="Q128" s="38">
        <f t="shared" si="8"/>
        <v>0.172008547</v>
      </c>
      <c r="R128" s="22">
        <f t="shared" si="9"/>
        <v>25921</v>
      </c>
      <c r="S128" s="20"/>
      <c r="T128" s="22">
        <f t="shared" si="10"/>
        <v>-196</v>
      </c>
      <c r="U128" s="38">
        <f t="shared" si="11"/>
        <v>0.2094017094</v>
      </c>
      <c r="V128" s="22">
        <f t="shared" si="12"/>
        <v>38416</v>
      </c>
    </row>
    <row r="129">
      <c r="A129" s="2">
        <v>40724.0</v>
      </c>
      <c r="B129" s="5">
        <v>318.0</v>
      </c>
      <c r="C129" s="22">
        <f t="shared" si="2"/>
        <v>686</v>
      </c>
      <c r="D129" s="22">
        <f t="shared" si="3"/>
        <v>1096</v>
      </c>
      <c r="E129" s="22">
        <f t="shared" si="1"/>
        <v>1014</v>
      </c>
      <c r="F129" s="20"/>
      <c r="G129" s="20"/>
      <c r="H129" s="20"/>
      <c r="I129" s="20"/>
      <c r="J129" s="20"/>
      <c r="K129" s="20"/>
      <c r="L129" s="22">
        <f t="shared" si="4"/>
        <v>-368</v>
      </c>
      <c r="M129" s="38">
        <f t="shared" si="5"/>
        <v>1.157232704</v>
      </c>
      <c r="N129" s="22">
        <f t="shared" si="6"/>
        <v>135424</v>
      </c>
      <c r="O129" s="20"/>
      <c r="P129" s="22">
        <f t="shared" si="7"/>
        <v>-778</v>
      </c>
      <c r="Q129" s="38">
        <f t="shared" si="8"/>
        <v>2.446540881</v>
      </c>
      <c r="R129" s="22">
        <f t="shared" si="9"/>
        <v>605284</v>
      </c>
      <c r="S129" s="20"/>
      <c r="T129" s="22">
        <f t="shared" si="10"/>
        <v>-696</v>
      </c>
      <c r="U129" s="38">
        <f t="shared" si="11"/>
        <v>2.188679245</v>
      </c>
      <c r="V129" s="22">
        <f t="shared" si="12"/>
        <v>484416</v>
      </c>
    </row>
    <row r="130">
      <c r="A130" s="2">
        <v>40725.0</v>
      </c>
      <c r="B130" s="5">
        <v>12.0</v>
      </c>
      <c r="C130" s="22">
        <f t="shared" si="2"/>
        <v>682</v>
      </c>
      <c r="D130" s="22">
        <f t="shared" si="3"/>
        <v>1089</v>
      </c>
      <c r="E130" s="22">
        <f t="shared" si="1"/>
        <v>596</v>
      </c>
      <c r="F130" s="20"/>
      <c r="G130" s="20"/>
      <c r="H130" s="20"/>
      <c r="I130" s="20"/>
      <c r="J130" s="20"/>
      <c r="K130" s="20"/>
      <c r="L130" s="22">
        <f t="shared" si="4"/>
        <v>-670</v>
      </c>
      <c r="M130" s="38">
        <f t="shared" si="5"/>
        <v>55.83333333</v>
      </c>
      <c r="N130" s="22">
        <f t="shared" si="6"/>
        <v>448900</v>
      </c>
      <c r="O130" s="20"/>
      <c r="P130" s="22">
        <f t="shared" si="7"/>
        <v>-1077</v>
      </c>
      <c r="Q130" s="38">
        <f t="shared" si="8"/>
        <v>89.75</v>
      </c>
      <c r="R130" s="22">
        <f t="shared" si="9"/>
        <v>1159929</v>
      </c>
      <c r="S130" s="20"/>
      <c r="T130" s="22">
        <f t="shared" si="10"/>
        <v>-584</v>
      </c>
      <c r="U130" s="38">
        <f t="shared" si="11"/>
        <v>48.66666667</v>
      </c>
      <c r="V130" s="22">
        <f t="shared" si="12"/>
        <v>341056</v>
      </c>
    </row>
    <row r="131">
      <c r="A131" s="2">
        <v>40729.0</v>
      </c>
      <c r="B131" s="5">
        <v>1956.0</v>
      </c>
      <c r="C131" s="22">
        <f t="shared" si="2"/>
        <v>620</v>
      </c>
      <c r="D131" s="22">
        <f t="shared" si="3"/>
        <v>1081</v>
      </c>
      <c r="E131" s="22">
        <f t="shared" si="1"/>
        <v>246</v>
      </c>
      <c r="F131" s="20"/>
      <c r="G131" s="20"/>
      <c r="H131" s="20"/>
      <c r="I131" s="20"/>
      <c r="J131" s="20"/>
      <c r="K131" s="20"/>
      <c r="L131" s="22">
        <f t="shared" si="4"/>
        <v>1336</v>
      </c>
      <c r="M131" s="38">
        <f t="shared" si="5"/>
        <v>0.6830265849</v>
      </c>
      <c r="N131" s="22">
        <f t="shared" si="6"/>
        <v>1784896</v>
      </c>
      <c r="O131" s="20"/>
      <c r="P131" s="22">
        <f t="shared" si="7"/>
        <v>875</v>
      </c>
      <c r="Q131" s="38">
        <f t="shared" si="8"/>
        <v>0.4473415133</v>
      </c>
      <c r="R131" s="22">
        <f t="shared" si="9"/>
        <v>765625</v>
      </c>
      <c r="S131" s="20"/>
      <c r="T131" s="22">
        <f t="shared" si="10"/>
        <v>1710</v>
      </c>
      <c r="U131" s="38">
        <f t="shared" si="11"/>
        <v>0.8742331288</v>
      </c>
      <c r="V131" s="22">
        <f t="shared" si="12"/>
        <v>2924100</v>
      </c>
    </row>
    <row r="132">
      <c r="A132" s="2">
        <v>40730.0</v>
      </c>
      <c r="B132" s="5">
        <v>4776.0</v>
      </c>
      <c r="C132" s="22">
        <f t="shared" si="2"/>
        <v>974</v>
      </c>
      <c r="D132" s="22">
        <f t="shared" si="3"/>
        <v>1088</v>
      </c>
      <c r="E132" s="22">
        <f t="shared" si="1"/>
        <v>1272</v>
      </c>
      <c r="F132" s="20"/>
      <c r="G132" s="20"/>
      <c r="H132" s="20"/>
      <c r="I132" s="20"/>
      <c r="J132" s="20"/>
      <c r="K132" s="20"/>
      <c r="L132" s="22">
        <f t="shared" si="4"/>
        <v>3802</v>
      </c>
      <c r="M132" s="38">
        <f t="shared" si="5"/>
        <v>0.7960636516</v>
      </c>
      <c r="N132" s="22">
        <f t="shared" si="6"/>
        <v>14455204</v>
      </c>
      <c r="O132" s="20"/>
      <c r="P132" s="22">
        <f t="shared" si="7"/>
        <v>3688</v>
      </c>
      <c r="Q132" s="38">
        <f t="shared" si="8"/>
        <v>0.7721943049</v>
      </c>
      <c r="R132" s="22">
        <f t="shared" si="9"/>
        <v>13601344</v>
      </c>
      <c r="S132" s="20"/>
      <c r="T132" s="22">
        <f t="shared" si="10"/>
        <v>3504</v>
      </c>
      <c r="U132" s="38">
        <f t="shared" si="11"/>
        <v>0.7336683417</v>
      </c>
      <c r="V132" s="22">
        <f t="shared" si="12"/>
        <v>12278016</v>
      </c>
    </row>
    <row r="133">
      <c r="A133" s="2">
        <v>40731.0</v>
      </c>
      <c r="B133" s="5">
        <v>60.0</v>
      </c>
      <c r="C133" s="22">
        <f t="shared" si="2"/>
        <v>1600</v>
      </c>
      <c r="D133" s="22">
        <f t="shared" si="3"/>
        <v>1116</v>
      </c>
      <c r="E133" s="22">
        <f t="shared" si="1"/>
        <v>3374</v>
      </c>
      <c r="F133" s="20"/>
      <c r="G133" s="20"/>
      <c r="H133" s="20"/>
      <c r="I133" s="20"/>
      <c r="J133" s="20"/>
      <c r="K133" s="20"/>
      <c r="L133" s="22">
        <f t="shared" si="4"/>
        <v>-1540</v>
      </c>
      <c r="M133" s="38">
        <f t="shared" si="5"/>
        <v>25.66666667</v>
      </c>
      <c r="N133" s="22">
        <f t="shared" si="6"/>
        <v>2371600</v>
      </c>
      <c r="O133" s="20"/>
      <c r="P133" s="22">
        <f t="shared" si="7"/>
        <v>-1056</v>
      </c>
      <c r="Q133" s="38">
        <f t="shared" si="8"/>
        <v>17.6</v>
      </c>
      <c r="R133" s="22">
        <f t="shared" si="9"/>
        <v>1115136</v>
      </c>
      <c r="S133" s="20"/>
      <c r="T133" s="22">
        <f t="shared" si="10"/>
        <v>-3314</v>
      </c>
      <c r="U133" s="38">
        <f t="shared" si="11"/>
        <v>55.23333333</v>
      </c>
      <c r="V133" s="22">
        <f t="shared" si="12"/>
        <v>10982596</v>
      </c>
    </row>
    <row r="134">
      <c r="A134" s="2">
        <v>40732.0</v>
      </c>
      <c r="B134" s="5">
        <v>72.0</v>
      </c>
      <c r="C134" s="22">
        <f t="shared" si="2"/>
        <v>1424</v>
      </c>
      <c r="D134" s="22">
        <f t="shared" si="3"/>
        <v>1108</v>
      </c>
      <c r="E134" s="22">
        <f t="shared" si="1"/>
        <v>1386</v>
      </c>
      <c r="F134" s="20"/>
      <c r="G134" s="20"/>
      <c r="H134" s="20"/>
      <c r="I134" s="20"/>
      <c r="J134" s="20"/>
      <c r="K134" s="20"/>
      <c r="L134" s="22">
        <f t="shared" si="4"/>
        <v>-1352</v>
      </c>
      <c r="M134" s="38">
        <f t="shared" si="5"/>
        <v>18.77777778</v>
      </c>
      <c r="N134" s="22">
        <f t="shared" si="6"/>
        <v>1827904</v>
      </c>
      <c r="O134" s="20"/>
      <c r="P134" s="22">
        <f t="shared" si="7"/>
        <v>-1036</v>
      </c>
      <c r="Q134" s="38">
        <f t="shared" si="8"/>
        <v>14.38888889</v>
      </c>
      <c r="R134" s="22">
        <f t="shared" si="9"/>
        <v>1073296</v>
      </c>
      <c r="S134" s="20"/>
      <c r="T134" s="22">
        <f t="shared" si="10"/>
        <v>-1314</v>
      </c>
      <c r="U134" s="38">
        <f t="shared" si="11"/>
        <v>18.25</v>
      </c>
      <c r="V134" s="22">
        <f t="shared" si="12"/>
        <v>1726596</v>
      </c>
    </row>
    <row r="135">
      <c r="A135" s="2">
        <v>40735.0</v>
      </c>
      <c r="B135" s="5">
        <v>114.0</v>
      </c>
      <c r="C135" s="22">
        <f t="shared" si="2"/>
        <v>1375</v>
      </c>
      <c r="D135" s="22">
        <f t="shared" si="3"/>
        <v>1100</v>
      </c>
      <c r="E135" s="22">
        <f t="shared" si="1"/>
        <v>598</v>
      </c>
      <c r="F135" s="20"/>
      <c r="G135" s="20"/>
      <c r="H135" s="20"/>
      <c r="I135" s="20"/>
      <c r="J135" s="20"/>
      <c r="K135" s="20"/>
      <c r="L135" s="22">
        <f t="shared" si="4"/>
        <v>-1261</v>
      </c>
      <c r="M135" s="38">
        <f t="shared" si="5"/>
        <v>11.06140351</v>
      </c>
      <c r="N135" s="22">
        <f t="shared" si="6"/>
        <v>1590121</v>
      </c>
      <c r="O135" s="20"/>
      <c r="P135" s="22">
        <f t="shared" si="7"/>
        <v>-986</v>
      </c>
      <c r="Q135" s="38">
        <f t="shared" si="8"/>
        <v>8.649122807</v>
      </c>
      <c r="R135" s="22">
        <f t="shared" si="9"/>
        <v>972196</v>
      </c>
      <c r="S135" s="20"/>
      <c r="T135" s="22">
        <f t="shared" si="10"/>
        <v>-484</v>
      </c>
      <c r="U135" s="38">
        <f t="shared" si="11"/>
        <v>4.245614035</v>
      </c>
      <c r="V135" s="22">
        <f t="shared" si="12"/>
        <v>234256</v>
      </c>
    </row>
    <row r="136">
      <c r="A136" s="2">
        <v>40736.0</v>
      </c>
      <c r="B136" s="5">
        <v>354.0</v>
      </c>
      <c r="C136" s="22">
        <f t="shared" si="2"/>
        <v>1396</v>
      </c>
      <c r="D136" s="22">
        <f t="shared" si="3"/>
        <v>1093</v>
      </c>
      <c r="E136" s="22">
        <f t="shared" si="1"/>
        <v>308</v>
      </c>
      <c r="F136" s="20"/>
      <c r="G136" s="20"/>
      <c r="H136" s="20"/>
      <c r="I136" s="20"/>
      <c r="J136" s="20"/>
      <c r="K136" s="20"/>
      <c r="L136" s="22">
        <f t="shared" si="4"/>
        <v>-1042</v>
      </c>
      <c r="M136" s="38">
        <f t="shared" si="5"/>
        <v>2.943502825</v>
      </c>
      <c r="N136" s="22">
        <f t="shared" si="6"/>
        <v>1085764</v>
      </c>
      <c r="O136" s="20"/>
      <c r="P136" s="22">
        <f t="shared" si="7"/>
        <v>-739</v>
      </c>
      <c r="Q136" s="38">
        <f t="shared" si="8"/>
        <v>2.087570621</v>
      </c>
      <c r="R136" s="22">
        <f t="shared" si="9"/>
        <v>546121</v>
      </c>
      <c r="S136" s="20"/>
      <c r="T136" s="22">
        <f t="shared" si="10"/>
        <v>46</v>
      </c>
      <c r="U136" s="38">
        <f t="shared" si="11"/>
        <v>0.1299435028</v>
      </c>
      <c r="V136" s="22">
        <f t="shared" si="12"/>
        <v>2116</v>
      </c>
    </row>
    <row r="137">
      <c r="A137" s="2">
        <v>40737.0</v>
      </c>
      <c r="B137" s="5">
        <v>3996.0</v>
      </c>
      <c r="C137" s="22">
        <f t="shared" si="2"/>
        <v>1075</v>
      </c>
      <c r="D137" s="22">
        <f t="shared" si="3"/>
        <v>1087</v>
      </c>
      <c r="E137" s="22">
        <f t="shared" si="1"/>
        <v>336</v>
      </c>
      <c r="F137" s="20"/>
      <c r="G137" s="20"/>
      <c r="H137" s="20"/>
      <c r="I137" s="20"/>
      <c r="J137" s="20"/>
      <c r="K137" s="20"/>
      <c r="L137" s="22">
        <f t="shared" si="4"/>
        <v>2921</v>
      </c>
      <c r="M137" s="38">
        <f t="shared" si="5"/>
        <v>0.730980981</v>
      </c>
      <c r="N137" s="22">
        <f t="shared" si="6"/>
        <v>8532241</v>
      </c>
      <c r="O137" s="20"/>
      <c r="P137" s="22">
        <f t="shared" si="7"/>
        <v>2909</v>
      </c>
      <c r="Q137" s="38">
        <f t="shared" si="8"/>
        <v>0.727977978</v>
      </c>
      <c r="R137" s="22">
        <f t="shared" si="9"/>
        <v>8462281</v>
      </c>
      <c r="S137" s="20"/>
      <c r="T137" s="22">
        <f t="shared" si="10"/>
        <v>3660</v>
      </c>
      <c r="U137" s="38">
        <f t="shared" si="11"/>
        <v>0.9159159159</v>
      </c>
      <c r="V137" s="22">
        <f t="shared" si="12"/>
        <v>13395600</v>
      </c>
    </row>
    <row r="138">
      <c r="A138" s="2">
        <v>40738.0</v>
      </c>
      <c r="B138" s="5">
        <v>324.0</v>
      </c>
      <c r="C138" s="22">
        <f t="shared" si="2"/>
        <v>919</v>
      </c>
      <c r="D138" s="22">
        <f t="shared" si="3"/>
        <v>1109</v>
      </c>
      <c r="E138" s="22">
        <f t="shared" si="1"/>
        <v>2532</v>
      </c>
      <c r="F138" s="20"/>
      <c r="G138" s="20"/>
      <c r="H138" s="20"/>
      <c r="I138" s="20"/>
      <c r="J138" s="20"/>
      <c r="K138" s="20"/>
      <c r="L138" s="22">
        <f t="shared" si="4"/>
        <v>-595</v>
      </c>
      <c r="M138" s="38">
        <f t="shared" si="5"/>
        <v>1.836419753</v>
      </c>
      <c r="N138" s="22">
        <f t="shared" si="6"/>
        <v>354025</v>
      </c>
      <c r="O138" s="20"/>
      <c r="P138" s="22">
        <f t="shared" si="7"/>
        <v>-785</v>
      </c>
      <c r="Q138" s="38">
        <f t="shared" si="8"/>
        <v>2.422839506</v>
      </c>
      <c r="R138" s="22">
        <f t="shared" si="9"/>
        <v>616225</v>
      </c>
      <c r="S138" s="20"/>
      <c r="T138" s="22">
        <f t="shared" si="10"/>
        <v>-2208</v>
      </c>
      <c r="U138" s="38">
        <f t="shared" si="11"/>
        <v>6.814814815</v>
      </c>
      <c r="V138" s="22">
        <f t="shared" si="12"/>
        <v>4875264</v>
      </c>
    </row>
    <row r="139">
      <c r="A139" s="2">
        <v>40739.0</v>
      </c>
      <c r="B139" s="5">
        <v>60.0</v>
      </c>
      <c r="C139" s="22">
        <f t="shared" si="2"/>
        <v>972</v>
      </c>
      <c r="D139" s="22">
        <f t="shared" si="3"/>
        <v>1103</v>
      </c>
      <c r="E139" s="22">
        <f t="shared" si="1"/>
        <v>1207</v>
      </c>
      <c r="F139" s="20"/>
      <c r="G139" s="20"/>
      <c r="H139" s="20"/>
      <c r="I139" s="20"/>
      <c r="J139" s="20"/>
      <c r="K139" s="20"/>
      <c r="L139" s="22">
        <f t="shared" si="4"/>
        <v>-912</v>
      </c>
      <c r="M139" s="38">
        <f t="shared" si="5"/>
        <v>15.2</v>
      </c>
      <c r="N139" s="22">
        <f t="shared" si="6"/>
        <v>831744</v>
      </c>
      <c r="O139" s="20"/>
      <c r="P139" s="22">
        <f t="shared" si="7"/>
        <v>-1043</v>
      </c>
      <c r="Q139" s="38">
        <f t="shared" si="8"/>
        <v>17.38333333</v>
      </c>
      <c r="R139" s="22">
        <f t="shared" si="9"/>
        <v>1087849</v>
      </c>
      <c r="S139" s="20"/>
      <c r="T139" s="22">
        <f t="shared" si="10"/>
        <v>-1147</v>
      </c>
      <c r="U139" s="38">
        <f t="shared" si="11"/>
        <v>19.11666667</v>
      </c>
      <c r="V139" s="22">
        <f t="shared" si="12"/>
        <v>1315609</v>
      </c>
    </row>
    <row r="140">
      <c r="A140" s="2">
        <v>40742.0</v>
      </c>
      <c r="B140" s="5">
        <v>222.0</v>
      </c>
      <c r="C140" s="22">
        <f t="shared" si="2"/>
        <v>970</v>
      </c>
      <c r="D140" s="22">
        <f t="shared" si="3"/>
        <v>1095</v>
      </c>
      <c r="E140" s="22">
        <f t="shared" si="1"/>
        <v>519</v>
      </c>
      <c r="F140" s="20"/>
      <c r="G140" s="20"/>
      <c r="H140" s="20"/>
      <c r="I140" s="20"/>
      <c r="J140" s="20"/>
      <c r="K140" s="20"/>
      <c r="L140" s="22">
        <f t="shared" si="4"/>
        <v>-748</v>
      </c>
      <c r="M140" s="38">
        <f t="shared" si="5"/>
        <v>3.369369369</v>
      </c>
      <c r="N140" s="22">
        <f t="shared" si="6"/>
        <v>559504</v>
      </c>
      <c r="O140" s="20"/>
      <c r="P140" s="22">
        <f t="shared" si="7"/>
        <v>-873</v>
      </c>
      <c r="Q140" s="38">
        <f t="shared" si="8"/>
        <v>3.932432432</v>
      </c>
      <c r="R140" s="22">
        <f t="shared" si="9"/>
        <v>762129</v>
      </c>
      <c r="S140" s="20"/>
      <c r="T140" s="22">
        <f t="shared" si="10"/>
        <v>-297</v>
      </c>
      <c r="U140" s="38">
        <f t="shared" si="11"/>
        <v>1.337837838</v>
      </c>
      <c r="V140" s="22">
        <f t="shared" si="12"/>
        <v>88209</v>
      </c>
    </row>
    <row r="141">
      <c r="A141" s="2">
        <v>40743.0</v>
      </c>
      <c r="B141" s="5">
        <v>372.0</v>
      </c>
      <c r="C141" s="22">
        <f t="shared" si="2"/>
        <v>991</v>
      </c>
      <c r="D141" s="22">
        <f t="shared" si="3"/>
        <v>1089</v>
      </c>
      <c r="E141" s="22">
        <f t="shared" si="1"/>
        <v>341</v>
      </c>
      <c r="F141" s="20"/>
      <c r="G141" s="20"/>
      <c r="H141" s="20"/>
      <c r="I141" s="20"/>
      <c r="J141" s="20"/>
      <c r="K141" s="20"/>
      <c r="L141" s="22">
        <f t="shared" si="4"/>
        <v>-619</v>
      </c>
      <c r="M141" s="38">
        <f t="shared" si="5"/>
        <v>1.663978495</v>
      </c>
      <c r="N141" s="22">
        <f t="shared" si="6"/>
        <v>383161</v>
      </c>
      <c r="O141" s="20"/>
      <c r="P141" s="22">
        <f t="shared" si="7"/>
        <v>-717</v>
      </c>
      <c r="Q141" s="38">
        <f t="shared" si="8"/>
        <v>1.927419355</v>
      </c>
      <c r="R141" s="22">
        <f t="shared" si="9"/>
        <v>514089</v>
      </c>
      <c r="S141" s="20"/>
      <c r="T141" s="22">
        <f t="shared" si="10"/>
        <v>31</v>
      </c>
      <c r="U141" s="38">
        <f t="shared" si="11"/>
        <v>0.08333333333</v>
      </c>
      <c r="V141" s="22">
        <f t="shared" si="12"/>
        <v>961</v>
      </c>
    </row>
    <row r="142">
      <c r="A142" s="2">
        <v>40744.0</v>
      </c>
      <c r="B142" s="5">
        <v>3642.0</v>
      </c>
      <c r="C142" s="22">
        <f t="shared" si="2"/>
        <v>995</v>
      </c>
      <c r="D142" s="22">
        <f t="shared" si="3"/>
        <v>1084</v>
      </c>
      <c r="E142" s="22">
        <f t="shared" si="1"/>
        <v>360</v>
      </c>
      <c r="F142" s="20"/>
      <c r="G142" s="20"/>
      <c r="H142" s="20"/>
      <c r="I142" s="20"/>
      <c r="J142" s="20"/>
      <c r="K142" s="20"/>
      <c r="L142" s="22">
        <f t="shared" si="4"/>
        <v>2647</v>
      </c>
      <c r="M142" s="38">
        <f t="shared" si="5"/>
        <v>0.7267984624</v>
      </c>
      <c r="N142" s="22">
        <f t="shared" si="6"/>
        <v>7006609</v>
      </c>
      <c r="O142" s="20"/>
      <c r="P142" s="22">
        <f t="shared" si="7"/>
        <v>2558</v>
      </c>
      <c r="Q142" s="38">
        <f t="shared" si="8"/>
        <v>0.7023613399</v>
      </c>
      <c r="R142" s="22">
        <f t="shared" si="9"/>
        <v>6543364</v>
      </c>
      <c r="S142" s="20"/>
      <c r="T142" s="22">
        <f t="shared" si="10"/>
        <v>3282</v>
      </c>
      <c r="U142" s="38">
        <f t="shared" si="11"/>
        <v>0.9011532125</v>
      </c>
      <c r="V142" s="22">
        <f t="shared" si="12"/>
        <v>10771524</v>
      </c>
    </row>
    <row r="143">
      <c r="A143" s="2">
        <v>40745.0</v>
      </c>
      <c r="B143" s="5">
        <v>636.0</v>
      </c>
      <c r="C143" s="22">
        <f t="shared" si="2"/>
        <v>924</v>
      </c>
      <c r="D143" s="22">
        <f t="shared" si="3"/>
        <v>1102</v>
      </c>
      <c r="E143" s="22">
        <f t="shared" si="1"/>
        <v>2329</v>
      </c>
      <c r="F143" s="20"/>
      <c r="G143" s="20"/>
      <c r="H143" s="20"/>
      <c r="I143" s="20"/>
      <c r="J143" s="20"/>
      <c r="K143" s="20"/>
      <c r="L143" s="22">
        <f t="shared" si="4"/>
        <v>-288</v>
      </c>
      <c r="M143" s="38">
        <f t="shared" si="5"/>
        <v>0.4528301887</v>
      </c>
      <c r="N143" s="22">
        <f t="shared" si="6"/>
        <v>82944</v>
      </c>
      <c r="O143" s="20"/>
      <c r="P143" s="22">
        <f t="shared" si="7"/>
        <v>-466</v>
      </c>
      <c r="Q143" s="38">
        <f t="shared" si="8"/>
        <v>0.7327044025</v>
      </c>
      <c r="R143" s="22">
        <f t="shared" si="9"/>
        <v>217156</v>
      </c>
      <c r="S143" s="20"/>
      <c r="T143" s="22">
        <f t="shared" si="10"/>
        <v>-1693</v>
      </c>
      <c r="U143" s="38">
        <f t="shared" si="11"/>
        <v>2.661949686</v>
      </c>
      <c r="V143" s="22">
        <f t="shared" si="12"/>
        <v>2866249</v>
      </c>
    </row>
    <row r="144">
      <c r="A144" s="2">
        <v>40746.0</v>
      </c>
      <c r="B144" s="5">
        <v>24.0</v>
      </c>
      <c r="C144" s="22">
        <f t="shared" si="2"/>
        <v>986</v>
      </c>
      <c r="D144" s="22">
        <f t="shared" si="3"/>
        <v>1099</v>
      </c>
      <c r="E144" s="22">
        <f t="shared" si="1"/>
        <v>1313</v>
      </c>
      <c r="F144" s="20"/>
      <c r="G144" s="20"/>
      <c r="H144" s="20"/>
      <c r="I144" s="20"/>
      <c r="J144" s="20"/>
      <c r="K144" s="20"/>
      <c r="L144" s="22">
        <f t="shared" si="4"/>
        <v>-962</v>
      </c>
      <c r="M144" s="38">
        <f t="shared" si="5"/>
        <v>40.08333333</v>
      </c>
      <c r="N144" s="22">
        <f t="shared" si="6"/>
        <v>925444</v>
      </c>
      <c r="O144" s="20"/>
      <c r="P144" s="22">
        <f t="shared" si="7"/>
        <v>-1075</v>
      </c>
      <c r="Q144" s="38">
        <f t="shared" si="8"/>
        <v>44.79166667</v>
      </c>
      <c r="R144" s="22">
        <f t="shared" si="9"/>
        <v>1155625</v>
      </c>
      <c r="S144" s="20"/>
      <c r="T144" s="22">
        <f t="shared" si="10"/>
        <v>-1289</v>
      </c>
      <c r="U144" s="38">
        <f t="shared" si="11"/>
        <v>53.70833333</v>
      </c>
      <c r="V144" s="22">
        <f t="shared" si="12"/>
        <v>1661521</v>
      </c>
    </row>
    <row r="145">
      <c r="A145" s="2">
        <v>40749.0</v>
      </c>
      <c r="B145" s="5">
        <v>444.0</v>
      </c>
      <c r="C145" s="22">
        <f t="shared" si="2"/>
        <v>979</v>
      </c>
      <c r="D145" s="22">
        <f t="shared" si="3"/>
        <v>1091</v>
      </c>
      <c r="E145" s="22">
        <f t="shared" si="1"/>
        <v>540</v>
      </c>
      <c r="F145" s="20"/>
      <c r="G145" s="20"/>
      <c r="H145" s="20"/>
      <c r="I145" s="20"/>
      <c r="J145" s="20"/>
      <c r="K145" s="20"/>
      <c r="L145" s="22">
        <f t="shared" si="4"/>
        <v>-535</v>
      </c>
      <c r="M145" s="38">
        <f t="shared" si="5"/>
        <v>1.204954955</v>
      </c>
      <c r="N145" s="22">
        <f t="shared" si="6"/>
        <v>286225</v>
      </c>
      <c r="O145" s="20"/>
      <c r="P145" s="22">
        <f t="shared" si="7"/>
        <v>-647</v>
      </c>
      <c r="Q145" s="38">
        <f t="shared" si="8"/>
        <v>1.457207207</v>
      </c>
      <c r="R145" s="22">
        <f t="shared" si="9"/>
        <v>418609</v>
      </c>
      <c r="S145" s="20"/>
      <c r="T145" s="22">
        <f t="shared" si="10"/>
        <v>-96</v>
      </c>
      <c r="U145" s="38">
        <f t="shared" si="11"/>
        <v>0.2162162162</v>
      </c>
      <c r="V145" s="22">
        <f t="shared" si="12"/>
        <v>9216</v>
      </c>
    </row>
    <row r="146">
      <c r="A146" s="2">
        <v>40750.0</v>
      </c>
      <c r="B146" s="5">
        <v>288.0</v>
      </c>
      <c r="C146" s="22">
        <f t="shared" si="2"/>
        <v>1024</v>
      </c>
      <c r="D146" s="22">
        <f t="shared" si="3"/>
        <v>1087</v>
      </c>
      <c r="E146" s="22">
        <f t="shared" si="1"/>
        <v>482</v>
      </c>
      <c r="F146" s="20"/>
      <c r="G146" s="20"/>
      <c r="H146" s="20"/>
      <c r="I146" s="20"/>
      <c r="J146" s="20"/>
      <c r="K146" s="20"/>
      <c r="L146" s="22">
        <f t="shared" si="4"/>
        <v>-736</v>
      </c>
      <c r="M146" s="38">
        <f t="shared" si="5"/>
        <v>2.555555556</v>
      </c>
      <c r="N146" s="22">
        <f t="shared" si="6"/>
        <v>541696</v>
      </c>
      <c r="O146" s="20"/>
      <c r="P146" s="22">
        <f t="shared" si="7"/>
        <v>-799</v>
      </c>
      <c r="Q146" s="38">
        <f t="shared" si="8"/>
        <v>2.774305556</v>
      </c>
      <c r="R146" s="22">
        <f t="shared" si="9"/>
        <v>638401</v>
      </c>
      <c r="S146" s="20"/>
      <c r="T146" s="22">
        <f t="shared" si="10"/>
        <v>-194</v>
      </c>
      <c r="U146" s="38">
        <f t="shared" si="11"/>
        <v>0.6736111111</v>
      </c>
      <c r="V146" s="22">
        <f t="shared" si="12"/>
        <v>37636</v>
      </c>
    </row>
    <row r="147">
      <c r="A147" s="2">
        <v>40751.0</v>
      </c>
      <c r="B147" s="5">
        <v>5460.0</v>
      </c>
      <c r="C147" s="22">
        <f t="shared" si="2"/>
        <v>1007</v>
      </c>
      <c r="D147" s="22">
        <f t="shared" si="3"/>
        <v>1081</v>
      </c>
      <c r="E147" s="22">
        <f t="shared" si="1"/>
        <v>366</v>
      </c>
      <c r="F147" s="20"/>
      <c r="G147" s="20"/>
      <c r="H147" s="20"/>
      <c r="I147" s="20"/>
      <c r="J147" s="20"/>
      <c r="K147" s="20"/>
      <c r="L147" s="22">
        <f t="shared" si="4"/>
        <v>4453</v>
      </c>
      <c r="M147" s="38">
        <f t="shared" si="5"/>
        <v>0.8155677656</v>
      </c>
      <c r="N147" s="22">
        <f t="shared" si="6"/>
        <v>19829209</v>
      </c>
      <c r="O147" s="20"/>
      <c r="P147" s="22">
        <f t="shared" si="7"/>
        <v>4379</v>
      </c>
      <c r="Q147" s="38">
        <f t="shared" si="8"/>
        <v>0.802014652</v>
      </c>
      <c r="R147" s="22">
        <f t="shared" si="9"/>
        <v>19175641</v>
      </c>
      <c r="S147" s="20"/>
      <c r="T147" s="22">
        <f t="shared" si="10"/>
        <v>5094</v>
      </c>
      <c r="U147" s="38">
        <f t="shared" si="11"/>
        <v>0.932967033</v>
      </c>
      <c r="V147" s="22">
        <f t="shared" si="12"/>
        <v>25948836</v>
      </c>
    </row>
    <row r="148">
      <c r="A148" s="2">
        <v>40752.0</v>
      </c>
      <c r="B148" s="5">
        <v>438.0</v>
      </c>
      <c r="C148" s="22">
        <f t="shared" si="2"/>
        <v>1370</v>
      </c>
      <c r="D148" s="22">
        <f t="shared" si="3"/>
        <v>1112</v>
      </c>
      <c r="E148" s="22">
        <f t="shared" si="1"/>
        <v>3422</v>
      </c>
      <c r="F148" s="20"/>
      <c r="G148" s="20"/>
      <c r="H148" s="20"/>
      <c r="I148" s="20"/>
      <c r="J148" s="20"/>
      <c r="K148" s="20"/>
      <c r="L148" s="22">
        <f t="shared" si="4"/>
        <v>-932</v>
      </c>
      <c r="M148" s="38">
        <f t="shared" si="5"/>
        <v>2.127853881</v>
      </c>
      <c r="N148" s="22">
        <f t="shared" si="6"/>
        <v>868624</v>
      </c>
      <c r="O148" s="20"/>
      <c r="P148" s="22">
        <f t="shared" si="7"/>
        <v>-674</v>
      </c>
      <c r="Q148" s="38">
        <f t="shared" si="8"/>
        <v>1.538812785</v>
      </c>
      <c r="R148" s="22">
        <f t="shared" si="9"/>
        <v>454276</v>
      </c>
      <c r="S148" s="20"/>
      <c r="T148" s="22">
        <f t="shared" si="10"/>
        <v>-2984</v>
      </c>
      <c r="U148" s="38">
        <f t="shared" si="11"/>
        <v>6.812785388</v>
      </c>
      <c r="V148" s="22">
        <f t="shared" si="12"/>
        <v>8904256</v>
      </c>
    </row>
    <row r="149">
      <c r="A149" s="2">
        <v>40753.0</v>
      </c>
      <c r="B149" s="5">
        <v>216.0</v>
      </c>
      <c r="C149" s="22">
        <f t="shared" si="2"/>
        <v>1331</v>
      </c>
      <c r="D149" s="22">
        <f t="shared" si="3"/>
        <v>1107</v>
      </c>
      <c r="E149" s="22">
        <f t="shared" si="1"/>
        <v>1632</v>
      </c>
      <c r="F149" s="20"/>
      <c r="G149" s="20"/>
      <c r="H149" s="20"/>
      <c r="I149" s="20"/>
      <c r="J149" s="20"/>
      <c r="K149" s="20"/>
      <c r="L149" s="22">
        <f t="shared" si="4"/>
        <v>-1115</v>
      </c>
      <c r="M149" s="38">
        <f t="shared" si="5"/>
        <v>5.162037037</v>
      </c>
      <c r="N149" s="22">
        <f t="shared" si="6"/>
        <v>1243225</v>
      </c>
      <c r="O149" s="20"/>
      <c r="P149" s="22">
        <f t="shared" si="7"/>
        <v>-891</v>
      </c>
      <c r="Q149" s="38">
        <f t="shared" si="8"/>
        <v>4.125</v>
      </c>
      <c r="R149" s="22">
        <f t="shared" si="9"/>
        <v>793881</v>
      </c>
      <c r="S149" s="20"/>
      <c r="T149" s="22">
        <f t="shared" si="10"/>
        <v>-1416</v>
      </c>
      <c r="U149" s="38">
        <f t="shared" si="11"/>
        <v>6.555555556</v>
      </c>
      <c r="V149" s="22">
        <f t="shared" si="12"/>
        <v>2005056</v>
      </c>
    </row>
    <row r="150">
      <c r="A150" s="2">
        <v>40756.0</v>
      </c>
      <c r="B150" s="5">
        <v>294.0</v>
      </c>
      <c r="C150" s="22">
        <f t="shared" si="2"/>
        <v>1369</v>
      </c>
      <c r="D150" s="22">
        <f t="shared" si="3"/>
        <v>1101</v>
      </c>
      <c r="E150" s="22">
        <f t="shared" si="1"/>
        <v>782</v>
      </c>
      <c r="F150" s="20"/>
      <c r="G150" s="20"/>
      <c r="H150" s="20"/>
      <c r="I150" s="20"/>
      <c r="J150" s="20"/>
      <c r="K150" s="20"/>
      <c r="L150" s="22">
        <f t="shared" si="4"/>
        <v>-1075</v>
      </c>
      <c r="M150" s="38">
        <f t="shared" si="5"/>
        <v>3.656462585</v>
      </c>
      <c r="N150" s="22">
        <f t="shared" si="6"/>
        <v>1155625</v>
      </c>
      <c r="O150" s="20"/>
      <c r="P150" s="22">
        <f t="shared" si="7"/>
        <v>-807</v>
      </c>
      <c r="Q150" s="38">
        <f t="shared" si="8"/>
        <v>2.744897959</v>
      </c>
      <c r="R150" s="22">
        <f t="shared" si="9"/>
        <v>651249</v>
      </c>
      <c r="S150" s="20"/>
      <c r="T150" s="22">
        <f t="shared" si="10"/>
        <v>-488</v>
      </c>
      <c r="U150" s="38">
        <f t="shared" si="11"/>
        <v>1.659863946</v>
      </c>
      <c r="V150" s="22">
        <f t="shared" si="12"/>
        <v>238144</v>
      </c>
    </row>
    <row r="151">
      <c r="A151" s="2">
        <v>40757.0</v>
      </c>
      <c r="B151" s="5">
        <v>2292.0</v>
      </c>
      <c r="C151" s="22">
        <f t="shared" si="2"/>
        <v>1339</v>
      </c>
      <c r="D151" s="22">
        <f t="shared" si="3"/>
        <v>1095</v>
      </c>
      <c r="E151" s="22">
        <f t="shared" si="1"/>
        <v>489</v>
      </c>
      <c r="F151" s="20"/>
      <c r="G151" s="20"/>
      <c r="H151" s="20"/>
      <c r="I151" s="20"/>
      <c r="J151" s="20"/>
      <c r="K151" s="20"/>
      <c r="L151" s="22">
        <f t="shared" si="4"/>
        <v>953</v>
      </c>
      <c r="M151" s="38">
        <f t="shared" si="5"/>
        <v>0.4157940663</v>
      </c>
      <c r="N151" s="22">
        <f t="shared" si="6"/>
        <v>908209</v>
      </c>
      <c r="O151" s="20"/>
      <c r="P151" s="22">
        <f t="shared" si="7"/>
        <v>1197</v>
      </c>
      <c r="Q151" s="38">
        <f t="shared" si="8"/>
        <v>0.5222513089</v>
      </c>
      <c r="R151" s="22">
        <f t="shared" si="9"/>
        <v>1432809</v>
      </c>
      <c r="S151" s="20"/>
      <c r="T151" s="22">
        <f t="shared" si="10"/>
        <v>1803</v>
      </c>
      <c r="U151" s="38">
        <f t="shared" si="11"/>
        <v>0.7866492147</v>
      </c>
      <c r="V151" s="22">
        <f t="shared" si="12"/>
        <v>3250809</v>
      </c>
    </row>
    <row r="152">
      <c r="A152" s="2">
        <v>40758.0</v>
      </c>
      <c r="B152" s="5">
        <v>1878.0</v>
      </c>
      <c r="C152" s="22">
        <f t="shared" si="2"/>
        <v>1740</v>
      </c>
      <c r="D152" s="22">
        <f t="shared" si="3"/>
        <v>1103</v>
      </c>
      <c r="E152" s="22">
        <f t="shared" si="1"/>
        <v>1571</v>
      </c>
      <c r="F152" s="20"/>
      <c r="G152" s="20"/>
      <c r="H152" s="20"/>
      <c r="I152" s="20"/>
      <c r="J152" s="20"/>
      <c r="K152" s="20"/>
      <c r="L152" s="22">
        <f t="shared" si="4"/>
        <v>138</v>
      </c>
      <c r="M152" s="38">
        <f t="shared" si="5"/>
        <v>0.07348242812</v>
      </c>
      <c r="N152" s="22">
        <f t="shared" si="6"/>
        <v>19044</v>
      </c>
      <c r="O152" s="20"/>
      <c r="P152" s="22">
        <f t="shared" si="7"/>
        <v>775</v>
      </c>
      <c r="Q152" s="38">
        <f t="shared" si="8"/>
        <v>0.4126730564</v>
      </c>
      <c r="R152" s="22">
        <f t="shared" si="9"/>
        <v>600625</v>
      </c>
      <c r="S152" s="20"/>
      <c r="T152" s="22">
        <f t="shared" si="10"/>
        <v>307</v>
      </c>
      <c r="U152" s="38">
        <f t="shared" si="11"/>
        <v>0.1634717785</v>
      </c>
      <c r="V152" s="22">
        <f t="shared" si="12"/>
        <v>94249</v>
      </c>
    </row>
    <row r="153">
      <c r="A153" s="2">
        <v>40759.0</v>
      </c>
      <c r="B153" s="5">
        <v>558.0</v>
      </c>
      <c r="C153" s="22">
        <f t="shared" si="2"/>
        <v>1024</v>
      </c>
      <c r="D153" s="22">
        <f t="shared" si="3"/>
        <v>1109</v>
      </c>
      <c r="E153" s="22">
        <f t="shared" si="1"/>
        <v>1755</v>
      </c>
      <c r="F153" s="20"/>
      <c r="G153" s="20"/>
      <c r="H153" s="20"/>
      <c r="I153" s="20"/>
      <c r="J153" s="20"/>
      <c r="K153" s="20"/>
      <c r="L153" s="22">
        <f t="shared" si="4"/>
        <v>-466</v>
      </c>
      <c r="M153" s="38">
        <f t="shared" si="5"/>
        <v>0.835125448</v>
      </c>
      <c r="N153" s="22">
        <f t="shared" si="6"/>
        <v>217156</v>
      </c>
      <c r="O153" s="20"/>
      <c r="P153" s="22">
        <f t="shared" si="7"/>
        <v>-551</v>
      </c>
      <c r="Q153" s="38">
        <f t="shared" si="8"/>
        <v>0.9874551971</v>
      </c>
      <c r="R153" s="22">
        <f t="shared" si="9"/>
        <v>303601</v>
      </c>
      <c r="S153" s="20"/>
      <c r="T153" s="22">
        <f t="shared" si="10"/>
        <v>-1197</v>
      </c>
      <c r="U153" s="38">
        <f t="shared" si="11"/>
        <v>2.14516129</v>
      </c>
      <c r="V153" s="22">
        <f t="shared" si="12"/>
        <v>1432809</v>
      </c>
    </row>
    <row r="154">
      <c r="A154" s="2">
        <v>40760.0</v>
      </c>
      <c r="B154" s="5">
        <v>66.0</v>
      </c>
      <c r="C154" s="22">
        <f t="shared" si="2"/>
        <v>1048</v>
      </c>
      <c r="D154" s="22">
        <f t="shared" si="3"/>
        <v>1105</v>
      </c>
      <c r="E154" s="22">
        <f t="shared" si="1"/>
        <v>1037</v>
      </c>
      <c r="F154" s="20"/>
      <c r="G154" s="20"/>
      <c r="H154" s="20"/>
      <c r="I154" s="20"/>
      <c r="J154" s="20"/>
      <c r="K154" s="20"/>
      <c r="L154" s="22">
        <f t="shared" si="4"/>
        <v>-982</v>
      </c>
      <c r="M154" s="38">
        <f t="shared" si="5"/>
        <v>14.87878788</v>
      </c>
      <c r="N154" s="22">
        <f t="shared" si="6"/>
        <v>964324</v>
      </c>
      <c r="O154" s="20"/>
      <c r="P154" s="22">
        <f t="shared" si="7"/>
        <v>-1039</v>
      </c>
      <c r="Q154" s="38">
        <f t="shared" si="8"/>
        <v>15.74242424</v>
      </c>
      <c r="R154" s="22">
        <f t="shared" si="9"/>
        <v>1079521</v>
      </c>
      <c r="S154" s="20"/>
      <c r="T154" s="22">
        <f t="shared" si="10"/>
        <v>-971</v>
      </c>
      <c r="U154" s="38">
        <f t="shared" si="11"/>
        <v>14.71212121</v>
      </c>
      <c r="V154" s="22">
        <f t="shared" si="12"/>
        <v>942841</v>
      </c>
    </row>
    <row r="155">
      <c r="A155" s="2">
        <v>40763.0</v>
      </c>
      <c r="B155" s="5">
        <v>360.0</v>
      </c>
      <c r="C155" s="22">
        <f t="shared" si="2"/>
        <v>1018</v>
      </c>
      <c r="D155" s="22">
        <f t="shared" si="3"/>
        <v>1098</v>
      </c>
      <c r="E155" s="22">
        <f t="shared" si="1"/>
        <v>454</v>
      </c>
      <c r="F155" s="20"/>
      <c r="G155" s="20"/>
      <c r="H155" s="20"/>
      <c r="I155" s="20"/>
      <c r="J155" s="20"/>
      <c r="K155" s="20"/>
      <c r="L155" s="22">
        <f t="shared" si="4"/>
        <v>-658</v>
      </c>
      <c r="M155" s="38">
        <f t="shared" si="5"/>
        <v>1.827777778</v>
      </c>
      <c r="N155" s="22">
        <f t="shared" si="6"/>
        <v>432964</v>
      </c>
      <c r="O155" s="20"/>
      <c r="P155" s="22">
        <f t="shared" si="7"/>
        <v>-738</v>
      </c>
      <c r="Q155" s="38">
        <f t="shared" si="8"/>
        <v>2.05</v>
      </c>
      <c r="R155" s="22">
        <f t="shared" si="9"/>
        <v>544644</v>
      </c>
      <c r="S155" s="20"/>
      <c r="T155" s="22">
        <f t="shared" si="10"/>
        <v>-94</v>
      </c>
      <c r="U155" s="38">
        <f t="shared" si="11"/>
        <v>0.2611111111</v>
      </c>
      <c r="V155" s="22">
        <f t="shared" si="12"/>
        <v>8836</v>
      </c>
    </row>
    <row r="156">
      <c r="A156" s="2">
        <v>40764.0</v>
      </c>
      <c r="B156" s="5">
        <v>294.0</v>
      </c>
      <c r="C156" s="22">
        <f t="shared" si="2"/>
        <v>1031</v>
      </c>
      <c r="D156" s="22">
        <f t="shared" si="3"/>
        <v>1093</v>
      </c>
      <c r="E156" s="22">
        <f t="shared" si="1"/>
        <v>398</v>
      </c>
      <c r="F156" s="20"/>
      <c r="G156" s="20"/>
      <c r="H156" s="20"/>
      <c r="I156" s="20"/>
      <c r="J156" s="20"/>
      <c r="K156" s="20"/>
      <c r="L156" s="22">
        <f t="shared" si="4"/>
        <v>-737</v>
      </c>
      <c r="M156" s="38">
        <f t="shared" si="5"/>
        <v>2.506802721</v>
      </c>
      <c r="N156" s="22">
        <f t="shared" si="6"/>
        <v>543169</v>
      </c>
      <c r="O156" s="20"/>
      <c r="P156" s="22">
        <f t="shared" si="7"/>
        <v>-799</v>
      </c>
      <c r="Q156" s="38">
        <f t="shared" si="8"/>
        <v>2.717687075</v>
      </c>
      <c r="R156" s="22">
        <f t="shared" si="9"/>
        <v>638401</v>
      </c>
      <c r="S156" s="20"/>
      <c r="T156" s="22">
        <f t="shared" si="10"/>
        <v>-104</v>
      </c>
      <c r="U156" s="38">
        <f t="shared" si="11"/>
        <v>0.3537414966</v>
      </c>
      <c r="V156" s="22">
        <f t="shared" si="12"/>
        <v>10816</v>
      </c>
    </row>
    <row r="157">
      <c r="A157" s="2">
        <v>40765.0</v>
      </c>
      <c r="B157" s="5">
        <v>5814.0</v>
      </c>
      <c r="C157" s="22">
        <f t="shared" si="2"/>
        <v>631</v>
      </c>
      <c r="D157" s="22">
        <f t="shared" si="3"/>
        <v>1088</v>
      </c>
      <c r="E157" s="22">
        <f t="shared" si="1"/>
        <v>336</v>
      </c>
      <c r="F157" s="20"/>
      <c r="G157" s="20"/>
      <c r="H157" s="20"/>
      <c r="I157" s="20"/>
      <c r="J157" s="20"/>
      <c r="K157" s="20"/>
      <c r="L157" s="22">
        <f t="shared" si="4"/>
        <v>5183</v>
      </c>
      <c r="M157" s="38">
        <f t="shared" si="5"/>
        <v>0.8914688682</v>
      </c>
      <c r="N157" s="22">
        <f t="shared" si="6"/>
        <v>26863489</v>
      </c>
      <c r="O157" s="20"/>
      <c r="P157" s="22">
        <f t="shared" si="7"/>
        <v>4726</v>
      </c>
      <c r="Q157" s="38">
        <f t="shared" si="8"/>
        <v>0.8128654971</v>
      </c>
      <c r="R157" s="22">
        <f t="shared" si="9"/>
        <v>22335076</v>
      </c>
      <c r="S157" s="20"/>
      <c r="T157" s="22">
        <f t="shared" si="10"/>
        <v>5478</v>
      </c>
      <c r="U157" s="38">
        <f t="shared" si="11"/>
        <v>0.9422084623</v>
      </c>
      <c r="V157" s="22">
        <f t="shared" si="12"/>
        <v>30008484</v>
      </c>
    </row>
    <row r="158">
      <c r="A158" s="2">
        <v>40766.0</v>
      </c>
      <c r="B158" s="5">
        <v>612.0</v>
      </c>
      <c r="C158" s="22">
        <f t="shared" si="2"/>
        <v>1418</v>
      </c>
      <c r="D158" s="22">
        <f t="shared" si="3"/>
        <v>1119</v>
      </c>
      <c r="E158" s="22">
        <f t="shared" si="1"/>
        <v>3623</v>
      </c>
      <c r="F158" s="20"/>
      <c r="G158" s="20"/>
      <c r="H158" s="20"/>
      <c r="I158" s="20"/>
      <c r="J158" s="20"/>
      <c r="K158" s="20"/>
      <c r="L158" s="22">
        <f t="shared" si="4"/>
        <v>-806</v>
      </c>
      <c r="M158" s="38">
        <f t="shared" si="5"/>
        <v>1.316993464</v>
      </c>
      <c r="N158" s="22">
        <f t="shared" si="6"/>
        <v>649636</v>
      </c>
      <c r="O158" s="20"/>
      <c r="P158" s="22">
        <f t="shared" si="7"/>
        <v>-507</v>
      </c>
      <c r="Q158" s="38">
        <f t="shared" si="8"/>
        <v>0.8284313725</v>
      </c>
      <c r="R158" s="22">
        <f t="shared" si="9"/>
        <v>257049</v>
      </c>
      <c r="S158" s="20"/>
      <c r="T158" s="22">
        <f t="shared" si="10"/>
        <v>-3011</v>
      </c>
      <c r="U158" s="38">
        <f t="shared" si="11"/>
        <v>4.919934641</v>
      </c>
      <c r="V158" s="22">
        <f t="shared" si="12"/>
        <v>9066121</v>
      </c>
    </row>
    <row r="159">
      <c r="A159" s="2">
        <v>40767.0</v>
      </c>
      <c r="B159" s="5">
        <v>162.0</v>
      </c>
      <c r="C159" s="22">
        <f t="shared" si="2"/>
        <v>1429</v>
      </c>
      <c r="D159" s="22">
        <f t="shared" si="3"/>
        <v>1115</v>
      </c>
      <c r="E159" s="22">
        <f t="shared" si="1"/>
        <v>1816</v>
      </c>
      <c r="F159" s="20"/>
      <c r="G159" s="20"/>
      <c r="H159" s="20"/>
      <c r="I159" s="20"/>
      <c r="J159" s="20"/>
      <c r="K159" s="20"/>
      <c r="L159" s="22">
        <f t="shared" si="4"/>
        <v>-1267</v>
      </c>
      <c r="M159" s="38">
        <f t="shared" si="5"/>
        <v>7.820987654</v>
      </c>
      <c r="N159" s="22">
        <f t="shared" si="6"/>
        <v>1605289</v>
      </c>
      <c r="O159" s="20"/>
      <c r="P159" s="22">
        <f t="shared" si="7"/>
        <v>-953</v>
      </c>
      <c r="Q159" s="38">
        <f t="shared" si="8"/>
        <v>5.882716049</v>
      </c>
      <c r="R159" s="22">
        <f t="shared" si="9"/>
        <v>908209</v>
      </c>
      <c r="S159" s="20"/>
      <c r="T159" s="22">
        <f t="shared" si="10"/>
        <v>-1654</v>
      </c>
      <c r="U159" s="38">
        <f t="shared" si="11"/>
        <v>10.20987654</v>
      </c>
      <c r="V159" s="22">
        <f t="shared" si="12"/>
        <v>2735716</v>
      </c>
    </row>
    <row r="160">
      <c r="A160" s="2">
        <v>40770.0</v>
      </c>
      <c r="B160" s="5">
        <v>390.0</v>
      </c>
      <c r="C160" s="22">
        <f t="shared" si="2"/>
        <v>1448</v>
      </c>
      <c r="D160" s="22">
        <f t="shared" si="3"/>
        <v>1109</v>
      </c>
      <c r="E160" s="22">
        <f t="shared" si="1"/>
        <v>824</v>
      </c>
      <c r="F160" s="20"/>
      <c r="G160" s="20"/>
      <c r="H160" s="20"/>
      <c r="I160" s="20"/>
      <c r="J160" s="20"/>
      <c r="K160" s="20"/>
      <c r="L160" s="22">
        <f t="shared" si="4"/>
        <v>-1058</v>
      </c>
      <c r="M160" s="38">
        <f t="shared" si="5"/>
        <v>2.712820513</v>
      </c>
      <c r="N160" s="22">
        <f t="shared" si="6"/>
        <v>1119364</v>
      </c>
      <c r="O160" s="20"/>
      <c r="P160" s="22">
        <f t="shared" si="7"/>
        <v>-719</v>
      </c>
      <c r="Q160" s="38">
        <f t="shared" si="8"/>
        <v>1.843589744</v>
      </c>
      <c r="R160" s="22">
        <f t="shared" si="9"/>
        <v>516961</v>
      </c>
      <c r="S160" s="20"/>
      <c r="T160" s="22">
        <f t="shared" si="10"/>
        <v>-434</v>
      </c>
      <c r="U160" s="38">
        <f t="shared" si="11"/>
        <v>1.112820513</v>
      </c>
      <c r="V160" s="22">
        <f t="shared" si="12"/>
        <v>188356</v>
      </c>
    </row>
    <row r="161">
      <c r="A161" s="2">
        <v>40771.0</v>
      </c>
      <c r="B161" s="5">
        <v>252.0</v>
      </c>
      <c r="C161" s="22">
        <f t="shared" si="2"/>
        <v>1454</v>
      </c>
      <c r="D161" s="22">
        <f t="shared" si="3"/>
        <v>1105</v>
      </c>
      <c r="E161" s="22">
        <f t="shared" si="1"/>
        <v>564</v>
      </c>
      <c r="F161" s="20"/>
      <c r="G161" s="20"/>
      <c r="H161" s="20"/>
      <c r="I161" s="20"/>
      <c r="J161" s="20"/>
      <c r="K161" s="20"/>
      <c r="L161" s="22">
        <f t="shared" si="4"/>
        <v>-1202</v>
      </c>
      <c r="M161" s="38">
        <f t="shared" si="5"/>
        <v>4.76984127</v>
      </c>
      <c r="N161" s="22">
        <f t="shared" si="6"/>
        <v>1444804</v>
      </c>
      <c r="O161" s="20"/>
      <c r="P161" s="22">
        <f t="shared" si="7"/>
        <v>-853</v>
      </c>
      <c r="Q161" s="38">
        <f t="shared" si="8"/>
        <v>3.384920635</v>
      </c>
      <c r="R161" s="22">
        <f t="shared" si="9"/>
        <v>727609</v>
      </c>
      <c r="S161" s="20"/>
      <c r="T161" s="22">
        <f t="shared" si="10"/>
        <v>-312</v>
      </c>
      <c r="U161" s="38">
        <f t="shared" si="11"/>
        <v>1.238095238</v>
      </c>
      <c r="V161" s="22">
        <f t="shared" si="12"/>
        <v>97344</v>
      </c>
    </row>
    <row r="162">
      <c r="A162" s="2">
        <v>40772.0</v>
      </c>
      <c r="B162" s="5">
        <v>5694.0</v>
      </c>
      <c r="C162" s="22">
        <f t="shared" si="2"/>
        <v>1446</v>
      </c>
      <c r="D162" s="22">
        <f t="shared" si="3"/>
        <v>1099</v>
      </c>
      <c r="E162" s="22">
        <f t="shared" si="1"/>
        <v>377</v>
      </c>
      <c r="F162" s="20"/>
      <c r="G162" s="20"/>
      <c r="H162" s="20"/>
      <c r="I162" s="20"/>
      <c r="J162" s="20"/>
      <c r="K162" s="20"/>
      <c r="L162" s="22">
        <f t="shared" si="4"/>
        <v>4248</v>
      </c>
      <c r="M162" s="38">
        <f t="shared" si="5"/>
        <v>0.7460484721</v>
      </c>
      <c r="N162" s="22">
        <f t="shared" si="6"/>
        <v>18045504</v>
      </c>
      <c r="O162" s="20"/>
      <c r="P162" s="22">
        <f t="shared" si="7"/>
        <v>4595</v>
      </c>
      <c r="Q162" s="38">
        <f t="shared" si="8"/>
        <v>0.8069898138</v>
      </c>
      <c r="R162" s="22">
        <f t="shared" si="9"/>
        <v>21114025</v>
      </c>
      <c r="S162" s="20"/>
      <c r="T162" s="22">
        <f t="shared" si="10"/>
        <v>5317</v>
      </c>
      <c r="U162" s="38">
        <f t="shared" si="11"/>
        <v>0.9337899543</v>
      </c>
      <c r="V162" s="22">
        <f t="shared" si="12"/>
        <v>28270489</v>
      </c>
    </row>
    <row r="163">
      <c r="A163" s="2">
        <v>40773.0</v>
      </c>
      <c r="B163" s="5">
        <v>686.0</v>
      </c>
      <c r="C163" s="22">
        <f t="shared" si="2"/>
        <v>1422</v>
      </c>
      <c r="D163" s="22">
        <f t="shared" si="3"/>
        <v>1128</v>
      </c>
      <c r="E163" s="22">
        <f t="shared" si="1"/>
        <v>3567</v>
      </c>
      <c r="F163" s="20"/>
      <c r="G163" s="20"/>
      <c r="H163" s="20"/>
      <c r="I163" s="20"/>
      <c r="J163" s="20"/>
      <c r="K163" s="20"/>
      <c r="L163" s="22">
        <f t="shared" si="4"/>
        <v>-736</v>
      </c>
      <c r="M163" s="38">
        <f t="shared" si="5"/>
        <v>1.072886297</v>
      </c>
      <c r="N163" s="22">
        <f t="shared" si="6"/>
        <v>541696</v>
      </c>
      <c r="O163" s="20"/>
      <c r="P163" s="22">
        <f t="shared" si="7"/>
        <v>-442</v>
      </c>
      <c r="Q163" s="38">
        <f t="shared" si="8"/>
        <v>0.6443148688</v>
      </c>
      <c r="R163" s="22">
        <f t="shared" si="9"/>
        <v>195364</v>
      </c>
      <c r="S163" s="20"/>
      <c r="T163" s="22">
        <f t="shared" si="10"/>
        <v>-2881</v>
      </c>
      <c r="U163" s="38">
        <f t="shared" si="11"/>
        <v>4.199708455</v>
      </c>
      <c r="V163" s="22">
        <f t="shared" si="12"/>
        <v>8300161</v>
      </c>
    </row>
    <row r="164">
      <c r="A164" s="2">
        <v>40774.0</v>
      </c>
      <c r="B164" s="5">
        <v>78.0</v>
      </c>
      <c r="C164" s="22">
        <f t="shared" si="2"/>
        <v>1437</v>
      </c>
      <c r="D164" s="22">
        <f t="shared" si="3"/>
        <v>1125</v>
      </c>
      <c r="E164" s="22">
        <f t="shared" si="1"/>
        <v>1838</v>
      </c>
      <c r="F164" s="20"/>
      <c r="G164" s="20"/>
      <c r="H164" s="20"/>
      <c r="I164" s="20"/>
      <c r="J164" s="20"/>
      <c r="K164" s="20"/>
      <c r="L164" s="22">
        <f t="shared" si="4"/>
        <v>-1359</v>
      </c>
      <c r="M164" s="38">
        <f t="shared" si="5"/>
        <v>17.42307692</v>
      </c>
      <c r="N164" s="22">
        <f t="shared" si="6"/>
        <v>1846881</v>
      </c>
      <c r="O164" s="20"/>
      <c r="P164" s="22">
        <f t="shared" si="7"/>
        <v>-1047</v>
      </c>
      <c r="Q164" s="38">
        <f t="shared" si="8"/>
        <v>13.42307692</v>
      </c>
      <c r="R164" s="22">
        <f t="shared" si="9"/>
        <v>1096209</v>
      </c>
      <c r="S164" s="20"/>
      <c r="T164" s="22">
        <f t="shared" si="10"/>
        <v>-1760</v>
      </c>
      <c r="U164" s="38">
        <f t="shared" si="11"/>
        <v>22.56410256</v>
      </c>
      <c r="V164" s="22">
        <f t="shared" si="12"/>
        <v>3097600</v>
      </c>
    </row>
    <row r="165">
      <c r="A165" s="2">
        <v>40777.0</v>
      </c>
      <c r="B165" s="5">
        <v>480.0</v>
      </c>
      <c r="C165" s="22">
        <f t="shared" si="2"/>
        <v>1420</v>
      </c>
      <c r="D165" s="22">
        <f t="shared" si="3"/>
        <v>1119</v>
      </c>
      <c r="E165" s="22">
        <f t="shared" si="1"/>
        <v>782</v>
      </c>
      <c r="F165" s="20"/>
      <c r="G165" s="20"/>
      <c r="H165" s="20"/>
      <c r="I165" s="20"/>
      <c r="J165" s="20"/>
      <c r="K165" s="20"/>
      <c r="L165" s="22">
        <f t="shared" si="4"/>
        <v>-940</v>
      </c>
      <c r="M165" s="38">
        <f t="shared" si="5"/>
        <v>1.958333333</v>
      </c>
      <c r="N165" s="22">
        <f t="shared" si="6"/>
        <v>883600</v>
      </c>
      <c r="O165" s="20"/>
      <c r="P165" s="22">
        <f t="shared" si="7"/>
        <v>-639</v>
      </c>
      <c r="Q165" s="38">
        <f t="shared" si="8"/>
        <v>1.33125</v>
      </c>
      <c r="R165" s="22">
        <f t="shared" si="9"/>
        <v>408321</v>
      </c>
      <c r="S165" s="20"/>
      <c r="T165" s="22">
        <f t="shared" si="10"/>
        <v>-302</v>
      </c>
      <c r="U165" s="38">
        <f t="shared" si="11"/>
        <v>0.6291666667</v>
      </c>
      <c r="V165" s="22">
        <f t="shared" si="12"/>
        <v>91204</v>
      </c>
    </row>
    <row r="166">
      <c r="A166" s="2">
        <v>40778.0</v>
      </c>
      <c r="B166" s="5">
        <v>4134.0</v>
      </c>
      <c r="C166" s="22">
        <f t="shared" si="2"/>
        <v>1438</v>
      </c>
      <c r="D166" s="22">
        <f t="shared" si="3"/>
        <v>1115</v>
      </c>
      <c r="E166" s="22">
        <f t="shared" si="1"/>
        <v>601</v>
      </c>
      <c r="F166" s="20"/>
      <c r="G166" s="20"/>
      <c r="H166" s="20"/>
      <c r="I166" s="20"/>
      <c r="J166" s="20"/>
      <c r="K166" s="20"/>
      <c r="L166" s="22">
        <f t="shared" si="4"/>
        <v>2696</v>
      </c>
      <c r="M166" s="38">
        <f t="shared" si="5"/>
        <v>0.6521528786</v>
      </c>
      <c r="N166" s="22">
        <f t="shared" si="6"/>
        <v>7268416</v>
      </c>
      <c r="O166" s="20"/>
      <c r="P166" s="22">
        <f t="shared" si="7"/>
        <v>3019</v>
      </c>
      <c r="Q166" s="38">
        <f t="shared" si="8"/>
        <v>0.7302854378</v>
      </c>
      <c r="R166" s="22">
        <f t="shared" si="9"/>
        <v>9114361</v>
      </c>
      <c r="S166" s="20"/>
      <c r="T166" s="22">
        <f t="shared" si="10"/>
        <v>3533</v>
      </c>
      <c r="U166" s="38">
        <f t="shared" si="11"/>
        <v>0.8546202225</v>
      </c>
      <c r="V166" s="22">
        <f t="shared" si="12"/>
        <v>12482089</v>
      </c>
    </row>
    <row r="167">
      <c r="A167" s="2">
        <v>40779.0</v>
      </c>
      <c r="B167" s="5">
        <v>3606.0</v>
      </c>
      <c r="C167" s="22">
        <f t="shared" si="2"/>
        <v>2214</v>
      </c>
      <c r="D167" s="22">
        <f t="shared" si="3"/>
        <v>1133</v>
      </c>
      <c r="E167" s="22">
        <f t="shared" si="1"/>
        <v>2721</v>
      </c>
      <c r="F167" s="20"/>
      <c r="G167" s="20"/>
      <c r="H167" s="20"/>
      <c r="I167" s="20"/>
      <c r="J167" s="20"/>
      <c r="K167" s="20"/>
      <c r="L167" s="22">
        <f t="shared" si="4"/>
        <v>1392</v>
      </c>
      <c r="M167" s="38">
        <f t="shared" si="5"/>
        <v>0.3860232945</v>
      </c>
      <c r="N167" s="22">
        <f t="shared" si="6"/>
        <v>1937664</v>
      </c>
      <c r="O167" s="20"/>
      <c r="P167" s="22">
        <f t="shared" si="7"/>
        <v>2473</v>
      </c>
      <c r="Q167" s="38">
        <f t="shared" si="8"/>
        <v>0.685801442</v>
      </c>
      <c r="R167" s="22">
        <f t="shared" si="9"/>
        <v>6115729</v>
      </c>
      <c r="S167" s="20"/>
      <c r="T167" s="22">
        <f t="shared" si="10"/>
        <v>885</v>
      </c>
      <c r="U167" s="38">
        <f t="shared" si="11"/>
        <v>0.2454242928</v>
      </c>
      <c r="V167" s="22">
        <f t="shared" si="12"/>
        <v>783225</v>
      </c>
    </row>
    <row r="168">
      <c r="A168" s="2">
        <v>40780.0</v>
      </c>
      <c r="B168" s="5">
        <v>756.0</v>
      </c>
      <c r="C168" s="22">
        <f t="shared" si="2"/>
        <v>1797</v>
      </c>
      <c r="D168" s="22">
        <f t="shared" si="3"/>
        <v>1148</v>
      </c>
      <c r="E168" s="22">
        <f t="shared" si="1"/>
        <v>3252</v>
      </c>
      <c r="F168" s="20"/>
      <c r="G168" s="20"/>
      <c r="H168" s="20"/>
      <c r="I168" s="20"/>
      <c r="J168" s="20"/>
      <c r="K168" s="20"/>
      <c r="L168" s="22">
        <f t="shared" si="4"/>
        <v>-1041</v>
      </c>
      <c r="M168" s="38">
        <f t="shared" si="5"/>
        <v>1.376984127</v>
      </c>
      <c r="N168" s="22">
        <f t="shared" si="6"/>
        <v>1083681</v>
      </c>
      <c r="O168" s="20"/>
      <c r="P168" s="22">
        <f t="shared" si="7"/>
        <v>-392</v>
      </c>
      <c r="Q168" s="38">
        <f t="shared" si="8"/>
        <v>0.5185185185</v>
      </c>
      <c r="R168" s="22">
        <f t="shared" si="9"/>
        <v>153664</v>
      </c>
      <c r="S168" s="20"/>
      <c r="T168" s="22">
        <f t="shared" si="10"/>
        <v>-2496</v>
      </c>
      <c r="U168" s="38">
        <f t="shared" si="11"/>
        <v>3.301587302</v>
      </c>
      <c r="V168" s="22">
        <f t="shared" si="12"/>
        <v>6230016</v>
      </c>
    </row>
    <row r="169">
      <c r="A169" s="2">
        <v>40781.0</v>
      </c>
      <c r="B169" s="5">
        <v>114.0</v>
      </c>
      <c r="C169" s="22">
        <f t="shared" si="2"/>
        <v>1811</v>
      </c>
      <c r="D169" s="22">
        <f t="shared" si="3"/>
        <v>1146</v>
      </c>
      <c r="E169" s="22">
        <f t="shared" si="1"/>
        <v>1754</v>
      </c>
      <c r="F169" s="20"/>
      <c r="G169" s="20"/>
      <c r="H169" s="20"/>
      <c r="I169" s="20"/>
      <c r="J169" s="20"/>
      <c r="K169" s="20"/>
      <c r="L169" s="22">
        <f t="shared" si="4"/>
        <v>-1697</v>
      </c>
      <c r="M169" s="38">
        <f t="shared" si="5"/>
        <v>14.88596491</v>
      </c>
      <c r="N169" s="22">
        <f t="shared" si="6"/>
        <v>2879809</v>
      </c>
      <c r="O169" s="20"/>
      <c r="P169" s="22">
        <f t="shared" si="7"/>
        <v>-1032</v>
      </c>
      <c r="Q169" s="38">
        <f t="shared" si="8"/>
        <v>9.052631579</v>
      </c>
      <c r="R169" s="22">
        <f t="shared" si="9"/>
        <v>1065024</v>
      </c>
      <c r="S169" s="20"/>
      <c r="T169" s="22">
        <f t="shared" si="10"/>
        <v>-1640</v>
      </c>
      <c r="U169" s="38">
        <f t="shared" si="11"/>
        <v>14.38596491</v>
      </c>
      <c r="V169" s="22">
        <f t="shared" si="12"/>
        <v>2689600</v>
      </c>
    </row>
    <row r="170">
      <c r="A170" s="2">
        <v>40784.0</v>
      </c>
      <c r="B170" s="5">
        <v>312.0</v>
      </c>
      <c r="C170" s="22">
        <f t="shared" si="2"/>
        <v>1818</v>
      </c>
      <c r="D170" s="22">
        <f t="shared" si="3"/>
        <v>1140</v>
      </c>
      <c r="E170" s="22">
        <f t="shared" si="1"/>
        <v>770</v>
      </c>
      <c r="F170" s="20"/>
      <c r="G170" s="20"/>
      <c r="H170" s="20"/>
      <c r="I170" s="20"/>
      <c r="J170" s="20"/>
      <c r="K170" s="20"/>
      <c r="L170" s="22">
        <f t="shared" si="4"/>
        <v>-1506</v>
      </c>
      <c r="M170" s="38">
        <f t="shared" si="5"/>
        <v>4.826923077</v>
      </c>
      <c r="N170" s="22">
        <f t="shared" si="6"/>
        <v>2268036</v>
      </c>
      <c r="O170" s="20"/>
      <c r="P170" s="22">
        <f t="shared" si="7"/>
        <v>-828</v>
      </c>
      <c r="Q170" s="38">
        <f t="shared" si="8"/>
        <v>2.653846154</v>
      </c>
      <c r="R170" s="22">
        <f t="shared" si="9"/>
        <v>685584</v>
      </c>
      <c r="S170" s="20"/>
      <c r="T170" s="22">
        <f t="shared" si="10"/>
        <v>-458</v>
      </c>
      <c r="U170" s="38">
        <f t="shared" si="11"/>
        <v>1.467948718</v>
      </c>
      <c r="V170" s="22">
        <f t="shared" si="12"/>
        <v>209764</v>
      </c>
    </row>
    <row r="171">
      <c r="A171" s="2">
        <v>40785.0</v>
      </c>
      <c r="B171" s="5">
        <v>576.0</v>
      </c>
      <c r="C171" s="22">
        <f t="shared" si="2"/>
        <v>1784</v>
      </c>
      <c r="D171" s="22">
        <f t="shared" si="3"/>
        <v>1135</v>
      </c>
      <c r="E171" s="22">
        <f t="shared" si="1"/>
        <v>495</v>
      </c>
      <c r="F171" s="20"/>
      <c r="G171" s="20"/>
      <c r="H171" s="20"/>
      <c r="I171" s="20"/>
      <c r="J171" s="20"/>
      <c r="K171" s="20"/>
      <c r="L171" s="22">
        <f t="shared" si="4"/>
        <v>-1208</v>
      </c>
      <c r="M171" s="38">
        <f t="shared" si="5"/>
        <v>2.097222222</v>
      </c>
      <c r="N171" s="22">
        <f t="shared" si="6"/>
        <v>1459264</v>
      </c>
      <c r="O171" s="20"/>
      <c r="P171" s="22">
        <f t="shared" si="7"/>
        <v>-559</v>
      </c>
      <c r="Q171" s="38">
        <f t="shared" si="8"/>
        <v>0.9704861111</v>
      </c>
      <c r="R171" s="22">
        <f t="shared" si="9"/>
        <v>312481</v>
      </c>
      <c r="S171" s="20"/>
      <c r="T171" s="22">
        <f t="shared" si="10"/>
        <v>81</v>
      </c>
      <c r="U171" s="38">
        <f t="shared" si="11"/>
        <v>0.140625</v>
      </c>
      <c r="V171" s="22">
        <f t="shared" si="12"/>
        <v>6561</v>
      </c>
    </row>
    <row r="172">
      <c r="A172" s="2">
        <v>40786.0</v>
      </c>
      <c r="B172" s="5">
        <v>5586.0</v>
      </c>
      <c r="C172" s="22">
        <f t="shared" si="2"/>
        <v>1073</v>
      </c>
      <c r="D172" s="22">
        <f t="shared" si="3"/>
        <v>1132</v>
      </c>
      <c r="E172" s="22">
        <f t="shared" si="1"/>
        <v>544</v>
      </c>
      <c r="F172" s="20"/>
      <c r="G172" s="20"/>
      <c r="H172" s="20"/>
      <c r="I172" s="20"/>
      <c r="J172" s="20"/>
      <c r="K172" s="20"/>
      <c r="L172" s="22">
        <f t="shared" si="4"/>
        <v>4513</v>
      </c>
      <c r="M172" s="38">
        <f t="shared" si="5"/>
        <v>0.8079126387</v>
      </c>
      <c r="N172" s="22">
        <f t="shared" si="6"/>
        <v>20367169</v>
      </c>
      <c r="O172" s="20"/>
      <c r="P172" s="22">
        <f t="shared" si="7"/>
        <v>4454</v>
      </c>
      <c r="Q172" s="38">
        <f t="shared" si="8"/>
        <v>0.7973505192</v>
      </c>
      <c r="R172" s="22">
        <f t="shared" si="9"/>
        <v>19838116</v>
      </c>
      <c r="S172" s="20"/>
      <c r="T172" s="22">
        <f t="shared" si="10"/>
        <v>5042</v>
      </c>
      <c r="U172" s="38">
        <f t="shared" si="11"/>
        <v>0.902613677</v>
      </c>
      <c r="V172" s="22">
        <f t="shared" si="12"/>
        <v>25421764</v>
      </c>
    </row>
    <row r="173">
      <c r="A173" s="2">
        <v>40787.0</v>
      </c>
      <c r="B173" s="5">
        <v>1158.0</v>
      </c>
      <c r="C173" s="22">
        <f t="shared" si="2"/>
        <v>1469</v>
      </c>
      <c r="D173" s="22">
        <f t="shared" si="3"/>
        <v>1158</v>
      </c>
      <c r="E173" s="22">
        <f t="shared" si="1"/>
        <v>3569</v>
      </c>
      <c r="F173" s="20"/>
      <c r="G173" s="20"/>
      <c r="H173" s="20"/>
      <c r="I173" s="20"/>
      <c r="J173" s="20"/>
      <c r="K173" s="20"/>
      <c r="L173" s="22">
        <f t="shared" si="4"/>
        <v>-311</v>
      </c>
      <c r="M173" s="38">
        <f t="shared" si="5"/>
        <v>0.268566494</v>
      </c>
      <c r="N173" s="22">
        <f t="shared" si="6"/>
        <v>96721</v>
      </c>
      <c r="O173" s="20"/>
      <c r="P173" s="22">
        <f t="shared" si="7"/>
        <v>0</v>
      </c>
      <c r="Q173" s="38">
        <f t="shared" si="8"/>
        <v>0</v>
      </c>
      <c r="R173" s="22">
        <f t="shared" si="9"/>
        <v>0</v>
      </c>
      <c r="S173" s="20"/>
      <c r="T173" s="22">
        <f t="shared" si="10"/>
        <v>-2411</v>
      </c>
      <c r="U173" s="38">
        <f t="shared" si="11"/>
        <v>2.082037997</v>
      </c>
      <c r="V173" s="22">
        <f t="shared" si="12"/>
        <v>5812921</v>
      </c>
    </row>
    <row r="174">
      <c r="A174" s="2">
        <v>40788.0</v>
      </c>
      <c r="B174" s="5">
        <v>354.0</v>
      </c>
      <c r="C174" s="22">
        <f t="shared" si="2"/>
        <v>1549</v>
      </c>
      <c r="D174" s="22">
        <f t="shared" si="3"/>
        <v>1158</v>
      </c>
      <c r="E174" s="22">
        <f t="shared" si="1"/>
        <v>2122</v>
      </c>
      <c r="F174" s="20"/>
      <c r="G174" s="20"/>
      <c r="H174" s="20"/>
      <c r="I174" s="20"/>
      <c r="J174" s="20"/>
      <c r="K174" s="20"/>
      <c r="L174" s="22">
        <f t="shared" si="4"/>
        <v>-1195</v>
      </c>
      <c r="M174" s="38">
        <f t="shared" si="5"/>
        <v>3.375706215</v>
      </c>
      <c r="N174" s="22">
        <f t="shared" si="6"/>
        <v>1428025</v>
      </c>
      <c r="O174" s="20"/>
      <c r="P174" s="22">
        <f t="shared" si="7"/>
        <v>-804</v>
      </c>
      <c r="Q174" s="38">
        <f t="shared" si="8"/>
        <v>2.271186441</v>
      </c>
      <c r="R174" s="22">
        <f t="shared" si="9"/>
        <v>646416</v>
      </c>
      <c r="S174" s="20"/>
      <c r="T174" s="22">
        <f t="shared" si="10"/>
        <v>-1768</v>
      </c>
      <c r="U174" s="38">
        <f t="shared" si="11"/>
        <v>4.994350282</v>
      </c>
      <c r="V174" s="22">
        <f t="shared" si="12"/>
        <v>3125824</v>
      </c>
    </row>
    <row r="175">
      <c r="A175" s="2">
        <v>40792.0</v>
      </c>
      <c r="B175" s="5">
        <v>132.0</v>
      </c>
      <c r="C175" s="22">
        <f t="shared" si="2"/>
        <v>1597</v>
      </c>
      <c r="D175" s="22">
        <f t="shared" si="3"/>
        <v>1153</v>
      </c>
      <c r="E175" s="22">
        <f t="shared" si="1"/>
        <v>1061</v>
      </c>
      <c r="F175" s="20"/>
      <c r="G175" s="20"/>
      <c r="H175" s="20"/>
      <c r="I175" s="20"/>
      <c r="J175" s="20"/>
      <c r="K175" s="20"/>
      <c r="L175" s="22">
        <f t="shared" si="4"/>
        <v>-1465</v>
      </c>
      <c r="M175" s="38">
        <f t="shared" si="5"/>
        <v>11.09848485</v>
      </c>
      <c r="N175" s="22">
        <f t="shared" si="6"/>
        <v>2146225</v>
      </c>
      <c r="O175" s="20"/>
      <c r="P175" s="22">
        <f t="shared" si="7"/>
        <v>-1021</v>
      </c>
      <c r="Q175" s="38">
        <f t="shared" si="8"/>
        <v>7.734848485</v>
      </c>
      <c r="R175" s="22">
        <f t="shared" si="9"/>
        <v>1042441</v>
      </c>
      <c r="S175" s="20"/>
      <c r="T175" s="22">
        <f t="shared" si="10"/>
        <v>-929</v>
      </c>
      <c r="U175" s="38">
        <f t="shared" si="11"/>
        <v>7.037878788</v>
      </c>
      <c r="V175" s="22">
        <f t="shared" si="12"/>
        <v>863041</v>
      </c>
    </row>
    <row r="176">
      <c r="A176" s="2">
        <v>40793.0</v>
      </c>
      <c r="B176" s="5">
        <v>6240.0</v>
      </c>
      <c r="C176" s="22">
        <f t="shared" si="2"/>
        <v>1561</v>
      </c>
      <c r="D176" s="22">
        <f t="shared" si="3"/>
        <v>1147</v>
      </c>
      <c r="E176" s="22">
        <f t="shared" si="1"/>
        <v>504</v>
      </c>
      <c r="F176" s="20"/>
      <c r="G176" s="20"/>
      <c r="H176" s="20"/>
      <c r="I176" s="20"/>
      <c r="J176" s="20"/>
      <c r="K176" s="20"/>
      <c r="L176" s="22">
        <f t="shared" si="4"/>
        <v>4679</v>
      </c>
      <c r="M176" s="38">
        <f t="shared" si="5"/>
        <v>0.7498397436</v>
      </c>
      <c r="N176" s="22">
        <f t="shared" si="6"/>
        <v>21893041</v>
      </c>
      <c r="O176" s="20"/>
      <c r="P176" s="22">
        <f t="shared" si="7"/>
        <v>5093</v>
      </c>
      <c r="Q176" s="38">
        <f t="shared" si="8"/>
        <v>0.8161858974</v>
      </c>
      <c r="R176" s="22">
        <f t="shared" si="9"/>
        <v>25938649</v>
      </c>
      <c r="S176" s="20"/>
      <c r="T176" s="22">
        <f t="shared" si="10"/>
        <v>5736</v>
      </c>
      <c r="U176" s="38">
        <f t="shared" si="11"/>
        <v>0.9192307692</v>
      </c>
      <c r="V176" s="22">
        <f t="shared" si="12"/>
        <v>32901696</v>
      </c>
    </row>
    <row r="177">
      <c r="A177" s="2">
        <v>40794.0</v>
      </c>
      <c r="B177" s="5">
        <v>390.0</v>
      </c>
      <c r="C177" s="22">
        <f t="shared" si="2"/>
        <v>2694</v>
      </c>
      <c r="D177" s="22">
        <f t="shared" si="3"/>
        <v>1176</v>
      </c>
      <c r="E177" s="22">
        <f t="shared" si="1"/>
        <v>3946</v>
      </c>
      <c r="F177" s="20"/>
      <c r="G177" s="20"/>
      <c r="H177" s="20"/>
      <c r="I177" s="20"/>
      <c r="J177" s="20"/>
      <c r="K177" s="20"/>
      <c r="L177" s="22">
        <f t="shared" si="4"/>
        <v>-2304</v>
      </c>
      <c r="M177" s="38">
        <f t="shared" si="5"/>
        <v>5.907692308</v>
      </c>
      <c r="N177" s="22">
        <f t="shared" si="6"/>
        <v>5308416</v>
      </c>
      <c r="O177" s="20"/>
      <c r="P177" s="22">
        <f t="shared" si="7"/>
        <v>-786</v>
      </c>
      <c r="Q177" s="38">
        <f t="shared" si="8"/>
        <v>2.015384615</v>
      </c>
      <c r="R177" s="22">
        <f t="shared" si="9"/>
        <v>617796</v>
      </c>
      <c r="S177" s="20"/>
      <c r="T177" s="22">
        <f t="shared" si="10"/>
        <v>-3556</v>
      </c>
      <c r="U177" s="38">
        <f t="shared" si="11"/>
        <v>9.117948718</v>
      </c>
      <c r="V177" s="22">
        <f t="shared" si="12"/>
        <v>12645136</v>
      </c>
    </row>
    <row r="178">
      <c r="A178" s="2">
        <v>40795.0</v>
      </c>
      <c r="B178" s="5">
        <v>210.0</v>
      </c>
      <c r="C178" s="22">
        <f t="shared" si="2"/>
        <v>1655</v>
      </c>
      <c r="D178" s="22">
        <f t="shared" si="3"/>
        <v>1172</v>
      </c>
      <c r="E178" s="22">
        <f t="shared" si="1"/>
        <v>1812</v>
      </c>
      <c r="F178" s="20"/>
      <c r="G178" s="20"/>
      <c r="H178" s="20"/>
      <c r="I178" s="20"/>
      <c r="J178" s="20"/>
      <c r="K178" s="20"/>
      <c r="L178" s="22">
        <f t="shared" si="4"/>
        <v>-1445</v>
      </c>
      <c r="M178" s="38">
        <f t="shared" si="5"/>
        <v>6.880952381</v>
      </c>
      <c r="N178" s="22">
        <f t="shared" si="6"/>
        <v>2088025</v>
      </c>
      <c r="O178" s="20"/>
      <c r="P178" s="22">
        <f t="shared" si="7"/>
        <v>-962</v>
      </c>
      <c r="Q178" s="38">
        <f t="shared" si="8"/>
        <v>4.580952381</v>
      </c>
      <c r="R178" s="22">
        <f t="shared" si="9"/>
        <v>925444</v>
      </c>
      <c r="S178" s="20"/>
      <c r="T178" s="22">
        <f t="shared" si="10"/>
        <v>-1602</v>
      </c>
      <c r="U178" s="38">
        <f t="shared" si="11"/>
        <v>7.628571429</v>
      </c>
      <c r="V178" s="22">
        <f t="shared" si="12"/>
        <v>2566404</v>
      </c>
    </row>
    <row r="179">
      <c r="A179" s="2">
        <v>40798.0</v>
      </c>
      <c r="B179" s="5">
        <v>366.0</v>
      </c>
      <c r="C179" s="22">
        <f t="shared" si="2"/>
        <v>1465</v>
      </c>
      <c r="D179" s="22">
        <f t="shared" si="3"/>
        <v>1166</v>
      </c>
      <c r="E179" s="22">
        <f t="shared" si="1"/>
        <v>851</v>
      </c>
      <c r="F179" s="20"/>
      <c r="G179" s="20"/>
      <c r="H179" s="20"/>
      <c r="I179" s="20"/>
      <c r="J179" s="20"/>
      <c r="K179" s="20"/>
      <c r="L179" s="22">
        <f t="shared" si="4"/>
        <v>-1099</v>
      </c>
      <c r="M179" s="38">
        <f t="shared" si="5"/>
        <v>3.00273224</v>
      </c>
      <c r="N179" s="22">
        <f t="shared" si="6"/>
        <v>1207801</v>
      </c>
      <c r="O179" s="20"/>
      <c r="P179" s="22">
        <f t="shared" si="7"/>
        <v>-800</v>
      </c>
      <c r="Q179" s="38">
        <f t="shared" si="8"/>
        <v>2.18579235</v>
      </c>
      <c r="R179" s="22">
        <f t="shared" si="9"/>
        <v>640000</v>
      </c>
      <c r="S179" s="20"/>
      <c r="T179" s="22">
        <f t="shared" si="10"/>
        <v>-485</v>
      </c>
      <c r="U179" s="38">
        <f t="shared" si="11"/>
        <v>1.325136612</v>
      </c>
      <c r="V179" s="22">
        <f t="shared" si="12"/>
        <v>235225</v>
      </c>
    </row>
    <row r="180">
      <c r="A180" s="2">
        <v>40799.0</v>
      </c>
      <c r="B180" s="5">
        <v>5562.0</v>
      </c>
      <c r="C180" s="22">
        <f t="shared" si="2"/>
        <v>1468</v>
      </c>
      <c r="D180" s="22">
        <f t="shared" si="3"/>
        <v>1162</v>
      </c>
      <c r="E180" s="22">
        <f t="shared" si="1"/>
        <v>560</v>
      </c>
      <c r="F180" s="20"/>
      <c r="G180" s="20"/>
      <c r="H180" s="20"/>
      <c r="I180" s="20"/>
      <c r="J180" s="20"/>
      <c r="K180" s="20"/>
      <c r="L180" s="22">
        <f t="shared" si="4"/>
        <v>4094</v>
      </c>
      <c r="M180" s="38">
        <f t="shared" si="5"/>
        <v>0.7360661633</v>
      </c>
      <c r="N180" s="22">
        <f t="shared" si="6"/>
        <v>16760836</v>
      </c>
      <c r="O180" s="20"/>
      <c r="P180" s="22">
        <f t="shared" si="7"/>
        <v>4400</v>
      </c>
      <c r="Q180" s="38">
        <f t="shared" si="8"/>
        <v>0.7910823445</v>
      </c>
      <c r="R180" s="22">
        <f t="shared" si="9"/>
        <v>19360000</v>
      </c>
      <c r="S180" s="20"/>
      <c r="T180" s="22">
        <f t="shared" si="10"/>
        <v>5002</v>
      </c>
      <c r="U180" s="38">
        <f t="shared" si="11"/>
        <v>0.8993167925</v>
      </c>
      <c r="V180" s="22">
        <f t="shared" si="12"/>
        <v>25020004</v>
      </c>
    </row>
    <row r="181">
      <c r="A181" s="2">
        <v>40800.0</v>
      </c>
      <c r="B181" s="5">
        <v>3708.0</v>
      </c>
      <c r="C181" s="22">
        <f t="shared" si="2"/>
        <v>2554</v>
      </c>
      <c r="D181" s="22">
        <f t="shared" si="3"/>
        <v>1187</v>
      </c>
      <c r="E181" s="22">
        <f t="shared" si="1"/>
        <v>3561</v>
      </c>
      <c r="F181" s="20"/>
      <c r="G181" s="20"/>
      <c r="H181" s="20"/>
      <c r="I181" s="20"/>
      <c r="J181" s="20"/>
      <c r="K181" s="20"/>
      <c r="L181" s="22">
        <f t="shared" si="4"/>
        <v>1154</v>
      </c>
      <c r="M181" s="38">
        <f t="shared" si="5"/>
        <v>0.311218986</v>
      </c>
      <c r="N181" s="22">
        <f t="shared" si="6"/>
        <v>1331716</v>
      </c>
      <c r="O181" s="20"/>
      <c r="P181" s="22">
        <f t="shared" si="7"/>
        <v>2521</v>
      </c>
      <c r="Q181" s="38">
        <f t="shared" si="8"/>
        <v>0.6798813376</v>
      </c>
      <c r="R181" s="22">
        <f t="shared" si="9"/>
        <v>6355441</v>
      </c>
      <c r="S181" s="20"/>
      <c r="T181" s="22">
        <f t="shared" si="10"/>
        <v>147</v>
      </c>
      <c r="U181" s="38">
        <f t="shared" si="11"/>
        <v>0.03964401294</v>
      </c>
      <c r="V181" s="22">
        <f t="shared" si="12"/>
        <v>21609</v>
      </c>
    </row>
    <row r="182">
      <c r="A182" s="2">
        <v>40801.0</v>
      </c>
      <c r="B182" s="5">
        <v>810.0</v>
      </c>
      <c r="C182" s="22">
        <f t="shared" si="2"/>
        <v>2047</v>
      </c>
      <c r="D182" s="22">
        <f t="shared" si="3"/>
        <v>1201</v>
      </c>
      <c r="E182" s="22">
        <f t="shared" si="1"/>
        <v>3649</v>
      </c>
      <c r="F182" s="20"/>
      <c r="G182" s="20"/>
      <c r="H182" s="20"/>
      <c r="I182" s="20"/>
      <c r="J182" s="20"/>
      <c r="K182" s="20"/>
      <c r="L182" s="22">
        <f t="shared" si="4"/>
        <v>-1237</v>
      </c>
      <c r="M182" s="38">
        <f t="shared" si="5"/>
        <v>1.527160494</v>
      </c>
      <c r="N182" s="22">
        <f t="shared" si="6"/>
        <v>1530169</v>
      </c>
      <c r="O182" s="20"/>
      <c r="P182" s="22">
        <f t="shared" si="7"/>
        <v>-391</v>
      </c>
      <c r="Q182" s="38">
        <f t="shared" si="8"/>
        <v>0.4827160494</v>
      </c>
      <c r="R182" s="22">
        <f t="shared" si="9"/>
        <v>152881</v>
      </c>
      <c r="S182" s="20"/>
      <c r="T182" s="22">
        <f t="shared" si="10"/>
        <v>-2839</v>
      </c>
      <c r="U182" s="38">
        <f t="shared" si="11"/>
        <v>3.504938272</v>
      </c>
      <c r="V182" s="22">
        <f t="shared" si="12"/>
        <v>8059921</v>
      </c>
    </row>
    <row r="183">
      <c r="A183" s="2">
        <v>40802.0</v>
      </c>
      <c r="B183" s="5">
        <v>120.0</v>
      </c>
      <c r="C183" s="22">
        <f t="shared" si="2"/>
        <v>2131</v>
      </c>
      <c r="D183" s="22">
        <f t="shared" si="3"/>
        <v>1199</v>
      </c>
      <c r="E183" s="22">
        <f t="shared" si="1"/>
        <v>1946</v>
      </c>
      <c r="F183" s="20"/>
      <c r="G183" s="20"/>
      <c r="H183" s="20"/>
      <c r="I183" s="20"/>
      <c r="J183" s="20"/>
      <c r="K183" s="20"/>
      <c r="L183" s="22">
        <f t="shared" si="4"/>
        <v>-2011</v>
      </c>
      <c r="M183" s="38">
        <f t="shared" si="5"/>
        <v>16.75833333</v>
      </c>
      <c r="N183" s="22">
        <f t="shared" si="6"/>
        <v>4044121</v>
      </c>
      <c r="O183" s="20"/>
      <c r="P183" s="22">
        <f t="shared" si="7"/>
        <v>-1079</v>
      </c>
      <c r="Q183" s="38">
        <f t="shared" si="8"/>
        <v>8.991666667</v>
      </c>
      <c r="R183" s="22">
        <f t="shared" si="9"/>
        <v>1164241</v>
      </c>
      <c r="S183" s="20"/>
      <c r="T183" s="22">
        <f t="shared" si="10"/>
        <v>-1826</v>
      </c>
      <c r="U183" s="38">
        <f t="shared" si="11"/>
        <v>15.21666667</v>
      </c>
      <c r="V183" s="22">
        <f t="shared" si="12"/>
        <v>3334276</v>
      </c>
    </row>
    <row r="184">
      <c r="A184" s="2">
        <v>40805.0</v>
      </c>
      <c r="B184" s="5">
        <v>522.0</v>
      </c>
      <c r="C184" s="22">
        <f t="shared" si="2"/>
        <v>2113</v>
      </c>
      <c r="D184" s="22">
        <f t="shared" si="3"/>
        <v>1193</v>
      </c>
      <c r="E184" s="22">
        <f t="shared" si="1"/>
        <v>850</v>
      </c>
      <c r="F184" s="20"/>
      <c r="G184" s="20"/>
      <c r="H184" s="20"/>
      <c r="I184" s="20"/>
      <c r="J184" s="20"/>
      <c r="K184" s="20"/>
      <c r="L184" s="22">
        <f t="shared" si="4"/>
        <v>-1591</v>
      </c>
      <c r="M184" s="38">
        <f t="shared" si="5"/>
        <v>3.04789272</v>
      </c>
      <c r="N184" s="22">
        <f t="shared" si="6"/>
        <v>2531281</v>
      </c>
      <c r="O184" s="20"/>
      <c r="P184" s="22">
        <f t="shared" si="7"/>
        <v>-671</v>
      </c>
      <c r="Q184" s="38">
        <f t="shared" si="8"/>
        <v>1.285440613</v>
      </c>
      <c r="R184" s="22">
        <f t="shared" si="9"/>
        <v>450241</v>
      </c>
      <c r="S184" s="20"/>
      <c r="T184" s="22">
        <f t="shared" si="10"/>
        <v>-328</v>
      </c>
      <c r="U184" s="38">
        <f t="shared" si="11"/>
        <v>0.6283524904</v>
      </c>
      <c r="V184" s="22">
        <f t="shared" si="12"/>
        <v>107584</v>
      </c>
    </row>
    <row r="185">
      <c r="A185" s="2">
        <v>40806.0</v>
      </c>
      <c r="B185" s="5">
        <v>4860.0</v>
      </c>
      <c r="C185" s="22">
        <f t="shared" si="2"/>
        <v>2144</v>
      </c>
      <c r="D185" s="22">
        <f t="shared" si="3"/>
        <v>1189</v>
      </c>
      <c r="E185" s="22">
        <f t="shared" si="1"/>
        <v>653</v>
      </c>
      <c r="F185" s="20"/>
      <c r="G185" s="20"/>
      <c r="H185" s="20"/>
      <c r="I185" s="20"/>
      <c r="J185" s="20"/>
      <c r="K185" s="20"/>
      <c r="L185" s="22">
        <f t="shared" si="4"/>
        <v>2716</v>
      </c>
      <c r="M185" s="38">
        <f t="shared" si="5"/>
        <v>0.5588477366</v>
      </c>
      <c r="N185" s="22">
        <f t="shared" si="6"/>
        <v>7376656</v>
      </c>
      <c r="O185" s="20"/>
      <c r="P185" s="22">
        <f t="shared" si="7"/>
        <v>3671</v>
      </c>
      <c r="Q185" s="38">
        <f t="shared" si="8"/>
        <v>0.7553497942</v>
      </c>
      <c r="R185" s="22">
        <f t="shared" si="9"/>
        <v>13476241</v>
      </c>
      <c r="S185" s="20"/>
      <c r="T185" s="22">
        <f t="shared" si="10"/>
        <v>4207</v>
      </c>
      <c r="U185" s="38">
        <f t="shared" si="11"/>
        <v>0.8656378601</v>
      </c>
      <c r="V185" s="22">
        <f t="shared" si="12"/>
        <v>17698849</v>
      </c>
    </row>
    <row r="186">
      <c r="A186" s="2">
        <v>40807.0</v>
      </c>
      <c r="B186" s="5">
        <v>4638.0</v>
      </c>
      <c r="C186" s="22">
        <f t="shared" si="2"/>
        <v>2004</v>
      </c>
      <c r="D186" s="22">
        <f t="shared" si="3"/>
        <v>1209</v>
      </c>
      <c r="E186" s="22">
        <f t="shared" si="1"/>
        <v>3177</v>
      </c>
      <c r="F186" s="20"/>
      <c r="G186" s="20"/>
      <c r="H186" s="20"/>
      <c r="I186" s="20"/>
      <c r="J186" s="20"/>
      <c r="K186" s="20"/>
      <c r="L186" s="22">
        <f t="shared" si="4"/>
        <v>2634</v>
      </c>
      <c r="M186" s="38">
        <f t="shared" si="5"/>
        <v>0.5679172057</v>
      </c>
      <c r="N186" s="22">
        <f t="shared" si="6"/>
        <v>6937956</v>
      </c>
      <c r="O186" s="20"/>
      <c r="P186" s="22">
        <f t="shared" si="7"/>
        <v>3429</v>
      </c>
      <c r="Q186" s="38">
        <f t="shared" si="8"/>
        <v>0.7393272962</v>
      </c>
      <c r="R186" s="22">
        <f t="shared" si="9"/>
        <v>11758041</v>
      </c>
      <c r="S186" s="20"/>
      <c r="T186" s="22">
        <f t="shared" si="10"/>
        <v>1461</v>
      </c>
      <c r="U186" s="38">
        <f t="shared" si="11"/>
        <v>0.3150064683</v>
      </c>
      <c r="V186" s="22">
        <f t="shared" si="12"/>
        <v>2134521</v>
      </c>
    </row>
    <row r="187">
      <c r="A187" s="2">
        <v>40808.0</v>
      </c>
      <c r="B187" s="5">
        <v>522.0</v>
      </c>
      <c r="C187" s="22">
        <f t="shared" si="2"/>
        <v>2190</v>
      </c>
      <c r="D187" s="22">
        <f t="shared" si="3"/>
        <v>1228</v>
      </c>
      <c r="E187" s="22">
        <f t="shared" si="1"/>
        <v>4054</v>
      </c>
      <c r="F187" s="20"/>
      <c r="G187" s="20"/>
      <c r="H187" s="20"/>
      <c r="I187" s="20"/>
      <c r="J187" s="20"/>
      <c r="K187" s="20"/>
      <c r="L187" s="22">
        <f t="shared" si="4"/>
        <v>-1668</v>
      </c>
      <c r="M187" s="38">
        <f t="shared" si="5"/>
        <v>3.195402299</v>
      </c>
      <c r="N187" s="22">
        <f t="shared" si="6"/>
        <v>2782224</v>
      </c>
      <c r="O187" s="20"/>
      <c r="P187" s="22">
        <f t="shared" si="7"/>
        <v>-706</v>
      </c>
      <c r="Q187" s="38">
        <f t="shared" si="8"/>
        <v>1.352490421</v>
      </c>
      <c r="R187" s="22">
        <f t="shared" si="9"/>
        <v>498436</v>
      </c>
      <c r="S187" s="20"/>
      <c r="T187" s="22">
        <f t="shared" si="10"/>
        <v>-3532</v>
      </c>
      <c r="U187" s="38">
        <f t="shared" si="11"/>
        <v>6.766283525</v>
      </c>
      <c r="V187" s="22">
        <f t="shared" si="12"/>
        <v>12475024</v>
      </c>
    </row>
    <row r="188">
      <c r="A188" s="2">
        <v>40809.0</v>
      </c>
      <c r="B188" s="5">
        <v>204.0</v>
      </c>
      <c r="C188" s="22">
        <f t="shared" si="2"/>
        <v>2132</v>
      </c>
      <c r="D188" s="22">
        <f t="shared" si="3"/>
        <v>1224</v>
      </c>
      <c r="E188" s="22">
        <f t="shared" si="1"/>
        <v>1935</v>
      </c>
      <c r="F188" s="20"/>
      <c r="G188" s="20"/>
      <c r="H188" s="20"/>
      <c r="I188" s="20"/>
      <c r="J188" s="20"/>
      <c r="K188" s="20"/>
      <c r="L188" s="22">
        <f t="shared" si="4"/>
        <v>-1928</v>
      </c>
      <c r="M188" s="38">
        <f t="shared" si="5"/>
        <v>9.450980392</v>
      </c>
      <c r="N188" s="22">
        <f t="shared" si="6"/>
        <v>3717184</v>
      </c>
      <c r="O188" s="20"/>
      <c r="P188" s="22">
        <f t="shared" si="7"/>
        <v>-1020</v>
      </c>
      <c r="Q188" s="38">
        <f t="shared" si="8"/>
        <v>5</v>
      </c>
      <c r="R188" s="22">
        <f t="shared" si="9"/>
        <v>1040400</v>
      </c>
      <c r="S188" s="20"/>
      <c r="T188" s="22">
        <f t="shared" si="10"/>
        <v>-1731</v>
      </c>
      <c r="U188" s="38">
        <f t="shared" si="11"/>
        <v>8.485294118</v>
      </c>
      <c r="V188" s="22">
        <f t="shared" si="12"/>
        <v>2996361</v>
      </c>
    </row>
    <row r="189">
      <c r="A189" s="2">
        <v>40812.0</v>
      </c>
      <c r="B189" s="5">
        <v>858.0</v>
      </c>
      <c r="C189" s="22">
        <f t="shared" si="2"/>
        <v>2149</v>
      </c>
      <c r="D189" s="22">
        <f t="shared" si="3"/>
        <v>1218</v>
      </c>
      <c r="E189" s="22">
        <f t="shared" si="1"/>
        <v>896</v>
      </c>
      <c r="F189" s="20"/>
      <c r="G189" s="20"/>
      <c r="H189" s="20"/>
      <c r="I189" s="20"/>
      <c r="J189" s="20"/>
      <c r="K189" s="20"/>
      <c r="L189" s="22">
        <f t="shared" si="4"/>
        <v>-1291</v>
      </c>
      <c r="M189" s="38">
        <f t="shared" si="5"/>
        <v>1.504662005</v>
      </c>
      <c r="N189" s="22">
        <f t="shared" si="6"/>
        <v>1666681</v>
      </c>
      <c r="O189" s="20"/>
      <c r="P189" s="22">
        <f t="shared" si="7"/>
        <v>-360</v>
      </c>
      <c r="Q189" s="38">
        <f t="shared" si="8"/>
        <v>0.4195804196</v>
      </c>
      <c r="R189" s="22">
        <f t="shared" si="9"/>
        <v>129600</v>
      </c>
      <c r="S189" s="20"/>
      <c r="T189" s="22">
        <f t="shared" si="10"/>
        <v>-38</v>
      </c>
      <c r="U189" s="38">
        <f t="shared" si="11"/>
        <v>0.04428904429</v>
      </c>
      <c r="V189" s="22">
        <f t="shared" si="12"/>
        <v>1444</v>
      </c>
    </row>
    <row r="190">
      <c r="A190" s="2">
        <v>40813.0</v>
      </c>
      <c r="B190" s="5">
        <v>3780.0</v>
      </c>
      <c r="C190" s="22">
        <f t="shared" si="2"/>
        <v>2216</v>
      </c>
      <c r="D190" s="22">
        <f t="shared" si="3"/>
        <v>1216</v>
      </c>
      <c r="E190" s="22">
        <f t="shared" si="1"/>
        <v>873</v>
      </c>
      <c r="F190" s="20"/>
      <c r="G190" s="20"/>
      <c r="H190" s="20"/>
      <c r="I190" s="20"/>
      <c r="J190" s="20"/>
      <c r="K190" s="20"/>
      <c r="L190" s="22">
        <f t="shared" si="4"/>
        <v>1564</v>
      </c>
      <c r="M190" s="38">
        <f t="shared" si="5"/>
        <v>0.4137566138</v>
      </c>
      <c r="N190" s="22">
        <f t="shared" si="6"/>
        <v>2446096</v>
      </c>
      <c r="O190" s="20"/>
      <c r="P190" s="22">
        <f t="shared" si="7"/>
        <v>2564</v>
      </c>
      <c r="Q190" s="38">
        <f t="shared" si="8"/>
        <v>0.6783068783</v>
      </c>
      <c r="R190" s="22">
        <f t="shared" si="9"/>
        <v>6574096</v>
      </c>
      <c r="S190" s="20"/>
      <c r="T190" s="22">
        <f t="shared" si="10"/>
        <v>2907</v>
      </c>
      <c r="U190" s="38">
        <f t="shared" si="11"/>
        <v>0.769047619</v>
      </c>
      <c r="V190" s="22">
        <f t="shared" si="12"/>
        <v>8450649</v>
      </c>
    </row>
    <row r="191">
      <c r="A191" s="2">
        <v>40814.0</v>
      </c>
      <c r="B191" s="5">
        <v>5436.0</v>
      </c>
      <c r="C191" s="22">
        <f t="shared" si="2"/>
        <v>2000</v>
      </c>
      <c r="D191" s="22">
        <f t="shared" si="3"/>
        <v>1230</v>
      </c>
      <c r="E191" s="22">
        <f t="shared" si="1"/>
        <v>2617</v>
      </c>
      <c r="F191" s="20"/>
      <c r="G191" s="20"/>
      <c r="H191" s="20"/>
      <c r="I191" s="20"/>
      <c r="J191" s="20"/>
      <c r="K191" s="20"/>
      <c r="L191" s="22">
        <f t="shared" si="4"/>
        <v>3436</v>
      </c>
      <c r="M191" s="38">
        <f t="shared" si="5"/>
        <v>0.6320824135</v>
      </c>
      <c r="N191" s="22">
        <f t="shared" si="6"/>
        <v>11806096</v>
      </c>
      <c r="O191" s="20"/>
      <c r="P191" s="22">
        <f t="shared" si="7"/>
        <v>4206</v>
      </c>
      <c r="Q191" s="38">
        <f t="shared" si="8"/>
        <v>0.7737306843</v>
      </c>
      <c r="R191" s="22">
        <f t="shared" si="9"/>
        <v>17690436</v>
      </c>
      <c r="S191" s="20"/>
      <c r="T191" s="22">
        <f t="shared" si="10"/>
        <v>2819</v>
      </c>
      <c r="U191" s="38">
        <f t="shared" si="11"/>
        <v>0.5185798381</v>
      </c>
      <c r="V191" s="22">
        <f t="shared" si="12"/>
        <v>7946761</v>
      </c>
    </row>
    <row r="192">
      <c r="A192" s="2">
        <v>40815.0</v>
      </c>
      <c r="B192" s="5">
        <v>864.0</v>
      </c>
      <c r="C192" s="22">
        <f t="shared" si="2"/>
        <v>2160</v>
      </c>
      <c r="D192" s="22">
        <f t="shared" si="3"/>
        <v>1252</v>
      </c>
      <c r="E192" s="22">
        <f t="shared" si="1"/>
        <v>4308</v>
      </c>
      <c r="F192" s="20"/>
      <c r="G192" s="20"/>
      <c r="H192" s="20"/>
      <c r="I192" s="20"/>
      <c r="J192" s="20"/>
      <c r="K192" s="20"/>
      <c r="L192" s="22">
        <f t="shared" si="4"/>
        <v>-1296</v>
      </c>
      <c r="M192" s="38">
        <f t="shared" si="5"/>
        <v>1.5</v>
      </c>
      <c r="N192" s="22">
        <f t="shared" si="6"/>
        <v>1679616</v>
      </c>
      <c r="O192" s="20"/>
      <c r="P192" s="22">
        <f t="shared" si="7"/>
        <v>-388</v>
      </c>
      <c r="Q192" s="38">
        <f t="shared" si="8"/>
        <v>0.4490740741</v>
      </c>
      <c r="R192" s="22">
        <f t="shared" si="9"/>
        <v>150544</v>
      </c>
      <c r="S192" s="20"/>
      <c r="T192" s="22">
        <f t="shared" si="10"/>
        <v>-3444</v>
      </c>
      <c r="U192" s="38">
        <f t="shared" si="11"/>
        <v>3.986111111</v>
      </c>
      <c r="V192" s="22">
        <f t="shared" si="12"/>
        <v>11861136</v>
      </c>
    </row>
    <row r="193">
      <c r="A193" s="2">
        <v>40816.0</v>
      </c>
      <c r="B193" s="5">
        <v>138.0</v>
      </c>
      <c r="C193" s="22">
        <f t="shared" si="2"/>
        <v>2228</v>
      </c>
      <c r="D193" s="22">
        <f t="shared" si="3"/>
        <v>1250</v>
      </c>
      <c r="E193" s="22">
        <f t="shared" si="1"/>
        <v>2242</v>
      </c>
      <c r="F193" s="20"/>
      <c r="G193" s="20"/>
      <c r="H193" s="20"/>
      <c r="I193" s="20"/>
      <c r="J193" s="20"/>
      <c r="K193" s="20"/>
      <c r="L193" s="22">
        <f t="shared" si="4"/>
        <v>-2090</v>
      </c>
      <c r="M193" s="38">
        <f t="shared" si="5"/>
        <v>15.14492754</v>
      </c>
      <c r="N193" s="22">
        <f t="shared" si="6"/>
        <v>4368100</v>
      </c>
      <c r="O193" s="20"/>
      <c r="P193" s="22">
        <f t="shared" si="7"/>
        <v>-1112</v>
      </c>
      <c r="Q193" s="38">
        <f t="shared" si="8"/>
        <v>8.057971014</v>
      </c>
      <c r="R193" s="22">
        <f t="shared" si="9"/>
        <v>1236544</v>
      </c>
      <c r="S193" s="20"/>
      <c r="T193" s="22">
        <f t="shared" si="10"/>
        <v>-2104</v>
      </c>
      <c r="U193" s="38">
        <f t="shared" si="11"/>
        <v>15.24637681</v>
      </c>
      <c r="V193" s="22">
        <f t="shared" si="12"/>
        <v>4426816</v>
      </c>
    </row>
    <row r="194">
      <c r="A194" s="2">
        <v>40819.0</v>
      </c>
      <c r="B194" s="5">
        <v>732.0</v>
      </c>
      <c r="C194" s="22">
        <f t="shared" si="2"/>
        <v>2215</v>
      </c>
      <c r="D194" s="22">
        <f t="shared" si="3"/>
        <v>1244</v>
      </c>
      <c r="E194" s="22">
        <f t="shared" si="1"/>
        <v>980</v>
      </c>
      <c r="F194" s="20"/>
      <c r="G194" s="20"/>
      <c r="H194" s="20"/>
      <c r="I194" s="20"/>
      <c r="J194" s="20"/>
      <c r="K194" s="20"/>
      <c r="L194" s="22">
        <f t="shared" si="4"/>
        <v>-1483</v>
      </c>
      <c r="M194" s="38">
        <f t="shared" si="5"/>
        <v>2.025956284</v>
      </c>
      <c r="N194" s="22">
        <f t="shared" si="6"/>
        <v>2199289</v>
      </c>
      <c r="O194" s="20"/>
      <c r="P194" s="22">
        <f t="shared" si="7"/>
        <v>-512</v>
      </c>
      <c r="Q194" s="38">
        <f t="shared" si="8"/>
        <v>0.6994535519</v>
      </c>
      <c r="R194" s="22">
        <f t="shared" si="9"/>
        <v>262144</v>
      </c>
      <c r="S194" s="20"/>
      <c r="T194" s="22">
        <f t="shared" si="10"/>
        <v>-248</v>
      </c>
      <c r="U194" s="38">
        <f t="shared" si="11"/>
        <v>0.3387978142</v>
      </c>
      <c r="V194" s="22">
        <f t="shared" si="12"/>
        <v>61504</v>
      </c>
    </row>
    <row r="195">
      <c r="A195" s="2">
        <v>40820.0</v>
      </c>
      <c r="B195" s="5">
        <v>3240.0</v>
      </c>
      <c r="C195" s="22">
        <f t="shared" si="2"/>
        <v>2190</v>
      </c>
      <c r="D195" s="22">
        <f t="shared" si="3"/>
        <v>1242</v>
      </c>
      <c r="E195" s="22">
        <f t="shared" si="1"/>
        <v>831</v>
      </c>
      <c r="F195" s="20"/>
      <c r="G195" s="20"/>
      <c r="H195" s="20"/>
      <c r="I195" s="20"/>
      <c r="J195" s="20"/>
      <c r="K195" s="20"/>
      <c r="L195" s="22">
        <f t="shared" si="4"/>
        <v>1050</v>
      </c>
      <c r="M195" s="38">
        <f t="shared" si="5"/>
        <v>0.3240740741</v>
      </c>
      <c r="N195" s="22">
        <f t="shared" si="6"/>
        <v>1102500</v>
      </c>
      <c r="O195" s="20"/>
      <c r="P195" s="22">
        <f t="shared" si="7"/>
        <v>1998</v>
      </c>
      <c r="Q195" s="38">
        <f t="shared" si="8"/>
        <v>0.6166666667</v>
      </c>
      <c r="R195" s="22">
        <f t="shared" si="9"/>
        <v>3992004</v>
      </c>
      <c r="S195" s="20"/>
      <c r="T195" s="22">
        <f t="shared" si="10"/>
        <v>2409</v>
      </c>
      <c r="U195" s="38">
        <f t="shared" si="11"/>
        <v>0.7435185185</v>
      </c>
      <c r="V195" s="22">
        <f t="shared" si="12"/>
        <v>5803281</v>
      </c>
    </row>
    <row r="196">
      <c r="A196" s="2">
        <v>40821.0</v>
      </c>
      <c r="B196" s="5">
        <v>4644.0</v>
      </c>
      <c r="C196" s="22">
        <f t="shared" si="2"/>
        <v>2082</v>
      </c>
      <c r="D196" s="22">
        <f t="shared" si="3"/>
        <v>1252</v>
      </c>
      <c r="E196" s="22">
        <f t="shared" si="1"/>
        <v>2276</v>
      </c>
      <c r="F196" s="20"/>
      <c r="G196" s="20"/>
      <c r="H196" s="20"/>
      <c r="I196" s="20"/>
      <c r="J196" s="20"/>
      <c r="K196" s="20"/>
      <c r="L196" s="22">
        <f t="shared" si="4"/>
        <v>2562</v>
      </c>
      <c r="M196" s="38">
        <f t="shared" si="5"/>
        <v>0.5516795866</v>
      </c>
      <c r="N196" s="22">
        <f t="shared" si="6"/>
        <v>6563844</v>
      </c>
      <c r="O196" s="20"/>
      <c r="P196" s="22">
        <f t="shared" si="7"/>
        <v>3392</v>
      </c>
      <c r="Q196" s="38">
        <f t="shared" si="8"/>
        <v>0.7304048234</v>
      </c>
      <c r="R196" s="22">
        <f t="shared" si="9"/>
        <v>11505664</v>
      </c>
      <c r="S196" s="20"/>
      <c r="T196" s="22">
        <f t="shared" si="10"/>
        <v>2368</v>
      </c>
      <c r="U196" s="38">
        <f t="shared" si="11"/>
        <v>0.5099052541</v>
      </c>
      <c r="V196" s="22">
        <f t="shared" si="12"/>
        <v>5607424</v>
      </c>
    </row>
    <row r="197">
      <c r="A197" s="2">
        <v>40822.0</v>
      </c>
      <c r="B197" s="5">
        <v>468.0</v>
      </c>
      <c r="C197" s="22">
        <f t="shared" si="2"/>
        <v>1924</v>
      </c>
      <c r="D197" s="22">
        <f t="shared" si="3"/>
        <v>1270</v>
      </c>
      <c r="E197" s="22">
        <f t="shared" si="1"/>
        <v>3697</v>
      </c>
      <c r="F197" s="20"/>
      <c r="G197" s="20"/>
      <c r="H197" s="20"/>
      <c r="I197" s="20"/>
      <c r="J197" s="20"/>
      <c r="K197" s="20"/>
      <c r="L197" s="22">
        <f t="shared" si="4"/>
        <v>-1456</v>
      </c>
      <c r="M197" s="38">
        <f t="shared" si="5"/>
        <v>3.111111111</v>
      </c>
      <c r="N197" s="22">
        <f t="shared" si="6"/>
        <v>2119936</v>
      </c>
      <c r="O197" s="20"/>
      <c r="P197" s="22">
        <f t="shared" si="7"/>
        <v>-802</v>
      </c>
      <c r="Q197" s="38">
        <f t="shared" si="8"/>
        <v>1.713675214</v>
      </c>
      <c r="R197" s="22">
        <f t="shared" si="9"/>
        <v>643204</v>
      </c>
      <c r="S197" s="20"/>
      <c r="T197" s="22">
        <f t="shared" si="10"/>
        <v>-3229</v>
      </c>
      <c r="U197" s="38">
        <f t="shared" si="11"/>
        <v>6.89957265</v>
      </c>
      <c r="V197" s="22">
        <f t="shared" si="12"/>
        <v>10426441</v>
      </c>
    </row>
    <row r="198">
      <c r="A198" s="2">
        <v>40823.0</v>
      </c>
      <c r="B198" s="5">
        <v>168.0</v>
      </c>
      <c r="C198" s="22">
        <f t="shared" si="2"/>
        <v>1844</v>
      </c>
      <c r="D198" s="22">
        <f t="shared" si="3"/>
        <v>1265</v>
      </c>
      <c r="E198" s="22">
        <f t="shared" si="1"/>
        <v>1760</v>
      </c>
      <c r="F198" s="20"/>
      <c r="G198" s="20"/>
      <c r="H198" s="20"/>
      <c r="I198" s="20"/>
      <c r="J198" s="20"/>
      <c r="K198" s="20"/>
      <c r="L198" s="22">
        <f t="shared" si="4"/>
        <v>-1676</v>
      </c>
      <c r="M198" s="38">
        <f t="shared" si="5"/>
        <v>9.976190476</v>
      </c>
      <c r="N198" s="22">
        <f t="shared" si="6"/>
        <v>2808976</v>
      </c>
      <c r="O198" s="20"/>
      <c r="P198" s="22">
        <f t="shared" si="7"/>
        <v>-1097</v>
      </c>
      <c r="Q198" s="38">
        <f t="shared" si="8"/>
        <v>6.529761905</v>
      </c>
      <c r="R198" s="22">
        <f t="shared" si="9"/>
        <v>1203409</v>
      </c>
      <c r="S198" s="20"/>
      <c r="T198" s="22">
        <f t="shared" si="10"/>
        <v>-1592</v>
      </c>
      <c r="U198" s="38">
        <f t="shared" si="11"/>
        <v>9.476190476</v>
      </c>
      <c r="V198" s="22">
        <f t="shared" si="12"/>
        <v>2534464</v>
      </c>
    </row>
    <row r="199">
      <c r="A199" s="2">
        <v>40826.0</v>
      </c>
      <c r="B199" s="5">
        <v>720.0</v>
      </c>
      <c r="C199" s="22">
        <f t="shared" si="2"/>
        <v>1850</v>
      </c>
      <c r="D199" s="22">
        <f t="shared" si="3"/>
        <v>1260</v>
      </c>
      <c r="E199" s="22">
        <f t="shared" si="1"/>
        <v>805</v>
      </c>
      <c r="F199" s="20"/>
      <c r="G199" s="20"/>
      <c r="H199" s="20"/>
      <c r="I199" s="20"/>
      <c r="J199" s="20"/>
      <c r="K199" s="20"/>
      <c r="L199" s="22">
        <f t="shared" si="4"/>
        <v>-1130</v>
      </c>
      <c r="M199" s="38">
        <f t="shared" si="5"/>
        <v>1.569444444</v>
      </c>
      <c r="N199" s="22">
        <f t="shared" si="6"/>
        <v>1276900</v>
      </c>
      <c r="O199" s="20"/>
      <c r="P199" s="22">
        <f t="shared" si="7"/>
        <v>-540</v>
      </c>
      <c r="Q199" s="38">
        <f t="shared" si="8"/>
        <v>0.75</v>
      </c>
      <c r="R199" s="22">
        <f t="shared" si="9"/>
        <v>291600</v>
      </c>
      <c r="S199" s="20"/>
      <c r="T199" s="22">
        <f t="shared" si="10"/>
        <v>-85</v>
      </c>
      <c r="U199" s="38">
        <f t="shared" si="11"/>
        <v>0.1180555556</v>
      </c>
      <c r="V199" s="22">
        <f t="shared" si="12"/>
        <v>7225</v>
      </c>
    </row>
    <row r="200">
      <c r="A200" s="2">
        <v>40827.0</v>
      </c>
      <c r="B200" s="5">
        <v>486.0</v>
      </c>
      <c r="C200" s="22">
        <f t="shared" si="2"/>
        <v>1848</v>
      </c>
      <c r="D200" s="22">
        <f t="shared" si="3"/>
        <v>1257</v>
      </c>
      <c r="E200" s="22">
        <f t="shared" si="1"/>
        <v>754</v>
      </c>
      <c r="F200" s="20"/>
      <c r="G200" s="20"/>
      <c r="H200" s="20"/>
      <c r="I200" s="20"/>
      <c r="J200" s="20"/>
      <c r="K200" s="20"/>
      <c r="L200" s="22">
        <f t="shared" si="4"/>
        <v>-1362</v>
      </c>
      <c r="M200" s="38">
        <f t="shared" si="5"/>
        <v>2.802469136</v>
      </c>
      <c r="N200" s="22">
        <f t="shared" si="6"/>
        <v>1855044</v>
      </c>
      <c r="O200" s="20"/>
      <c r="P200" s="22">
        <f t="shared" si="7"/>
        <v>-771</v>
      </c>
      <c r="Q200" s="38">
        <f t="shared" si="8"/>
        <v>1.586419753</v>
      </c>
      <c r="R200" s="22">
        <f t="shared" si="9"/>
        <v>594441</v>
      </c>
      <c r="S200" s="20"/>
      <c r="T200" s="22">
        <f t="shared" si="10"/>
        <v>-268</v>
      </c>
      <c r="U200" s="38">
        <f t="shared" si="11"/>
        <v>0.5514403292</v>
      </c>
      <c r="V200" s="22">
        <f t="shared" si="12"/>
        <v>71824</v>
      </c>
    </row>
    <row r="201">
      <c r="A201" s="2">
        <v>40828.0</v>
      </c>
      <c r="B201" s="5">
        <v>7290.0</v>
      </c>
      <c r="C201" s="22">
        <f t="shared" si="2"/>
        <v>1297</v>
      </c>
      <c r="D201" s="22">
        <f t="shared" si="3"/>
        <v>1253</v>
      </c>
      <c r="E201" s="22">
        <f t="shared" si="1"/>
        <v>593</v>
      </c>
      <c r="F201" s="20"/>
      <c r="G201" s="20"/>
      <c r="H201" s="20"/>
      <c r="I201" s="20"/>
      <c r="J201" s="20"/>
      <c r="K201" s="20"/>
      <c r="L201" s="22">
        <f t="shared" si="4"/>
        <v>5993</v>
      </c>
      <c r="M201" s="38">
        <f t="shared" si="5"/>
        <v>0.822085048</v>
      </c>
      <c r="N201" s="22">
        <f t="shared" si="6"/>
        <v>35916049</v>
      </c>
      <c r="O201" s="20"/>
      <c r="P201" s="22">
        <f t="shared" si="7"/>
        <v>6037</v>
      </c>
      <c r="Q201" s="38">
        <f t="shared" si="8"/>
        <v>0.8281207133</v>
      </c>
      <c r="R201" s="22">
        <f t="shared" si="9"/>
        <v>36445369</v>
      </c>
      <c r="S201" s="20"/>
      <c r="T201" s="22">
        <f t="shared" si="10"/>
        <v>6697</v>
      </c>
      <c r="U201" s="38">
        <f t="shared" si="11"/>
        <v>0.9186556927</v>
      </c>
      <c r="V201" s="22">
        <f t="shared" si="12"/>
        <v>44849809</v>
      </c>
    </row>
    <row r="202">
      <c r="A202" s="2">
        <v>40829.0</v>
      </c>
      <c r="B202" s="5">
        <v>846.0</v>
      </c>
      <c r="C202" s="22">
        <f t="shared" si="2"/>
        <v>1826</v>
      </c>
      <c r="D202" s="22">
        <f t="shared" si="3"/>
        <v>1284</v>
      </c>
      <c r="E202" s="22">
        <f t="shared" si="1"/>
        <v>4611</v>
      </c>
      <c r="F202" s="20"/>
      <c r="G202" s="20"/>
      <c r="H202" s="20"/>
      <c r="I202" s="20"/>
      <c r="J202" s="20"/>
      <c r="K202" s="20"/>
      <c r="L202" s="22">
        <f t="shared" si="4"/>
        <v>-980</v>
      </c>
      <c r="M202" s="38">
        <f t="shared" si="5"/>
        <v>1.158392435</v>
      </c>
      <c r="N202" s="22">
        <f t="shared" si="6"/>
        <v>960400</v>
      </c>
      <c r="O202" s="20"/>
      <c r="P202" s="22">
        <f t="shared" si="7"/>
        <v>-438</v>
      </c>
      <c r="Q202" s="38">
        <f t="shared" si="8"/>
        <v>0.5177304965</v>
      </c>
      <c r="R202" s="22">
        <f t="shared" si="9"/>
        <v>191844</v>
      </c>
      <c r="S202" s="20"/>
      <c r="T202" s="22">
        <f t="shared" si="10"/>
        <v>-3765</v>
      </c>
      <c r="U202" s="38">
        <f t="shared" si="11"/>
        <v>4.45035461</v>
      </c>
      <c r="V202" s="22">
        <f t="shared" si="12"/>
        <v>14175225</v>
      </c>
    </row>
    <row r="203">
      <c r="A203" s="2">
        <v>40830.0</v>
      </c>
      <c r="B203" s="5">
        <v>192.0</v>
      </c>
      <c r="C203" s="22">
        <f t="shared" si="2"/>
        <v>1902</v>
      </c>
      <c r="D203" s="22">
        <f t="shared" si="3"/>
        <v>1281</v>
      </c>
      <c r="E203" s="22">
        <f t="shared" si="1"/>
        <v>2352</v>
      </c>
      <c r="F203" s="20"/>
      <c r="G203" s="20"/>
      <c r="H203" s="20"/>
      <c r="I203" s="20"/>
      <c r="J203" s="20"/>
      <c r="K203" s="20"/>
      <c r="L203" s="22">
        <f t="shared" si="4"/>
        <v>-1710</v>
      </c>
      <c r="M203" s="38">
        <f t="shared" si="5"/>
        <v>8.90625</v>
      </c>
      <c r="N203" s="22">
        <f t="shared" si="6"/>
        <v>2924100</v>
      </c>
      <c r="O203" s="20"/>
      <c r="P203" s="22">
        <f t="shared" si="7"/>
        <v>-1089</v>
      </c>
      <c r="Q203" s="38">
        <f t="shared" si="8"/>
        <v>5.671875</v>
      </c>
      <c r="R203" s="22">
        <f t="shared" si="9"/>
        <v>1185921</v>
      </c>
      <c r="S203" s="20"/>
      <c r="T203" s="22">
        <f t="shared" si="10"/>
        <v>-2160</v>
      </c>
      <c r="U203" s="38">
        <f t="shared" si="11"/>
        <v>11.25</v>
      </c>
      <c r="V203" s="22">
        <f t="shared" si="12"/>
        <v>4665600</v>
      </c>
    </row>
    <row r="204">
      <c r="A204" s="2">
        <v>40833.0</v>
      </c>
      <c r="B204" s="5">
        <v>600.0</v>
      </c>
      <c r="C204" s="22">
        <f t="shared" si="2"/>
        <v>1907</v>
      </c>
      <c r="D204" s="22">
        <f t="shared" si="3"/>
        <v>1276</v>
      </c>
      <c r="E204" s="22">
        <f t="shared" si="1"/>
        <v>1056</v>
      </c>
      <c r="F204" s="20"/>
      <c r="G204" s="20"/>
      <c r="H204" s="20"/>
      <c r="I204" s="20"/>
      <c r="J204" s="20"/>
      <c r="K204" s="20"/>
      <c r="L204" s="22">
        <f t="shared" si="4"/>
        <v>-1307</v>
      </c>
      <c r="M204" s="38">
        <f t="shared" si="5"/>
        <v>2.178333333</v>
      </c>
      <c r="N204" s="22">
        <f t="shared" si="6"/>
        <v>1708249</v>
      </c>
      <c r="O204" s="20"/>
      <c r="P204" s="22">
        <f t="shared" si="7"/>
        <v>-676</v>
      </c>
      <c r="Q204" s="38">
        <f t="shared" si="8"/>
        <v>1.126666667</v>
      </c>
      <c r="R204" s="22">
        <f t="shared" si="9"/>
        <v>456976</v>
      </c>
      <c r="S204" s="20"/>
      <c r="T204" s="22">
        <f t="shared" si="10"/>
        <v>-456</v>
      </c>
      <c r="U204" s="38">
        <f t="shared" si="11"/>
        <v>0.76</v>
      </c>
      <c r="V204" s="22">
        <f t="shared" si="12"/>
        <v>207936</v>
      </c>
    </row>
    <row r="205">
      <c r="A205" s="2">
        <v>40834.0</v>
      </c>
      <c r="B205" s="5">
        <v>9684.0</v>
      </c>
      <c r="C205" s="22">
        <f t="shared" si="2"/>
        <v>1883</v>
      </c>
      <c r="D205" s="22">
        <f t="shared" si="3"/>
        <v>1273</v>
      </c>
      <c r="E205" s="22">
        <f t="shared" si="1"/>
        <v>782</v>
      </c>
      <c r="F205" s="20"/>
      <c r="G205" s="20"/>
      <c r="H205" s="20"/>
      <c r="I205" s="20"/>
      <c r="J205" s="20"/>
      <c r="K205" s="20"/>
      <c r="L205" s="22">
        <f t="shared" si="4"/>
        <v>7801</v>
      </c>
      <c r="M205" s="38">
        <f t="shared" si="5"/>
        <v>0.8055555556</v>
      </c>
      <c r="N205" s="22">
        <f t="shared" si="6"/>
        <v>60855601</v>
      </c>
      <c r="O205" s="20"/>
      <c r="P205" s="22">
        <f t="shared" si="7"/>
        <v>8411</v>
      </c>
      <c r="Q205" s="38">
        <f t="shared" si="8"/>
        <v>0.8685460553</v>
      </c>
      <c r="R205" s="22">
        <f t="shared" si="9"/>
        <v>70744921</v>
      </c>
      <c r="S205" s="20"/>
      <c r="T205" s="22">
        <f t="shared" si="10"/>
        <v>8902</v>
      </c>
      <c r="U205" s="38">
        <f t="shared" si="11"/>
        <v>0.9192482445</v>
      </c>
      <c r="V205" s="22">
        <f t="shared" si="12"/>
        <v>79245604</v>
      </c>
    </row>
    <row r="206">
      <c r="A206" s="2">
        <v>40835.0</v>
      </c>
      <c r="B206" s="5">
        <v>264.0</v>
      </c>
      <c r="C206" s="22">
        <f t="shared" si="2"/>
        <v>3722</v>
      </c>
      <c r="D206" s="22">
        <f t="shared" si="3"/>
        <v>1314</v>
      </c>
      <c r="E206" s="22">
        <f t="shared" si="1"/>
        <v>6123</v>
      </c>
      <c r="F206" s="20"/>
      <c r="G206" s="20"/>
      <c r="H206" s="20"/>
      <c r="I206" s="20"/>
      <c r="J206" s="20"/>
      <c r="K206" s="20"/>
      <c r="L206" s="22">
        <f t="shared" si="4"/>
        <v>-3458</v>
      </c>
      <c r="M206" s="38">
        <f t="shared" si="5"/>
        <v>13.09848485</v>
      </c>
      <c r="N206" s="22">
        <f t="shared" si="6"/>
        <v>11957764</v>
      </c>
      <c r="O206" s="20"/>
      <c r="P206" s="22">
        <f t="shared" si="7"/>
        <v>-1050</v>
      </c>
      <c r="Q206" s="38">
        <f t="shared" si="8"/>
        <v>3.977272727</v>
      </c>
      <c r="R206" s="22">
        <f t="shared" si="9"/>
        <v>1102500</v>
      </c>
      <c r="S206" s="20"/>
      <c r="T206" s="22">
        <f t="shared" si="10"/>
        <v>-5859</v>
      </c>
      <c r="U206" s="38">
        <f t="shared" si="11"/>
        <v>22.19318182</v>
      </c>
      <c r="V206" s="22">
        <f t="shared" si="12"/>
        <v>34327881</v>
      </c>
    </row>
    <row r="207">
      <c r="A207" s="2">
        <v>40836.0</v>
      </c>
      <c r="B207" s="5">
        <v>1830.0</v>
      </c>
      <c r="C207" s="22">
        <f t="shared" si="2"/>
        <v>2317</v>
      </c>
      <c r="D207" s="22">
        <f t="shared" si="3"/>
        <v>1309</v>
      </c>
      <c r="E207" s="22">
        <f t="shared" si="1"/>
        <v>2608</v>
      </c>
      <c r="F207" s="20"/>
      <c r="G207" s="20"/>
      <c r="H207" s="20"/>
      <c r="I207" s="20"/>
      <c r="J207" s="20"/>
      <c r="K207" s="20"/>
      <c r="L207" s="22">
        <f t="shared" si="4"/>
        <v>-487</v>
      </c>
      <c r="M207" s="38">
        <f t="shared" si="5"/>
        <v>0.2661202186</v>
      </c>
      <c r="N207" s="22">
        <f t="shared" si="6"/>
        <v>237169</v>
      </c>
      <c r="O207" s="20"/>
      <c r="P207" s="22">
        <f t="shared" si="7"/>
        <v>521</v>
      </c>
      <c r="Q207" s="38">
        <f t="shared" si="8"/>
        <v>0.2846994536</v>
      </c>
      <c r="R207" s="22">
        <f t="shared" si="9"/>
        <v>271441</v>
      </c>
      <c r="S207" s="20"/>
      <c r="T207" s="22">
        <f t="shared" si="10"/>
        <v>-778</v>
      </c>
      <c r="U207" s="38">
        <f t="shared" si="11"/>
        <v>0.425136612</v>
      </c>
      <c r="V207" s="22">
        <f t="shared" si="12"/>
        <v>605284</v>
      </c>
    </row>
    <row r="208">
      <c r="A208" s="2">
        <v>40837.0</v>
      </c>
      <c r="B208" s="5">
        <v>186.0</v>
      </c>
      <c r="C208" s="22">
        <f t="shared" si="2"/>
        <v>2514</v>
      </c>
      <c r="D208" s="22">
        <f t="shared" si="3"/>
        <v>1311</v>
      </c>
      <c r="E208" s="22">
        <f t="shared" si="1"/>
        <v>2141</v>
      </c>
      <c r="F208" s="20"/>
      <c r="G208" s="20"/>
      <c r="H208" s="20"/>
      <c r="I208" s="20"/>
      <c r="J208" s="20"/>
      <c r="K208" s="20"/>
      <c r="L208" s="22">
        <f t="shared" si="4"/>
        <v>-2328</v>
      </c>
      <c r="M208" s="38">
        <f t="shared" si="5"/>
        <v>12.51612903</v>
      </c>
      <c r="N208" s="22">
        <f t="shared" si="6"/>
        <v>5419584</v>
      </c>
      <c r="O208" s="20"/>
      <c r="P208" s="22">
        <f t="shared" si="7"/>
        <v>-1125</v>
      </c>
      <c r="Q208" s="38">
        <f t="shared" si="8"/>
        <v>6.048387097</v>
      </c>
      <c r="R208" s="22">
        <f t="shared" si="9"/>
        <v>1265625</v>
      </c>
      <c r="S208" s="20"/>
      <c r="T208" s="22">
        <f t="shared" si="10"/>
        <v>-1955</v>
      </c>
      <c r="U208" s="38">
        <f t="shared" si="11"/>
        <v>10.51075269</v>
      </c>
      <c r="V208" s="22">
        <f t="shared" si="12"/>
        <v>3822025</v>
      </c>
    </row>
    <row r="209">
      <c r="A209" s="2">
        <v>40840.0</v>
      </c>
      <c r="B209" s="5">
        <v>570.0</v>
      </c>
      <c r="C209" s="22">
        <f t="shared" si="2"/>
        <v>2513</v>
      </c>
      <c r="D209" s="22">
        <f t="shared" si="3"/>
        <v>1306</v>
      </c>
      <c r="E209" s="22">
        <f t="shared" si="1"/>
        <v>968</v>
      </c>
      <c r="F209" s="20"/>
      <c r="G209" s="20"/>
      <c r="H209" s="20"/>
      <c r="I209" s="20"/>
      <c r="J209" s="20"/>
      <c r="K209" s="20"/>
      <c r="L209" s="22">
        <f t="shared" si="4"/>
        <v>-1943</v>
      </c>
      <c r="M209" s="38">
        <f t="shared" si="5"/>
        <v>3.40877193</v>
      </c>
      <c r="N209" s="22">
        <f t="shared" si="6"/>
        <v>3775249</v>
      </c>
      <c r="O209" s="20"/>
      <c r="P209" s="22">
        <f t="shared" si="7"/>
        <v>-736</v>
      </c>
      <c r="Q209" s="38">
        <f t="shared" si="8"/>
        <v>1.29122807</v>
      </c>
      <c r="R209" s="22">
        <f t="shared" si="9"/>
        <v>541696</v>
      </c>
      <c r="S209" s="20"/>
      <c r="T209" s="22">
        <f t="shared" si="10"/>
        <v>-398</v>
      </c>
      <c r="U209" s="38">
        <f t="shared" si="11"/>
        <v>0.698245614</v>
      </c>
      <c r="V209" s="22">
        <f t="shared" si="12"/>
        <v>158404</v>
      </c>
    </row>
    <row r="210">
      <c r="A210" s="2">
        <v>40841.0</v>
      </c>
      <c r="B210" s="5">
        <v>438.0</v>
      </c>
      <c r="C210" s="22">
        <f t="shared" si="2"/>
        <v>2507</v>
      </c>
      <c r="D210" s="22">
        <f t="shared" si="3"/>
        <v>1302</v>
      </c>
      <c r="E210" s="22">
        <f t="shared" si="1"/>
        <v>729</v>
      </c>
      <c r="F210" s="20"/>
      <c r="G210" s="20"/>
      <c r="H210" s="20"/>
      <c r="I210" s="20"/>
      <c r="J210" s="20"/>
      <c r="K210" s="20"/>
      <c r="L210" s="22">
        <f t="shared" si="4"/>
        <v>-2069</v>
      </c>
      <c r="M210" s="38">
        <f t="shared" si="5"/>
        <v>4.723744292</v>
      </c>
      <c r="N210" s="22">
        <f t="shared" si="6"/>
        <v>4280761</v>
      </c>
      <c r="O210" s="20"/>
      <c r="P210" s="22">
        <f t="shared" si="7"/>
        <v>-864</v>
      </c>
      <c r="Q210" s="38">
        <f t="shared" si="8"/>
        <v>1.97260274</v>
      </c>
      <c r="R210" s="22">
        <f t="shared" si="9"/>
        <v>746496</v>
      </c>
      <c r="S210" s="20"/>
      <c r="T210" s="22">
        <f t="shared" si="10"/>
        <v>-291</v>
      </c>
      <c r="U210" s="38">
        <f t="shared" si="11"/>
        <v>0.6643835616</v>
      </c>
      <c r="V210" s="22">
        <f t="shared" si="12"/>
        <v>84681</v>
      </c>
    </row>
    <row r="211">
      <c r="A211" s="2">
        <v>40842.0</v>
      </c>
      <c r="B211" s="5">
        <v>7116.0</v>
      </c>
      <c r="C211" s="22">
        <f t="shared" si="2"/>
        <v>658</v>
      </c>
      <c r="D211" s="22">
        <f t="shared" si="3"/>
        <v>1298</v>
      </c>
      <c r="E211" s="22">
        <f t="shared" si="1"/>
        <v>554</v>
      </c>
      <c r="F211" s="20"/>
      <c r="G211" s="20"/>
      <c r="H211" s="20"/>
      <c r="I211" s="20"/>
      <c r="J211" s="20"/>
      <c r="K211" s="20"/>
      <c r="L211" s="22">
        <f t="shared" si="4"/>
        <v>6458</v>
      </c>
      <c r="M211" s="38">
        <f t="shared" si="5"/>
        <v>0.9075323215</v>
      </c>
      <c r="N211" s="22">
        <f t="shared" si="6"/>
        <v>41705764</v>
      </c>
      <c r="O211" s="20"/>
      <c r="P211" s="22">
        <f t="shared" si="7"/>
        <v>5818</v>
      </c>
      <c r="Q211" s="38">
        <f t="shared" si="8"/>
        <v>0.817594154</v>
      </c>
      <c r="R211" s="22">
        <f t="shared" si="9"/>
        <v>33849124</v>
      </c>
      <c r="S211" s="20"/>
      <c r="T211" s="22">
        <f t="shared" si="10"/>
        <v>6562</v>
      </c>
      <c r="U211" s="38">
        <f t="shared" si="11"/>
        <v>0.9221472737</v>
      </c>
      <c r="V211" s="22">
        <f t="shared" si="12"/>
        <v>43059844</v>
      </c>
    </row>
    <row r="212">
      <c r="A212" s="2">
        <v>40843.0</v>
      </c>
      <c r="B212" s="5">
        <v>690.0</v>
      </c>
      <c r="C212" s="22">
        <f t="shared" si="2"/>
        <v>2028</v>
      </c>
      <c r="D212" s="22">
        <f t="shared" si="3"/>
        <v>1326</v>
      </c>
      <c r="E212" s="22">
        <f t="shared" si="1"/>
        <v>4491</v>
      </c>
      <c r="F212" s="20"/>
      <c r="G212" s="20"/>
      <c r="H212" s="20"/>
      <c r="I212" s="20"/>
      <c r="J212" s="20"/>
      <c r="K212" s="20"/>
      <c r="L212" s="22">
        <f t="shared" si="4"/>
        <v>-1338</v>
      </c>
      <c r="M212" s="38">
        <f t="shared" si="5"/>
        <v>1.939130435</v>
      </c>
      <c r="N212" s="22">
        <f t="shared" si="6"/>
        <v>1790244</v>
      </c>
      <c r="O212" s="20"/>
      <c r="P212" s="22">
        <f t="shared" si="7"/>
        <v>-636</v>
      </c>
      <c r="Q212" s="38">
        <f t="shared" si="8"/>
        <v>0.9217391304</v>
      </c>
      <c r="R212" s="22">
        <f t="shared" si="9"/>
        <v>404496</v>
      </c>
      <c r="S212" s="20"/>
      <c r="T212" s="22">
        <f t="shared" si="10"/>
        <v>-3801</v>
      </c>
      <c r="U212" s="38">
        <f t="shared" si="11"/>
        <v>5.508695652</v>
      </c>
      <c r="V212" s="22">
        <f t="shared" si="12"/>
        <v>14447601</v>
      </c>
    </row>
    <row r="213">
      <c r="A213" s="2">
        <v>40844.0</v>
      </c>
      <c r="B213" s="5">
        <v>510.0</v>
      </c>
      <c r="C213" s="22">
        <f t="shared" si="2"/>
        <v>1800</v>
      </c>
      <c r="D213" s="22">
        <f t="shared" si="3"/>
        <v>1323</v>
      </c>
      <c r="E213" s="22">
        <f t="shared" si="1"/>
        <v>2210</v>
      </c>
      <c r="F213" s="20"/>
      <c r="G213" s="20"/>
      <c r="H213" s="20"/>
      <c r="I213" s="20"/>
      <c r="J213" s="20"/>
      <c r="K213" s="20"/>
      <c r="L213" s="22">
        <f t="shared" si="4"/>
        <v>-1290</v>
      </c>
      <c r="M213" s="38">
        <f t="shared" si="5"/>
        <v>2.529411765</v>
      </c>
      <c r="N213" s="22">
        <f t="shared" si="6"/>
        <v>1664100</v>
      </c>
      <c r="O213" s="20"/>
      <c r="P213" s="22">
        <f t="shared" si="7"/>
        <v>-813</v>
      </c>
      <c r="Q213" s="38">
        <f t="shared" si="8"/>
        <v>1.594117647</v>
      </c>
      <c r="R213" s="22">
        <f t="shared" si="9"/>
        <v>660969</v>
      </c>
      <c r="S213" s="20"/>
      <c r="T213" s="22">
        <f t="shared" si="10"/>
        <v>-1700</v>
      </c>
      <c r="U213" s="38">
        <f t="shared" si="11"/>
        <v>3.333333333</v>
      </c>
      <c r="V213" s="22">
        <f t="shared" si="12"/>
        <v>2890000</v>
      </c>
    </row>
    <row r="214">
      <c r="A214" s="2">
        <v>40847.0</v>
      </c>
      <c r="B214" s="5">
        <v>0.0</v>
      </c>
      <c r="C214" s="22">
        <f t="shared" si="2"/>
        <v>1865</v>
      </c>
      <c r="D214" s="22">
        <f t="shared" si="3"/>
        <v>1319</v>
      </c>
      <c r="E214" s="22">
        <f t="shared" si="1"/>
        <v>1190</v>
      </c>
      <c r="F214" s="20"/>
      <c r="G214" s="20"/>
      <c r="H214" s="20"/>
      <c r="I214" s="20"/>
      <c r="J214" s="20"/>
      <c r="K214" s="20"/>
      <c r="L214" s="22">
        <f t="shared" si="4"/>
        <v>-1865</v>
      </c>
      <c r="M214" s="38">
        <f t="shared" si="5"/>
        <v>1</v>
      </c>
      <c r="N214" s="22">
        <f t="shared" si="6"/>
        <v>3478225</v>
      </c>
      <c r="O214" s="20"/>
      <c r="P214" s="22">
        <f t="shared" si="7"/>
        <v>-1319</v>
      </c>
      <c r="Q214" s="38">
        <f t="shared" si="8"/>
        <v>1</v>
      </c>
      <c r="R214" s="22">
        <f t="shared" si="9"/>
        <v>1739761</v>
      </c>
      <c r="S214" s="20"/>
      <c r="T214" s="22">
        <f t="shared" si="10"/>
        <v>-1190</v>
      </c>
      <c r="U214" s="38">
        <f t="shared" si="11"/>
        <v>1</v>
      </c>
      <c r="V214" s="22">
        <f t="shared" si="12"/>
        <v>1416100</v>
      </c>
    </row>
    <row r="215">
      <c r="A215" s="2">
        <v>40848.0</v>
      </c>
      <c r="B215" s="5">
        <v>534.0</v>
      </c>
      <c r="C215" s="22">
        <f t="shared" si="2"/>
        <v>1751</v>
      </c>
      <c r="D215" s="22">
        <f t="shared" si="3"/>
        <v>1313</v>
      </c>
      <c r="E215" s="22">
        <f t="shared" si="1"/>
        <v>476</v>
      </c>
      <c r="F215" s="20"/>
      <c r="G215" s="20"/>
      <c r="H215" s="20"/>
      <c r="I215" s="20"/>
      <c r="J215" s="20"/>
      <c r="K215" s="20"/>
      <c r="L215" s="22">
        <f t="shared" si="4"/>
        <v>-1217</v>
      </c>
      <c r="M215" s="38">
        <f t="shared" si="5"/>
        <v>2.279026217</v>
      </c>
      <c r="N215" s="22">
        <f t="shared" si="6"/>
        <v>1481089</v>
      </c>
      <c r="O215" s="20"/>
      <c r="P215" s="22">
        <f t="shared" si="7"/>
        <v>-779</v>
      </c>
      <c r="Q215" s="38">
        <f t="shared" si="8"/>
        <v>1.458801498</v>
      </c>
      <c r="R215" s="22">
        <f t="shared" si="9"/>
        <v>606841</v>
      </c>
      <c r="S215" s="20"/>
      <c r="T215" s="22">
        <f t="shared" si="10"/>
        <v>58</v>
      </c>
      <c r="U215" s="38">
        <f t="shared" si="11"/>
        <v>0.1086142322</v>
      </c>
      <c r="V215" s="22">
        <f t="shared" si="12"/>
        <v>3364</v>
      </c>
    </row>
    <row r="216">
      <c r="A216" s="2">
        <v>40849.0</v>
      </c>
      <c r="B216" s="5">
        <v>7464.0</v>
      </c>
      <c r="C216" s="22">
        <f t="shared" si="2"/>
        <v>1770</v>
      </c>
      <c r="D216" s="22">
        <f t="shared" si="3"/>
        <v>1309</v>
      </c>
      <c r="E216" s="22">
        <f t="shared" si="1"/>
        <v>511</v>
      </c>
      <c r="F216" s="20"/>
      <c r="G216" s="20"/>
      <c r="H216" s="20"/>
      <c r="I216" s="20"/>
      <c r="J216" s="20"/>
      <c r="K216" s="20"/>
      <c r="L216" s="22">
        <f t="shared" si="4"/>
        <v>5694</v>
      </c>
      <c r="M216" s="38">
        <f t="shared" si="5"/>
        <v>0.7628617363</v>
      </c>
      <c r="N216" s="22">
        <f t="shared" si="6"/>
        <v>32421636</v>
      </c>
      <c r="O216" s="20"/>
      <c r="P216" s="22">
        <f t="shared" si="7"/>
        <v>6155</v>
      </c>
      <c r="Q216" s="38">
        <f t="shared" si="8"/>
        <v>0.824624866</v>
      </c>
      <c r="R216" s="22">
        <f t="shared" si="9"/>
        <v>37884025</v>
      </c>
      <c r="S216" s="20"/>
      <c r="T216" s="22">
        <f t="shared" si="10"/>
        <v>6953</v>
      </c>
      <c r="U216" s="38">
        <f t="shared" si="11"/>
        <v>0.9315380493</v>
      </c>
      <c r="V216" s="22">
        <f t="shared" si="12"/>
        <v>48344209</v>
      </c>
    </row>
    <row r="217">
      <c r="A217" s="2">
        <v>40850.0</v>
      </c>
      <c r="B217" s="5">
        <v>336.0</v>
      </c>
      <c r="C217" s="22">
        <f t="shared" si="2"/>
        <v>1840</v>
      </c>
      <c r="D217" s="22">
        <f t="shared" si="3"/>
        <v>1338</v>
      </c>
      <c r="E217" s="22">
        <f t="shared" si="1"/>
        <v>4683</v>
      </c>
      <c r="F217" s="20"/>
      <c r="G217" s="20"/>
      <c r="H217" s="20"/>
      <c r="I217" s="20"/>
      <c r="J217" s="20"/>
      <c r="K217" s="20"/>
      <c r="L217" s="22">
        <f t="shared" si="4"/>
        <v>-1504</v>
      </c>
      <c r="M217" s="38">
        <f t="shared" si="5"/>
        <v>4.476190476</v>
      </c>
      <c r="N217" s="22">
        <f t="shared" si="6"/>
        <v>2262016</v>
      </c>
      <c r="O217" s="20"/>
      <c r="P217" s="22">
        <f t="shared" si="7"/>
        <v>-1002</v>
      </c>
      <c r="Q217" s="38">
        <f t="shared" si="8"/>
        <v>2.982142857</v>
      </c>
      <c r="R217" s="22">
        <f t="shared" si="9"/>
        <v>1004004</v>
      </c>
      <c r="S217" s="20"/>
      <c r="T217" s="22">
        <f t="shared" si="10"/>
        <v>-4347</v>
      </c>
      <c r="U217" s="38">
        <f t="shared" si="11"/>
        <v>12.9375</v>
      </c>
      <c r="V217" s="22">
        <f t="shared" si="12"/>
        <v>18896409</v>
      </c>
    </row>
    <row r="218">
      <c r="A218" s="2">
        <v>40851.0</v>
      </c>
      <c r="B218" s="5">
        <v>156.0</v>
      </c>
      <c r="C218" s="22">
        <f t="shared" si="2"/>
        <v>1769</v>
      </c>
      <c r="D218" s="22">
        <f t="shared" si="3"/>
        <v>1333</v>
      </c>
      <c r="E218" s="22">
        <f t="shared" si="1"/>
        <v>2075</v>
      </c>
      <c r="F218" s="20"/>
      <c r="G218" s="20"/>
      <c r="H218" s="20"/>
      <c r="I218" s="20"/>
      <c r="J218" s="20"/>
      <c r="K218" s="20"/>
      <c r="L218" s="22">
        <f t="shared" si="4"/>
        <v>-1613</v>
      </c>
      <c r="M218" s="38">
        <f t="shared" si="5"/>
        <v>10.33974359</v>
      </c>
      <c r="N218" s="22">
        <f t="shared" si="6"/>
        <v>2601769</v>
      </c>
      <c r="O218" s="20"/>
      <c r="P218" s="22">
        <f t="shared" si="7"/>
        <v>-1177</v>
      </c>
      <c r="Q218" s="38">
        <f t="shared" si="8"/>
        <v>7.544871795</v>
      </c>
      <c r="R218" s="22">
        <f t="shared" si="9"/>
        <v>1385329</v>
      </c>
      <c r="S218" s="20"/>
      <c r="T218" s="22">
        <f t="shared" si="10"/>
        <v>-1919</v>
      </c>
      <c r="U218" s="38">
        <f t="shared" si="11"/>
        <v>12.30128205</v>
      </c>
      <c r="V218" s="22">
        <f t="shared" si="12"/>
        <v>3682561</v>
      </c>
    </row>
    <row r="219">
      <c r="A219" s="2">
        <v>40854.0</v>
      </c>
      <c r="B219" s="5">
        <v>450.0</v>
      </c>
      <c r="C219" s="22">
        <f t="shared" si="2"/>
        <v>1698</v>
      </c>
      <c r="D219" s="22">
        <f t="shared" si="3"/>
        <v>1328</v>
      </c>
      <c r="E219" s="22">
        <f t="shared" si="1"/>
        <v>924</v>
      </c>
      <c r="F219" s="20"/>
      <c r="G219" s="20"/>
      <c r="H219" s="20"/>
      <c r="I219" s="20"/>
      <c r="J219" s="20"/>
      <c r="K219" s="20"/>
      <c r="L219" s="22">
        <f t="shared" si="4"/>
        <v>-1248</v>
      </c>
      <c r="M219" s="38">
        <f t="shared" si="5"/>
        <v>2.773333333</v>
      </c>
      <c r="N219" s="22">
        <f t="shared" si="6"/>
        <v>1557504</v>
      </c>
      <c r="O219" s="20"/>
      <c r="P219" s="22">
        <f t="shared" si="7"/>
        <v>-878</v>
      </c>
      <c r="Q219" s="38">
        <f t="shared" si="8"/>
        <v>1.951111111</v>
      </c>
      <c r="R219" s="22">
        <f t="shared" si="9"/>
        <v>770884</v>
      </c>
      <c r="S219" s="20"/>
      <c r="T219" s="22">
        <f t="shared" si="10"/>
        <v>-474</v>
      </c>
      <c r="U219" s="38">
        <f t="shared" si="11"/>
        <v>1.053333333</v>
      </c>
      <c r="V219" s="22">
        <f t="shared" si="12"/>
        <v>224676</v>
      </c>
    </row>
    <row r="220">
      <c r="A220" s="2">
        <v>40855.0</v>
      </c>
      <c r="B220" s="5">
        <v>252.0</v>
      </c>
      <c r="C220" s="22">
        <f t="shared" si="2"/>
        <v>1788</v>
      </c>
      <c r="D220" s="22">
        <f t="shared" si="3"/>
        <v>1324</v>
      </c>
      <c r="E220" s="22">
        <f t="shared" si="1"/>
        <v>640</v>
      </c>
      <c r="F220" s="20"/>
      <c r="G220" s="20"/>
      <c r="H220" s="20"/>
      <c r="I220" s="20"/>
      <c r="J220" s="20"/>
      <c r="K220" s="20"/>
      <c r="L220" s="22">
        <f t="shared" si="4"/>
        <v>-1536</v>
      </c>
      <c r="M220" s="38">
        <f t="shared" si="5"/>
        <v>6.095238095</v>
      </c>
      <c r="N220" s="22">
        <f t="shared" si="6"/>
        <v>2359296</v>
      </c>
      <c r="O220" s="20"/>
      <c r="P220" s="22">
        <f t="shared" si="7"/>
        <v>-1072</v>
      </c>
      <c r="Q220" s="38">
        <f t="shared" si="8"/>
        <v>4.253968254</v>
      </c>
      <c r="R220" s="22">
        <f t="shared" si="9"/>
        <v>1149184</v>
      </c>
      <c r="S220" s="20"/>
      <c r="T220" s="22">
        <f t="shared" si="10"/>
        <v>-388</v>
      </c>
      <c r="U220" s="38">
        <f t="shared" si="11"/>
        <v>1.53968254</v>
      </c>
      <c r="V220" s="22">
        <f t="shared" si="12"/>
        <v>150544</v>
      </c>
    </row>
    <row r="221">
      <c r="A221" s="2">
        <v>40856.0</v>
      </c>
      <c r="B221" s="5">
        <v>7560.0</v>
      </c>
      <c r="C221" s="22">
        <f t="shared" si="2"/>
        <v>1732</v>
      </c>
      <c r="D221" s="22">
        <f t="shared" si="3"/>
        <v>1319</v>
      </c>
      <c r="E221" s="22">
        <f t="shared" si="1"/>
        <v>407</v>
      </c>
      <c r="F221" s="20"/>
      <c r="G221" s="20"/>
      <c r="H221" s="20"/>
      <c r="I221" s="20"/>
      <c r="J221" s="20"/>
      <c r="K221" s="20"/>
      <c r="L221" s="22">
        <f t="shared" si="4"/>
        <v>5828</v>
      </c>
      <c r="M221" s="38">
        <f t="shared" si="5"/>
        <v>0.7708994709</v>
      </c>
      <c r="N221" s="22">
        <f t="shared" si="6"/>
        <v>33965584</v>
      </c>
      <c r="O221" s="20"/>
      <c r="P221" s="22">
        <f t="shared" si="7"/>
        <v>6241</v>
      </c>
      <c r="Q221" s="38">
        <f t="shared" si="8"/>
        <v>0.8255291005</v>
      </c>
      <c r="R221" s="22">
        <f t="shared" si="9"/>
        <v>38950081</v>
      </c>
      <c r="S221" s="20"/>
      <c r="T221" s="22">
        <f t="shared" si="10"/>
        <v>7153</v>
      </c>
      <c r="U221" s="38">
        <f t="shared" si="11"/>
        <v>0.9461640212</v>
      </c>
      <c r="V221" s="22">
        <f t="shared" si="12"/>
        <v>51165409</v>
      </c>
    </row>
    <row r="222">
      <c r="A222" s="2">
        <v>40857.0</v>
      </c>
      <c r="B222" s="5">
        <v>816.0</v>
      </c>
      <c r="C222" s="22">
        <f t="shared" si="2"/>
        <v>1751</v>
      </c>
      <c r="D222" s="22">
        <f t="shared" si="3"/>
        <v>1348</v>
      </c>
      <c r="E222" s="22">
        <f t="shared" si="1"/>
        <v>4699</v>
      </c>
      <c r="F222" s="20"/>
      <c r="G222" s="20"/>
      <c r="H222" s="20"/>
      <c r="I222" s="20"/>
      <c r="J222" s="20"/>
      <c r="K222" s="20"/>
      <c r="L222" s="22">
        <f t="shared" si="4"/>
        <v>-935</v>
      </c>
      <c r="M222" s="38">
        <f t="shared" si="5"/>
        <v>1.145833333</v>
      </c>
      <c r="N222" s="22">
        <f t="shared" si="6"/>
        <v>874225</v>
      </c>
      <c r="O222" s="20"/>
      <c r="P222" s="22">
        <f t="shared" si="7"/>
        <v>-532</v>
      </c>
      <c r="Q222" s="38">
        <f t="shared" si="8"/>
        <v>0.6519607843</v>
      </c>
      <c r="R222" s="22">
        <f t="shared" si="9"/>
        <v>283024</v>
      </c>
      <c r="S222" s="20"/>
      <c r="T222" s="22">
        <f t="shared" si="10"/>
        <v>-3883</v>
      </c>
      <c r="U222" s="38">
        <f t="shared" si="11"/>
        <v>4.758578431</v>
      </c>
      <c r="V222" s="22">
        <f t="shared" si="12"/>
        <v>15077689</v>
      </c>
    </row>
    <row r="223">
      <c r="A223" s="2">
        <v>40858.0</v>
      </c>
      <c r="B223" s="5">
        <v>168.0</v>
      </c>
      <c r="C223" s="22">
        <f t="shared" si="2"/>
        <v>1847</v>
      </c>
      <c r="D223" s="22">
        <f t="shared" si="3"/>
        <v>1345</v>
      </c>
      <c r="E223" s="22">
        <f t="shared" si="1"/>
        <v>2369</v>
      </c>
      <c r="F223" s="20"/>
      <c r="G223" s="20"/>
      <c r="H223" s="20"/>
      <c r="I223" s="20"/>
      <c r="J223" s="20"/>
      <c r="K223" s="20"/>
      <c r="L223" s="22">
        <f t="shared" si="4"/>
        <v>-1679</v>
      </c>
      <c r="M223" s="38">
        <f t="shared" si="5"/>
        <v>9.994047619</v>
      </c>
      <c r="N223" s="22">
        <f t="shared" si="6"/>
        <v>2819041</v>
      </c>
      <c r="O223" s="20"/>
      <c r="P223" s="22">
        <f t="shared" si="7"/>
        <v>-1177</v>
      </c>
      <c r="Q223" s="38">
        <f t="shared" si="8"/>
        <v>7.005952381</v>
      </c>
      <c r="R223" s="22">
        <f t="shared" si="9"/>
        <v>1385329</v>
      </c>
      <c r="S223" s="20"/>
      <c r="T223" s="22">
        <f t="shared" si="10"/>
        <v>-2201</v>
      </c>
      <c r="U223" s="38">
        <f t="shared" si="11"/>
        <v>13.10119048</v>
      </c>
      <c r="V223" s="22">
        <f t="shared" si="12"/>
        <v>4844401</v>
      </c>
    </row>
    <row r="224">
      <c r="A224" s="2">
        <v>40861.0</v>
      </c>
      <c r="B224" s="5">
        <v>750.0</v>
      </c>
      <c r="C224" s="22">
        <f t="shared" si="2"/>
        <v>1849</v>
      </c>
      <c r="D224" s="22">
        <f t="shared" si="3"/>
        <v>1340</v>
      </c>
      <c r="E224" s="22">
        <f t="shared" si="1"/>
        <v>1048</v>
      </c>
      <c r="F224" s="20"/>
      <c r="G224" s="20"/>
      <c r="H224" s="20"/>
      <c r="I224" s="20"/>
      <c r="J224" s="20"/>
      <c r="K224" s="20"/>
      <c r="L224" s="22">
        <f t="shared" si="4"/>
        <v>-1099</v>
      </c>
      <c r="M224" s="38">
        <f t="shared" si="5"/>
        <v>1.465333333</v>
      </c>
      <c r="N224" s="22">
        <f t="shared" si="6"/>
        <v>1207801</v>
      </c>
      <c r="O224" s="20"/>
      <c r="P224" s="22">
        <f t="shared" si="7"/>
        <v>-590</v>
      </c>
      <c r="Q224" s="38">
        <f t="shared" si="8"/>
        <v>0.7866666667</v>
      </c>
      <c r="R224" s="22">
        <f t="shared" si="9"/>
        <v>348100</v>
      </c>
      <c r="S224" s="20"/>
      <c r="T224" s="22">
        <f t="shared" si="10"/>
        <v>-298</v>
      </c>
      <c r="U224" s="38">
        <f t="shared" si="11"/>
        <v>0.3973333333</v>
      </c>
      <c r="V224" s="22">
        <f t="shared" si="12"/>
        <v>88804</v>
      </c>
    </row>
    <row r="225">
      <c r="A225" s="2">
        <v>40862.0</v>
      </c>
      <c r="B225" s="5">
        <v>3600.0</v>
      </c>
      <c r="C225" s="22">
        <f t="shared" si="2"/>
        <v>1909</v>
      </c>
      <c r="D225" s="22">
        <f t="shared" si="3"/>
        <v>1337</v>
      </c>
      <c r="E225" s="22">
        <f t="shared" si="1"/>
        <v>869</v>
      </c>
      <c r="F225" s="20"/>
      <c r="G225" s="20"/>
      <c r="H225" s="20"/>
      <c r="I225" s="20"/>
      <c r="J225" s="20"/>
      <c r="K225" s="20"/>
      <c r="L225" s="22">
        <f t="shared" si="4"/>
        <v>1691</v>
      </c>
      <c r="M225" s="38">
        <f t="shared" si="5"/>
        <v>0.4697222222</v>
      </c>
      <c r="N225" s="22">
        <f t="shared" si="6"/>
        <v>2859481</v>
      </c>
      <c r="O225" s="20"/>
      <c r="P225" s="22">
        <f t="shared" si="7"/>
        <v>2263</v>
      </c>
      <c r="Q225" s="38">
        <f t="shared" si="8"/>
        <v>0.6286111111</v>
      </c>
      <c r="R225" s="22">
        <f t="shared" si="9"/>
        <v>5121169</v>
      </c>
      <c r="S225" s="20"/>
      <c r="T225" s="22">
        <f t="shared" si="10"/>
        <v>2731</v>
      </c>
      <c r="U225" s="38">
        <f t="shared" si="11"/>
        <v>0.7586111111</v>
      </c>
      <c r="V225" s="22">
        <f t="shared" si="12"/>
        <v>7458361</v>
      </c>
    </row>
    <row r="226">
      <c r="A226" s="2">
        <v>40863.0</v>
      </c>
      <c r="B226" s="5">
        <v>7338.0</v>
      </c>
      <c r="C226" s="22">
        <f t="shared" si="2"/>
        <v>2579</v>
      </c>
      <c r="D226" s="22">
        <f t="shared" si="3"/>
        <v>1347</v>
      </c>
      <c r="E226" s="22">
        <f t="shared" si="1"/>
        <v>2508</v>
      </c>
      <c r="F226" s="20"/>
      <c r="G226" s="20"/>
      <c r="H226" s="20"/>
      <c r="I226" s="20"/>
      <c r="J226" s="20"/>
      <c r="K226" s="20"/>
      <c r="L226" s="22">
        <f t="shared" si="4"/>
        <v>4759</v>
      </c>
      <c r="M226" s="38">
        <f t="shared" si="5"/>
        <v>0.648541837</v>
      </c>
      <c r="N226" s="22">
        <f t="shared" si="6"/>
        <v>22648081</v>
      </c>
      <c r="O226" s="20"/>
      <c r="P226" s="22">
        <f t="shared" si="7"/>
        <v>5991</v>
      </c>
      <c r="Q226" s="38">
        <f t="shared" si="8"/>
        <v>0.8164349959</v>
      </c>
      <c r="R226" s="22">
        <f t="shared" si="9"/>
        <v>35892081</v>
      </c>
      <c r="S226" s="20"/>
      <c r="T226" s="22">
        <f t="shared" si="10"/>
        <v>4830</v>
      </c>
      <c r="U226" s="38">
        <f t="shared" si="11"/>
        <v>0.658217498</v>
      </c>
      <c r="V226" s="22">
        <f t="shared" si="12"/>
        <v>23328900</v>
      </c>
    </row>
    <row r="227">
      <c r="A227" s="2">
        <v>40864.0</v>
      </c>
      <c r="B227" s="5">
        <v>876.0</v>
      </c>
      <c r="C227" s="22">
        <f t="shared" si="2"/>
        <v>2534</v>
      </c>
      <c r="D227" s="22">
        <f t="shared" si="3"/>
        <v>1374</v>
      </c>
      <c r="E227" s="22">
        <f t="shared" si="1"/>
        <v>5406</v>
      </c>
      <c r="F227" s="20"/>
      <c r="G227" s="20"/>
      <c r="H227" s="20"/>
      <c r="I227" s="20"/>
      <c r="J227" s="20"/>
      <c r="K227" s="20"/>
      <c r="L227" s="22">
        <f t="shared" si="4"/>
        <v>-1658</v>
      </c>
      <c r="M227" s="38">
        <f t="shared" si="5"/>
        <v>1.892694064</v>
      </c>
      <c r="N227" s="22">
        <f t="shared" si="6"/>
        <v>2748964</v>
      </c>
      <c r="O227" s="20"/>
      <c r="P227" s="22">
        <f t="shared" si="7"/>
        <v>-498</v>
      </c>
      <c r="Q227" s="38">
        <f t="shared" si="8"/>
        <v>0.5684931507</v>
      </c>
      <c r="R227" s="22">
        <f t="shared" si="9"/>
        <v>248004</v>
      </c>
      <c r="S227" s="20"/>
      <c r="T227" s="22">
        <f t="shared" si="10"/>
        <v>-4530</v>
      </c>
      <c r="U227" s="38">
        <f t="shared" si="11"/>
        <v>5.171232877</v>
      </c>
      <c r="V227" s="22">
        <f t="shared" si="12"/>
        <v>20520900</v>
      </c>
    </row>
    <row r="228">
      <c r="A228" s="2">
        <v>40865.0</v>
      </c>
      <c r="B228" s="5">
        <v>372.0</v>
      </c>
      <c r="C228" s="22">
        <f t="shared" si="2"/>
        <v>2546</v>
      </c>
      <c r="D228" s="22">
        <f t="shared" si="3"/>
        <v>1372</v>
      </c>
      <c r="E228" s="22">
        <f t="shared" si="1"/>
        <v>2688</v>
      </c>
      <c r="F228" s="20"/>
      <c r="G228" s="20"/>
      <c r="H228" s="20"/>
      <c r="I228" s="20"/>
      <c r="J228" s="20"/>
      <c r="K228" s="20"/>
      <c r="L228" s="22">
        <f t="shared" si="4"/>
        <v>-2174</v>
      </c>
      <c r="M228" s="38">
        <f t="shared" si="5"/>
        <v>5.844086022</v>
      </c>
      <c r="N228" s="22">
        <f t="shared" si="6"/>
        <v>4726276</v>
      </c>
      <c r="O228" s="20"/>
      <c r="P228" s="22">
        <f t="shared" si="7"/>
        <v>-1000</v>
      </c>
      <c r="Q228" s="38">
        <f t="shared" si="8"/>
        <v>2.688172043</v>
      </c>
      <c r="R228" s="22">
        <f t="shared" si="9"/>
        <v>1000000</v>
      </c>
      <c r="S228" s="20"/>
      <c r="T228" s="22">
        <f t="shared" si="10"/>
        <v>-2316</v>
      </c>
      <c r="U228" s="38">
        <f t="shared" si="11"/>
        <v>6.225806452</v>
      </c>
      <c r="V228" s="22">
        <f t="shared" si="12"/>
        <v>5363856</v>
      </c>
    </row>
    <row r="229">
      <c r="A229" s="2">
        <v>40868.0</v>
      </c>
      <c r="B229" s="5">
        <v>276.0</v>
      </c>
      <c r="C229" s="22">
        <f t="shared" si="2"/>
        <v>2587</v>
      </c>
      <c r="D229" s="22">
        <f t="shared" si="3"/>
        <v>1367</v>
      </c>
      <c r="E229" s="22">
        <f t="shared" si="1"/>
        <v>1298</v>
      </c>
      <c r="F229" s="20"/>
      <c r="G229" s="20"/>
      <c r="H229" s="20"/>
      <c r="I229" s="20"/>
      <c r="J229" s="20"/>
      <c r="K229" s="20"/>
      <c r="L229" s="22">
        <f t="shared" si="4"/>
        <v>-2311</v>
      </c>
      <c r="M229" s="38">
        <f t="shared" si="5"/>
        <v>8.373188406</v>
      </c>
      <c r="N229" s="22">
        <f t="shared" si="6"/>
        <v>5340721</v>
      </c>
      <c r="O229" s="20"/>
      <c r="P229" s="22">
        <f t="shared" si="7"/>
        <v>-1091</v>
      </c>
      <c r="Q229" s="38">
        <f t="shared" si="8"/>
        <v>3.952898551</v>
      </c>
      <c r="R229" s="22">
        <f t="shared" si="9"/>
        <v>1190281</v>
      </c>
      <c r="S229" s="20"/>
      <c r="T229" s="22">
        <f t="shared" si="10"/>
        <v>-1022</v>
      </c>
      <c r="U229" s="38">
        <f t="shared" si="11"/>
        <v>3.702898551</v>
      </c>
      <c r="V229" s="22">
        <f t="shared" si="12"/>
        <v>1044484</v>
      </c>
    </row>
    <row r="230">
      <c r="A230" s="2">
        <v>40869.0</v>
      </c>
      <c r="B230" s="5">
        <v>6264.0</v>
      </c>
      <c r="C230" s="22">
        <f t="shared" si="2"/>
        <v>2492</v>
      </c>
      <c r="D230" s="22">
        <f t="shared" si="3"/>
        <v>1363</v>
      </c>
      <c r="E230" s="22">
        <f t="shared" si="1"/>
        <v>685</v>
      </c>
      <c r="F230" s="20"/>
      <c r="G230" s="20"/>
      <c r="H230" s="20"/>
      <c r="I230" s="20"/>
      <c r="J230" s="20"/>
      <c r="K230" s="20"/>
      <c r="L230" s="22">
        <f t="shared" si="4"/>
        <v>3772</v>
      </c>
      <c r="M230" s="38">
        <f t="shared" si="5"/>
        <v>0.6021711367</v>
      </c>
      <c r="N230" s="22">
        <f t="shared" si="6"/>
        <v>14227984</v>
      </c>
      <c r="O230" s="20"/>
      <c r="P230" s="22">
        <f t="shared" si="7"/>
        <v>4901</v>
      </c>
      <c r="Q230" s="38">
        <f t="shared" si="8"/>
        <v>0.7824074074</v>
      </c>
      <c r="R230" s="22">
        <f t="shared" si="9"/>
        <v>24019801</v>
      </c>
      <c r="S230" s="20"/>
      <c r="T230" s="22">
        <f t="shared" si="10"/>
        <v>5579</v>
      </c>
      <c r="U230" s="38">
        <f t="shared" si="11"/>
        <v>0.8906449553</v>
      </c>
      <c r="V230" s="22">
        <f t="shared" si="12"/>
        <v>31125241</v>
      </c>
    </row>
    <row r="231">
      <c r="A231" s="2">
        <v>40870.0</v>
      </c>
      <c r="B231" s="5">
        <v>156.0</v>
      </c>
      <c r="C231" s="22">
        <f t="shared" si="2"/>
        <v>3025</v>
      </c>
      <c r="D231" s="22">
        <f t="shared" si="3"/>
        <v>1384</v>
      </c>
      <c r="E231" s="22">
        <f t="shared" si="1"/>
        <v>4032</v>
      </c>
      <c r="F231" s="20"/>
      <c r="G231" s="20"/>
      <c r="H231" s="20"/>
      <c r="I231" s="20"/>
      <c r="J231" s="20"/>
      <c r="K231" s="20"/>
      <c r="L231" s="22">
        <f t="shared" si="4"/>
        <v>-2869</v>
      </c>
      <c r="M231" s="38">
        <f t="shared" si="5"/>
        <v>18.39102564</v>
      </c>
      <c r="N231" s="22">
        <f t="shared" si="6"/>
        <v>8231161</v>
      </c>
      <c r="O231" s="20"/>
      <c r="P231" s="22">
        <f t="shared" si="7"/>
        <v>-1228</v>
      </c>
      <c r="Q231" s="38">
        <f t="shared" si="8"/>
        <v>7.871794872</v>
      </c>
      <c r="R231" s="22">
        <f t="shared" si="9"/>
        <v>1507984</v>
      </c>
      <c r="S231" s="20"/>
      <c r="T231" s="22">
        <f t="shared" si="10"/>
        <v>-3876</v>
      </c>
      <c r="U231" s="38">
        <f t="shared" si="11"/>
        <v>24.84615385</v>
      </c>
      <c r="V231" s="22">
        <f t="shared" si="12"/>
        <v>15023376</v>
      </c>
    </row>
    <row r="232">
      <c r="A232" s="2">
        <v>40875.0</v>
      </c>
      <c r="B232" s="5">
        <v>498.0</v>
      </c>
      <c r="C232" s="22">
        <f t="shared" si="2"/>
        <v>1589</v>
      </c>
      <c r="D232" s="22">
        <f t="shared" si="3"/>
        <v>1379</v>
      </c>
      <c r="E232" s="22">
        <f t="shared" si="1"/>
        <v>1706</v>
      </c>
      <c r="F232" s="20"/>
      <c r="G232" s="20"/>
      <c r="H232" s="20"/>
      <c r="I232" s="20"/>
      <c r="J232" s="20"/>
      <c r="K232" s="20"/>
      <c r="L232" s="22">
        <f t="shared" si="4"/>
        <v>-1091</v>
      </c>
      <c r="M232" s="38">
        <f t="shared" si="5"/>
        <v>2.190763052</v>
      </c>
      <c r="N232" s="22">
        <f t="shared" si="6"/>
        <v>1190281</v>
      </c>
      <c r="O232" s="20"/>
      <c r="P232" s="22">
        <f t="shared" si="7"/>
        <v>-881</v>
      </c>
      <c r="Q232" s="38">
        <f t="shared" si="8"/>
        <v>1.769076305</v>
      </c>
      <c r="R232" s="22">
        <f t="shared" si="9"/>
        <v>776161</v>
      </c>
      <c r="S232" s="20"/>
      <c r="T232" s="22">
        <f t="shared" si="10"/>
        <v>-1208</v>
      </c>
      <c r="U232" s="38">
        <f t="shared" si="11"/>
        <v>2.425702811</v>
      </c>
      <c r="V232" s="22">
        <f t="shared" si="12"/>
        <v>1459264</v>
      </c>
    </row>
    <row r="233">
      <c r="A233" s="2">
        <v>40876.0</v>
      </c>
      <c r="B233" s="5">
        <v>3834.0</v>
      </c>
      <c r="C233" s="22">
        <f t="shared" si="2"/>
        <v>1513</v>
      </c>
      <c r="D233" s="22">
        <f t="shared" si="3"/>
        <v>1375</v>
      </c>
      <c r="E233" s="22">
        <f t="shared" si="1"/>
        <v>981</v>
      </c>
      <c r="F233" s="20"/>
      <c r="G233" s="20"/>
      <c r="H233" s="20"/>
      <c r="I233" s="20"/>
      <c r="J233" s="20"/>
      <c r="K233" s="20"/>
      <c r="L233" s="22">
        <f t="shared" si="4"/>
        <v>2321</v>
      </c>
      <c r="M233" s="38">
        <f t="shared" si="5"/>
        <v>0.6053729786</v>
      </c>
      <c r="N233" s="22">
        <f t="shared" si="6"/>
        <v>5387041</v>
      </c>
      <c r="O233" s="20"/>
      <c r="P233" s="22">
        <f t="shared" si="7"/>
        <v>2459</v>
      </c>
      <c r="Q233" s="38">
        <f t="shared" si="8"/>
        <v>0.6413667188</v>
      </c>
      <c r="R233" s="22">
        <f t="shared" si="9"/>
        <v>6046681</v>
      </c>
      <c r="S233" s="20"/>
      <c r="T233" s="22">
        <f t="shared" si="10"/>
        <v>2853</v>
      </c>
      <c r="U233" s="38">
        <f t="shared" si="11"/>
        <v>0.7441314554</v>
      </c>
      <c r="V233" s="22">
        <f t="shared" si="12"/>
        <v>8139609</v>
      </c>
    </row>
    <row r="234">
      <c r="A234" s="2">
        <v>40877.0</v>
      </c>
      <c r="B234" s="5">
        <v>60.0</v>
      </c>
      <c r="C234" s="22">
        <f t="shared" si="2"/>
        <v>2206</v>
      </c>
      <c r="D234" s="22">
        <f t="shared" si="3"/>
        <v>1386</v>
      </c>
      <c r="E234" s="22">
        <f t="shared" si="1"/>
        <v>2693</v>
      </c>
      <c r="F234" s="20"/>
      <c r="G234" s="20"/>
      <c r="H234" s="20"/>
      <c r="I234" s="20"/>
      <c r="J234" s="20"/>
      <c r="K234" s="20"/>
      <c r="L234" s="22">
        <f t="shared" si="4"/>
        <v>-2146</v>
      </c>
      <c r="M234" s="38">
        <f t="shared" si="5"/>
        <v>35.76666667</v>
      </c>
      <c r="N234" s="22">
        <f t="shared" si="6"/>
        <v>4605316</v>
      </c>
      <c r="O234" s="20"/>
      <c r="P234" s="22">
        <f t="shared" si="7"/>
        <v>-1326</v>
      </c>
      <c r="Q234" s="38">
        <f t="shared" si="8"/>
        <v>22.1</v>
      </c>
      <c r="R234" s="22">
        <f t="shared" si="9"/>
        <v>1758276</v>
      </c>
      <c r="S234" s="20"/>
      <c r="T234" s="22">
        <f t="shared" si="10"/>
        <v>-2633</v>
      </c>
      <c r="U234" s="38">
        <f t="shared" si="11"/>
        <v>43.88333333</v>
      </c>
      <c r="V234" s="22">
        <f t="shared" si="12"/>
        <v>6932689</v>
      </c>
    </row>
    <row r="235">
      <c r="A235" s="2">
        <v>40878.0</v>
      </c>
      <c r="B235" s="5">
        <v>636.0</v>
      </c>
      <c r="C235" s="22">
        <f t="shared" si="2"/>
        <v>2162</v>
      </c>
      <c r="D235" s="22">
        <f t="shared" si="3"/>
        <v>1380</v>
      </c>
      <c r="E235" s="22">
        <f t="shared" si="1"/>
        <v>1113</v>
      </c>
      <c r="F235" s="20"/>
      <c r="G235" s="20"/>
      <c r="H235" s="20"/>
      <c r="I235" s="20"/>
      <c r="J235" s="20"/>
      <c r="K235" s="20"/>
      <c r="L235" s="22">
        <f t="shared" si="4"/>
        <v>-1526</v>
      </c>
      <c r="M235" s="38">
        <f t="shared" si="5"/>
        <v>2.399371069</v>
      </c>
      <c r="N235" s="22">
        <f t="shared" si="6"/>
        <v>2328676</v>
      </c>
      <c r="O235" s="20"/>
      <c r="P235" s="22">
        <f t="shared" si="7"/>
        <v>-744</v>
      </c>
      <c r="Q235" s="38">
        <f t="shared" si="8"/>
        <v>1.169811321</v>
      </c>
      <c r="R235" s="22">
        <f t="shared" si="9"/>
        <v>553536</v>
      </c>
      <c r="S235" s="20"/>
      <c r="T235" s="22">
        <f t="shared" si="10"/>
        <v>-477</v>
      </c>
      <c r="U235" s="38">
        <f t="shared" si="11"/>
        <v>0.75</v>
      </c>
      <c r="V235" s="22">
        <f t="shared" si="12"/>
        <v>227529</v>
      </c>
    </row>
    <row r="236">
      <c r="A236" s="2">
        <v>40879.0</v>
      </c>
      <c r="B236" s="5">
        <v>756.0</v>
      </c>
      <c r="C236" s="22">
        <f t="shared" si="2"/>
        <v>1037</v>
      </c>
      <c r="D236" s="22">
        <f t="shared" si="3"/>
        <v>1377</v>
      </c>
      <c r="E236" s="22">
        <f t="shared" si="1"/>
        <v>827</v>
      </c>
      <c r="F236" s="20"/>
      <c r="G236" s="20"/>
      <c r="H236" s="20"/>
      <c r="I236" s="20"/>
      <c r="J236" s="20"/>
      <c r="K236" s="20"/>
      <c r="L236" s="22">
        <f t="shared" si="4"/>
        <v>-281</v>
      </c>
      <c r="M236" s="38">
        <f t="shared" si="5"/>
        <v>0.3716931217</v>
      </c>
      <c r="N236" s="22">
        <f t="shared" si="6"/>
        <v>78961</v>
      </c>
      <c r="O236" s="20"/>
      <c r="P236" s="22">
        <f t="shared" si="7"/>
        <v>-621</v>
      </c>
      <c r="Q236" s="38">
        <f t="shared" si="8"/>
        <v>0.8214285714</v>
      </c>
      <c r="R236" s="22">
        <f t="shared" si="9"/>
        <v>385641</v>
      </c>
      <c r="S236" s="20"/>
      <c r="T236" s="22">
        <f t="shared" si="10"/>
        <v>-71</v>
      </c>
      <c r="U236" s="38">
        <f t="shared" si="11"/>
        <v>0.09391534392</v>
      </c>
      <c r="V236" s="22">
        <f t="shared" si="12"/>
        <v>5041</v>
      </c>
    </row>
    <row r="237">
      <c r="A237" s="2">
        <v>40882.0</v>
      </c>
      <c r="B237" s="5">
        <v>444.0</v>
      </c>
      <c r="C237" s="22">
        <f t="shared" si="2"/>
        <v>1157</v>
      </c>
      <c r="D237" s="22">
        <f t="shared" si="3"/>
        <v>1374</v>
      </c>
      <c r="E237" s="22">
        <f t="shared" si="1"/>
        <v>784</v>
      </c>
      <c r="F237" s="20"/>
      <c r="G237" s="20"/>
      <c r="H237" s="20"/>
      <c r="I237" s="20"/>
      <c r="J237" s="20"/>
      <c r="K237" s="20"/>
      <c r="L237" s="22">
        <f t="shared" si="4"/>
        <v>-713</v>
      </c>
      <c r="M237" s="38">
        <f t="shared" si="5"/>
        <v>1.605855856</v>
      </c>
      <c r="N237" s="22">
        <f t="shared" si="6"/>
        <v>508369</v>
      </c>
      <c r="O237" s="20"/>
      <c r="P237" s="22">
        <f t="shared" si="7"/>
        <v>-930</v>
      </c>
      <c r="Q237" s="38">
        <f t="shared" si="8"/>
        <v>2.094594595</v>
      </c>
      <c r="R237" s="22">
        <f t="shared" si="9"/>
        <v>864900</v>
      </c>
      <c r="S237" s="20"/>
      <c r="T237" s="22">
        <f t="shared" si="10"/>
        <v>-340</v>
      </c>
      <c r="U237" s="38">
        <f t="shared" si="11"/>
        <v>0.7657657658</v>
      </c>
      <c r="V237" s="22">
        <f t="shared" si="12"/>
        <v>115600</v>
      </c>
    </row>
    <row r="238">
      <c r="A238" s="2">
        <v>40883.0</v>
      </c>
      <c r="B238" s="5">
        <v>0.0</v>
      </c>
      <c r="C238" s="22">
        <f t="shared" si="2"/>
        <v>1146</v>
      </c>
      <c r="D238" s="22">
        <f t="shared" si="3"/>
        <v>1370</v>
      </c>
      <c r="E238" s="22">
        <f t="shared" si="1"/>
        <v>580</v>
      </c>
      <c r="F238" s="20"/>
      <c r="G238" s="20"/>
      <c r="H238" s="20"/>
      <c r="I238" s="20"/>
      <c r="J238" s="20"/>
      <c r="K238" s="20"/>
      <c r="L238" s="22">
        <f t="shared" si="4"/>
        <v>-1146</v>
      </c>
      <c r="M238" s="38">
        <f t="shared" si="5"/>
        <v>1</v>
      </c>
      <c r="N238" s="22">
        <f t="shared" si="6"/>
        <v>1313316</v>
      </c>
      <c r="O238" s="20"/>
      <c r="P238" s="22">
        <f t="shared" si="7"/>
        <v>-1370</v>
      </c>
      <c r="Q238" s="38">
        <f t="shared" si="8"/>
        <v>1</v>
      </c>
      <c r="R238" s="22">
        <f t="shared" si="9"/>
        <v>1876900</v>
      </c>
      <c r="S238" s="20"/>
      <c r="T238" s="22">
        <f t="shared" si="10"/>
        <v>-580</v>
      </c>
      <c r="U238" s="38">
        <f t="shared" si="11"/>
        <v>1</v>
      </c>
      <c r="V238" s="22">
        <f t="shared" si="12"/>
        <v>336400</v>
      </c>
    </row>
    <row r="239">
      <c r="A239" s="2">
        <v>40884.0</v>
      </c>
      <c r="B239" s="5">
        <v>3798.0</v>
      </c>
      <c r="C239" s="22">
        <f t="shared" si="2"/>
        <v>379</v>
      </c>
      <c r="D239" s="22">
        <f t="shared" si="3"/>
        <v>1364</v>
      </c>
      <c r="E239" s="22">
        <f t="shared" si="1"/>
        <v>232</v>
      </c>
      <c r="F239" s="20"/>
      <c r="G239" s="20"/>
      <c r="H239" s="20"/>
      <c r="I239" s="20"/>
      <c r="J239" s="20"/>
      <c r="K239" s="20"/>
      <c r="L239" s="22">
        <f t="shared" si="4"/>
        <v>3419</v>
      </c>
      <c r="M239" s="38">
        <f t="shared" si="5"/>
        <v>0.9002106372</v>
      </c>
      <c r="N239" s="22">
        <f t="shared" si="6"/>
        <v>11689561</v>
      </c>
      <c r="O239" s="20"/>
      <c r="P239" s="22">
        <f t="shared" si="7"/>
        <v>2434</v>
      </c>
      <c r="Q239" s="38">
        <f t="shared" si="8"/>
        <v>0.6408636124</v>
      </c>
      <c r="R239" s="22">
        <f t="shared" si="9"/>
        <v>5924356</v>
      </c>
      <c r="S239" s="20"/>
      <c r="T239" s="22">
        <f t="shared" si="10"/>
        <v>3566</v>
      </c>
      <c r="U239" s="38">
        <f t="shared" si="11"/>
        <v>0.9389152185</v>
      </c>
      <c r="V239" s="22">
        <f t="shared" si="12"/>
        <v>12716356</v>
      </c>
    </row>
    <row r="240">
      <c r="A240" s="2">
        <v>40885.0</v>
      </c>
      <c r="B240" s="5">
        <v>6800.0</v>
      </c>
      <c r="C240" s="22">
        <f t="shared" si="2"/>
        <v>1127</v>
      </c>
      <c r="D240" s="22">
        <f t="shared" si="3"/>
        <v>1374</v>
      </c>
      <c r="E240" s="22">
        <f t="shared" si="1"/>
        <v>2372</v>
      </c>
      <c r="F240" s="20"/>
      <c r="G240" s="20"/>
      <c r="H240" s="20"/>
      <c r="I240" s="20"/>
      <c r="J240" s="20"/>
      <c r="K240" s="20"/>
      <c r="L240" s="22">
        <f t="shared" si="4"/>
        <v>5673</v>
      </c>
      <c r="M240" s="38">
        <f t="shared" si="5"/>
        <v>0.8342647059</v>
      </c>
      <c r="N240" s="22">
        <f t="shared" si="6"/>
        <v>32182929</v>
      </c>
      <c r="O240" s="20"/>
      <c r="P240" s="22">
        <f t="shared" si="7"/>
        <v>5426</v>
      </c>
      <c r="Q240" s="38">
        <f t="shared" si="8"/>
        <v>0.7979411765</v>
      </c>
      <c r="R240" s="22">
        <f t="shared" si="9"/>
        <v>29441476</v>
      </c>
      <c r="S240" s="20"/>
      <c r="T240" s="22">
        <f t="shared" si="10"/>
        <v>4428</v>
      </c>
      <c r="U240" s="38">
        <f t="shared" si="11"/>
        <v>0.6511764706</v>
      </c>
      <c r="V240" s="22">
        <f t="shared" si="12"/>
        <v>19607184</v>
      </c>
    </row>
    <row r="241">
      <c r="A241" s="2">
        <v>40886.0</v>
      </c>
      <c r="B241" s="5">
        <v>120.0</v>
      </c>
      <c r="C241" s="22">
        <f t="shared" si="2"/>
        <v>2360</v>
      </c>
      <c r="D241" s="22">
        <f t="shared" si="3"/>
        <v>1397</v>
      </c>
      <c r="E241" s="22">
        <f t="shared" si="1"/>
        <v>5029</v>
      </c>
      <c r="F241" s="20"/>
      <c r="G241" s="20"/>
      <c r="H241" s="20"/>
      <c r="I241" s="20"/>
      <c r="J241" s="20"/>
      <c r="K241" s="20"/>
      <c r="L241" s="22">
        <f t="shared" si="4"/>
        <v>-2240</v>
      </c>
      <c r="M241" s="38">
        <f t="shared" si="5"/>
        <v>18.66666667</v>
      </c>
      <c r="N241" s="22">
        <f t="shared" si="6"/>
        <v>5017600</v>
      </c>
      <c r="O241" s="20"/>
      <c r="P241" s="22">
        <f t="shared" si="7"/>
        <v>-1277</v>
      </c>
      <c r="Q241" s="38">
        <f t="shared" si="8"/>
        <v>10.64166667</v>
      </c>
      <c r="R241" s="22">
        <f t="shared" si="9"/>
        <v>1630729</v>
      </c>
      <c r="S241" s="20"/>
      <c r="T241" s="22">
        <f t="shared" si="10"/>
        <v>-4909</v>
      </c>
      <c r="U241" s="38">
        <f t="shared" si="11"/>
        <v>40.90833333</v>
      </c>
      <c r="V241" s="22">
        <f t="shared" si="12"/>
        <v>24098281</v>
      </c>
    </row>
    <row r="242">
      <c r="A242" s="2">
        <v>40889.0</v>
      </c>
      <c r="B242" s="5">
        <v>3870.0</v>
      </c>
      <c r="C242" s="22">
        <f t="shared" si="2"/>
        <v>2232</v>
      </c>
      <c r="D242" s="22">
        <f t="shared" si="3"/>
        <v>1392</v>
      </c>
      <c r="E242" s="22">
        <f t="shared" si="1"/>
        <v>2084</v>
      </c>
      <c r="F242" s="20"/>
      <c r="G242" s="20"/>
      <c r="H242" s="20"/>
      <c r="I242" s="20"/>
      <c r="J242" s="20"/>
      <c r="K242" s="20"/>
      <c r="L242" s="22">
        <f t="shared" si="4"/>
        <v>1638</v>
      </c>
      <c r="M242" s="38">
        <f t="shared" si="5"/>
        <v>0.423255814</v>
      </c>
      <c r="N242" s="22">
        <f t="shared" si="6"/>
        <v>2683044</v>
      </c>
      <c r="O242" s="20"/>
      <c r="P242" s="22">
        <f t="shared" si="7"/>
        <v>2478</v>
      </c>
      <c r="Q242" s="38">
        <f t="shared" si="8"/>
        <v>0.6403100775</v>
      </c>
      <c r="R242" s="22">
        <f t="shared" si="9"/>
        <v>6140484</v>
      </c>
      <c r="S242" s="20"/>
      <c r="T242" s="22">
        <f t="shared" si="10"/>
        <v>1786</v>
      </c>
      <c r="U242" s="38">
        <f t="shared" si="11"/>
        <v>0.461498708</v>
      </c>
      <c r="V242" s="22">
        <f t="shared" si="12"/>
        <v>3189796</v>
      </c>
    </row>
    <row r="243">
      <c r="A243" s="2">
        <v>40890.0</v>
      </c>
      <c r="B243" s="5">
        <v>444.0</v>
      </c>
      <c r="C243" s="22">
        <f t="shared" si="2"/>
        <v>2918</v>
      </c>
      <c r="D243" s="22">
        <f t="shared" si="3"/>
        <v>1402</v>
      </c>
      <c r="E243" s="22">
        <f t="shared" si="1"/>
        <v>3156</v>
      </c>
      <c r="F243" s="20"/>
      <c r="G243" s="20"/>
      <c r="H243" s="20"/>
      <c r="I243" s="20"/>
      <c r="J243" s="20"/>
      <c r="K243" s="20"/>
      <c r="L243" s="22">
        <f t="shared" si="4"/>
        <v>-2474</v>
      </c>
      <c r="M243" s="38">
        <f t="shared" si="5"/>
        <v>5.572072072</v>
      </c>
      <c r="N243" s="22">
        <f t="shared" si="6"/>
        <v>6120676</v>
      </c>
      <c r="O243" s="20"/>
      <c r="P243" s="22">
        <f t="shared" si="7"/>
        <v>-958</v>
      </c>
      <c r="Q243" s="38">
        <f t="shared" si="8"/>
        <v>2.157657658</v>
      </c>
      <c r="R243" s="22">
        <f t="shared" si="9"/>
        <v>917764</v>
      </c>
      <c r="S243" s="20"/>
      <c r="T243" s="22">
        <f t="shared" si="10"/>
        <v>-2712</v>
      </c>
      <c r="U243" s="38">
        <f t="shared" si="11"/>
        <v>6.108108108</v>
      </c>
      <c r="V243" s="22">
        <f t="shared" si="12"/>
        <v>7354944</v>
      </c>
    </row>
    <row r="244">
      <c r="A244" s="2">
        <v>40891.0</v>
      </c>
      <c r="B244" s="5">
        <v>3780.0</v>
      </c>
      <c r="C244" s="22">
        <f t="shared" si="2"/>
        <v>3006</v>
      </c>
      <c r="D244" s="22">
        <f t="shared" si="3"/>
        <v>1398</v>
      </c>
      <c r="E244" s="22">
        <f t="shared" si="1"/>
        <v>1529</v>
      </c>
      <c r="F244" s="20"/>
      <c r="G244" s="20"/>
      <c r="H244" s="20"/>
      <c r="I244" s="20"/>
      <c r="J244" s="20"/>
      <c r="K244" s="20"/>
      <c r="L244" s="22">
        <f t="shared" si="4"/>
        <v>774</v>
      </c>
      <c r="M244" s="38">
        <f t="shared" si="5"/>
        <v>0.2047619048</v>
      </c>
      <c r="N244" s="22">
        <f t="shared" si="6"/>
        <v>599076</v>
      </c>
      <c r="O244" s="20"/>
      <c r="P244" s="22">
        <f t="shared" si="7"/>
        <v>2382</v>
      </c>
      <c r="Q244" s="38">
        <f t="shared" si="8"/>
        <v>0.6301587302</v>
      </c>
      <c r="R244" s="22">
        <f t="shared" si="9"/>
        <v>5673924</v>
      </c>
      <c r="S244" s="20"/>
      <c r="T244" s="22">
        <f t="shared" si="10"/>
        <v>2251</v>
      </c>
      <c r="U244" s="38">
        <f t="shared" si="11"/>
        <v>0.5955026455</v>
      </c>
      <c r="V244" s="22">
        <f t="shared" si="12"/>
        <v>5067001</v>
      </c>
    </row>
    <row r="245">
      <c r="A245" s="2">
        <v>40892.0</v>
      </c>
      <c r="B245" s="5">
        <v>702.0</v>
      </c>
      <c r="C245" s="22">
        <f t="shared" si="2"/>
        <v>3003</v>
      </c>
      <c r="D245" s="22">
        <f t="shared" si="3"/>
        <v>1408</v>
      </c>
      <c r="E245" s="22">
        <f t="shared" si="1"/>
        <v>2880</v>
      </c>
      <c r="F245" s="20"/>
      <c r="G245" s="20"/>
      <c r="H245" s="20"/>
      <c r="I245" s="20"/>
      <c r="J245" s="20"/>
      <c r="K245" s="20"/>
      <c r="L245" s="22">
        <f t="shared" si="4"/>
        <v>-2301</v>
      </c>
      <c r="M245" s="38">
        <f t="shared" si="5"/>
        <v>3.277777778</v>
      </c>
      <c r="N245" s="22">
        <f t="shared" si="6"/>
        <v>5294601</v>
      </c>
      <c r="O245" s="20"/>
      <c r="P245" s="22">
        <f t="shared" si="7"/>
        <v>-706</v>
      </c>
      <c r="Q245" s="38">
        <f t="shared" si="8"/>
        <v>1.005698006</v>
      </c>
      <c r="R245" s="22">
        <f t="shared" si="9"/>
        <v>498436</v>
      </c>
      <c r="S245" s="20"/>
      <c r="T245" s="22">
        <f t="shared" si="10"/>
        <v>-2178</v>
      </c>
      <c r="U245" s="38">
        <f t="shared" si="11"/>
        <v>3.102564103</v>
      </c>
      <c r="V245" s="22">
        <f t="shared" si="12"/>
        <v>4743684</v>
      </c>
    </row>
    <row r="246">
      <c r="A246" s="2">
        <v>40893.0</v>
      </c>
      <c r="B246" s="5">
        <v>744.0</v>
      </c>
      <c r="C246" s="22">
        <f t="shared" si="2"/>
        <v>1783</v>
      </c>
      <c r="D246" s="22">
        <f t="shared" si="3"/>
        <v>1405</v>
      </c>
      <c r="E246" s="22">
        <f t="shared" si="1"/>
        <v>1573</v>
      </c>
      <c r="F246" s="20"/>
      <c r="G246" s="20"/>
      <c r="H246" s="20"/>
      <c r="I246" s="20"/>
      <c r="J246" s="20"/>
      <c r="K246" s="20"/>
      <c r="L246" s="22">
        <f t="shared" si="4"/>
        <v>-1039</v>
      </c>
      <c r="M246" s="38">
        <f t="shared" si="5"/>
        <v>1.396505376</v>
      </c>
      <c r="N246" s="22">
        <f t="shared" si="6"/>
        <v>1079521</v>
      </c>
      <c r="O246" s="20"/>
      <c r="P246" s="22">
        <f t="shared" si="7"/>
        <v>-661</v>
      </c>
      <c r="Q246" s="38">
        <f t="shared" si="8"/>
        <v>0.8884408602</v>
      </c>
      <c r="R246" s="22">
        <f t="shared" si="9"/>
        <v>436921</v>
      </c>
      <c r="S246" s="20"/>
      <c r="T246" s="22">
        <f t="shared" si="10"/>
        <v>-829</v>
      </c>
      <c r="U246" s="38">
        <f t="shared" si="11"/>
        <v>1.114247312</v>
      </c>
      <c r="V246" s="22">
        <f t="shared" si="12"/>
        <v>687241</v>
      </c>
    </row>
    <row r="247">
      <c r="A247" s="2">
        <v>40896.0</v>
      </c>
      <c r="B247" s="5">
        <v>600.0</v>
      </c>
      <c r="C247" s="22">
        <f t="shared" si="2"/>
        <v>1908</v>
      </c>
      <c r="D247" s="22">
        <f t="shared" si="3"/>
        <v>1403</v>
      </c>
      <c r="E247" s="22">
        <f t="shared" si="1"/>
        <v>1076</v>
      </c>
      <c r="F247" s="20"/>
      <c r="G247" s="20"/>
      <c r="H247" s="20"/>
      <c r="I247" s="20"/>
      <c r="J247" s="20"/>
      <c r="K247" s="20"/>
      <c r="L247" s="22">
        <f t="shared" si="4"/>
        <v>-1308</v>
      </c>
      <c r="M247" s="38">
        <f t="shared" si="5"/>
        <v>2.18</v>
      </c>
      <c r="N247" s="22">
        <f t="shared" si="6"/>
        <v>1710864</v>
      </c>
      <c r="O247" s="20"/>
      <c r="P247" s="22">
        <f t="shared" si="7"/>
        <v>-803</v>
      </c>
      <c r="Q247" s="38">
        <f t="shared" si="8"/>
        <v>1.338333333</v>
      </c>
      <c r="R247" s="22">
        <f t="shared" si="9"/>
        <v>644809</v>
      </c>
      <c r="S247" s="20"/>
      <c r="T247" s="22">
        <f t="shared" si="10"/>
        <v>-476</v>
      </c>
      <c r="U247" s="38">
        <f t="shared" si="11"/>
        <v>0.7933333333</v>
      </c>
      <c r="V247" s="22">
        <f t="shared" si="12"/>
        <v>226576</v>
      </c>
    </row>
    <row r="248">
      <c r="A248" s="2">
        <v>40897.0</v>
      </c>
      <c r="B248" s="5">
        <v>522.0</v>
      </c>
      <c r="C248" s="22">
        <f t="shared" si="2"/>
        <v>1254</v>
      </c>
      <c r="D248" s="22">
        <f t="shared" si="3"/>
        <v>1399</v>
      </c>
      <c r="E248" s="22">
        <f t="shared" si="1"/>
        <v>790</v>
      </c>
      <c r="F248" s="20"/>
      <c r="G248" s="20"/>
      <c r="H248" s="20"/>
      <c r="I248" s="20"/>
      <c r="J248" s="20"/>
      <c r="K248" s="20"/>
      <c r="L248" s="22">
        <f t="shared" si="4"/>
        <v>-732</v>
      </c>
      <c r="M248" s="38">
        <f t="shared" si="5"/>
        <v>1.402298851</v>
      </c>
      <c r="N248" s="22">
        <f t="shared" si="6"/>
        <v>535824</v>
      </c>
      <c r="O248" s="20"/>
      <c r="P248" s="22">
        <f t="shared" si="7"/>
        <v>-877</v>
      </c>
      <c r="Q248" s="38">
        <f t="shared" si="8"/>
        <v>1.680076628</v>
      </c>
      <c r="R248" s="22">
        <f t="shared" si="9"/>
        <v>769129</v>
      </c>
      <c r="S248" s="20"/>
      <c r="T248" s="22">
        <f t="shared" si="10"/>
        <v>-268</v>
      </c>
      <c r="U248" s="38">
        <f t="shared" si="11"/>
        <v>0.5134099617</v>
      </c>
      <c r="V248" s="22">
        <f t="shared" si="12"/>
        <v>71824</v>
      </c>
    </row>
    <row r="249">
      <c r="A249" s="2">
        <v>40898.0</v>
      </c>
      <c r="B249" s="5">
        <v>6606.0</v>
      </c>
      <c r="C249" s="22">
        <f t="shared" si="2"/>
        <v>1270</v>
      </c>
      <c r="D249" s="22">
        <f t="shared" si="3"/>
        <v>1396</v>
      </c>
      <c r="E249" s="22">
        <f t="shared" si="1"/>
        <v>629</v>
      </c>
      <c r="F249" s="20"/>
      <c r="G249" s="20"/>
      <c r="H249" s="20"/>
      <c r="I249" s="20"/>
      <c r="J249" s="20"/>
      <c r="K249" s="20"/>
      <c r="L249" s="22">
        <f t="shared" si="4"/>
        <v>5336</v>
      </c>
      <c r="M249" s="38">
        <f t="shared" si="5"/>
        <v>0.8077505298</v>
      </c>
      <c r="N249" s="22">
        <f t="shared" si="6"/>
        <v>28472896</v>
      </c>
      <c r="O249" s="20"/>
      <c r="P249" s="22">
        <f t="shared" si="7"/>
        <v>5210</v>
      </c>
      <c r="Q249" s="38">
        <f t="shared" si="8"/>
        <v>0.7886769603</v>
      </c>
      <c r="R249" s="22">
        <f t="shared" si="9"/>
        <v>27144100</v>
      </c>
      <c r="S249" s="20"/>
      <c r="T249" s="22">
        <f t="shared" si="10"/>
        <v>5977</v>
      </c>
      <c r="U249" s="38">
        <f t="shared" si="11"/>
        <v>0.9047835301</v>
      </c>
      <c r="V249" s="22">
        <f t="shared" si="12"/>
        <v>35724529</v>
      </c>
    </row>
    <row r="250">
      <c r="A250" s="2">
        <v>40899.0</v>
      </c>
      <c r="B250" s="5">
        <v>4188.0</v>
      </c>
      <c r="C250" s="22">
        <f t="shared" si="2"/>
        <v>1835</v>
      </c>
      <c r="D250" s="22">
        <f t="shared" si="3"/>
        <v>1417</v>
      </c>
      <c r="E250" s="22">
        <f t="shared" si="1"/>
        <v>4215</v>
      </c>
      <c r="F250" s="20"/>
      <c r="G250" s="20"/>
      <c r="H250" s="20"/>
      <c r="I250" s="20"/>
      <c r="J250" s="20"/>
      <c r="K250" s="20"/>
      <c r="L250" s="22">
        <f t="shared" si="4"/>
        <v>2353</v>
      </c>
      <c r="M250" s="38">
        <f t="shared" si="5"/>
        <v>0.561843362</v>
      </c>
      <c r="N250" s="22">
        <f t="shared" si="6"/>
        <v>5536609</v>
      </c>
      <c r="O250" s="20"/>
      <c r="P250" s="22">
        <f t="shared" si="7"/>
        <v>2771</v>
      </c>
      <c r="Q250" s="38">
        <f t="shared" si="8"/>
        <v>0.66165234</v>
      </c>
      <c r="R250" s="22">
        <f t="shared" si="9"/>
        <v>7678441</v>
      </c>
      <c r="S250" s="20"/>
      <c r="T250" s="22">
        <f t="shared" si="10"/>
        <v>-27</v>
      </c>
      <c r="U250" s="38">
        <f t="shared" si="11"/>
        <v>0.006446991404</v>
      </c>
      <c r="V250" s="22">
        <f t="shared" si="12"/>
        <v>729</v>
      </c>
    </row>
    <row r="251">
      <c r="A251" s="2">
        <v>40900.0</v>
      </c>
      <c r="B251" s="5">
        <v>1074.0</v>
      </c>
      <c r="C251" s="22">
        <f t="shared" si="2"/>
        <v>2532</v>
      </c>
      <c r="D251" s="22">
        <f t="shared" si="3"/>
        <v>1428</v>
      </c>
      <c r="E251" s="22">
        <f t="shared" si="1"/>
        <v>4199</v>
      </c>
      <c r="F251" s="20"/>
      <c r="G251" s="20"/>
      <c r="H251" s="20"/>
      <c r="I251" s="20"/>
      <c r="J251" s="20"/>
      <c r="K251" s="20"/>
      <c r="L251" s="22">
        <f t="shared" si="4"/>
        <v>-1458</v>
      </c>
      <c r="M251" s="38">
        <f t="shared" si="5"/>
        <v>1.357541899</v>
      </c>
      <c r="N251" s="22">
        <f t="shared" si="6"/>
        <v>2125764</v>
      </c>
      <c r="O251" s="20"/>
      <c r="P251" s="22">
        <f t="shared" si="7"/>
        <v>-354</v>
      </c>
      <c r="Q251" s="38">
        <f t="shared" si="8"/>
        <v>0.3296089385</v>
      </c>
      <c r="R251" s="22">
        <f t="shared" si="9"/>
        <v>125316</v>
      </c>
      <c r="S251" s="20"/>
      <c r="T251" s="22">
        <f t="shared" si="10"/>
        <v>-3125</v>
      </c>
      <c r="U251" s="38">
        <f t="shared" si="11"/>
        <v>2.909683426</v>
      </c>
      <c r="V251" s="22">
        <f t="shared" si="12"/>
        <v>9765625</v>
      </c>
    </row>
    <row r="252">
      <c r="A252" s="2">
        <v>40904.0</v>
      </c>
      <c r="B252" s="5">
        <v>324.0</v>
      </c>
      <c r="C252" s="22">
        <f t="shared" si="2"/>
        <v>2598</v>
      </c>
      <c r="D252" s="22">
        <f t="shared" si="3"/>
        <v>1427</v>
      </c>
      <c r="E252" s="22">
        <f t="shared" si="1"/>
        <v>2324</v>
      </c>
      <c r="F252" s="20"/>
      <c r="G252" s="20"/>
      <c r="H252" s="20"/>
      <c r="I252" s="20"/>
      <c r="J252" s="20"/>
      <c r="K252" s="20"/>
      <c r="L252" s="22">
        <f t="shared" si="4"/>
        <v>-2274</v>
      </c>
      <c r="M252" s="38">
        <f t="shared" si="5"/>
        <v>7.018518519</v>
      </c>
      <c r="N252" s="22">
        <f t="shared" si="6"/>
        <v>5171076</v>
      </c>
      <c r="O252" s="20"/>
      <c r="P252" s="22">
        <f t="shared" si="7"/>
        <v>-1103</v>
      </c>
      <c r="Q252" s="38">
        <f t="shared" si="8"/>
        <v>3.404320988</v>
      </c>
      <c r="R252" s="22">
        <f t="shared" si="9"/>
        <v>1216609</v>
      </c>
      <c r="S252" s="20"/>
      <c r="T252" s="22">
        <f t="shared" si="10"/>
        <v>-2000</v>
      </c>
      <c r="U252" s="38">
        <f t="shared" si="11"/>
        <v>6.172839506</v>
      </c>
      <c r="V252" s="22">
        <f t="shared" si="12"/>
        <v>4000000</v>
      </c>
    </row>
    <row r="253">
      <c r="A253" s="2">
        <v>40905.0</v>
      </c>
      <c r="B253" s="5">
        <v>6090.0</v>
      </c>
      <c r="C253" s="22">
        <f t="shared" si="2"/>
        <v>2543</v>
      </c>
      <c r="D253" s="22">
        <f t="shared" si="3"/>
        <v>1422</v>
      </c>
      <c r="E253" s="22">
        <f t="shared" si="1"/>
        <v>1124</v>
      </c>
      <c r="F253" s="20"/>
      <c r="G253" s="20"/>
      <c r="H253" s="20"/>
      <c r="I253" s="20"/>
      <c r="J253" s="20"/>
      <c r="K253" s="20"/>
      <c r="L253" s="22">
        <f t="shared" si="4"/>
        <v>3547</v>
      </c>
      <c r="M253" s="38">
        <f t="shared" si="5"/>
        <v>0.5824302135</v>
      </c>
      <c r="N253" s="22">
        <f t="shared" si="6"/>
        <v>12581209</v>
      </c>
      <c r="O253" s="20"/>
      <c r="P253" s="22">
        <f t="shared" si="7"/>
        <v>4668</v>
      </c>
      <c r="Q253" s="38">
        <f t="shared" si="8"/>
        <v>0.7665024631</v>
      </c>
      <c r="R253" s="22">
        <f t="shared" si="9"/>
        <v>21790224</v>
      </c>
      <c r="S253" s="20"/>
      <c r="T253" s="22">
        <f t="shared" si="10"/>
        <v>4966</v>
      </c>
      <c r="U253" s="38">
        <f t="shared" si="11"/>
        <v>0.8154351396</v>
      </c>
      <c r="V253" s="22">
        <f t="shared" si="12"/>
        <v>24661156</v>
      </c>
    </row>
    <row r="254">
      <c r="A254" s="2">
        <v>40906.0</v>
      </c>
      <c r="B254" s="5">
        <v>102.0</v>
      </c>
      <c r="C254" s="22">
        <f t="shared" si="2"/>
        <v>3656</v>
      </c>
      <c r="D254" s="22">
        <f t="shared" si="3"/>
        <v>1441</v>
      </c>
      <c r="E254" s="22">
        <f t="shared" si="1"/>
        <v>4104</v>
      </c>
      <c r="F254" s="20"/>
      <c r="G254" s="20"/>
      <c r="H254" s="20"/>
      <c r="I254" s="20"/>
      <c r="J254" s="20"/>
      <c r="K254" s="20"/>
      <c r="L254" s="22">
        <f t="shared" si="4"/>
        <v>-3554</v>
      </c>
      <c r="M254" s="38">
        <f t="shared" si="5"/>
        <v>34.84313725</v>
      </c>
      <c r="N254" s="22">
        <f t="shared" si="6"/>
        <v>12630916</v>
      </c>
      <c r="O254" s="20"/>
      <c r="P254" s="22">
        <f t="shared" si="7"/>
        <v>-1339</v>
      </c>
      <c r="Q254" s="38">
        <f t="shared" si="8"/>
        <v>13.12745098</v>
      </c>
      <c r="R254" s="22">
        <f t="shared" si="9"/>
        <v>1792921</v>
      </c>
      <c r="S254" s="20"/>
      <c r="T254" s="22">
        <f t="shared" si="10"/>
        <v>-4002</v>
      </c>
      <c r="U254" s="38">
        <f t="shared" si="11"/>
        <v>39.23529412</v>
      </c>
      <c r="V254" s="22">
        <f t="shared" si="12"/>
        <v>16016004</v>
      </c>
    </row>
    <row r="255">
      <c r="A255" s="2">
        <v>40907.0</v>
      </c>
      <c r="B255" s="5">
        <v>90.0</v>
      </c>
      <c r="C255" s="22">
        <f t="shared" si="2"/>
        <v>2356</v>
      </c>
      <c r="D255" s="22">
        <f t="shared" si="3"/>
        <v>1435</v>
      </c>
      <c r="E255" s="22">
        <f t="shared" si="1"/>
        <v>1703</v>
      </c>
      <c r="F255" s="20"/>
      <c r="G255" s="20"/>
      <c r="H255" s="20"/>
      <c r="I255" s="20"/>
      <c r="J255" s="20"/>
      <c r="K255" s="20"/>
      <c r="L255" s="22">
        <f t="shared" si="4"/>
        <v>-2266</v>
      </c>
      <c r="M255" s="38">
        <f t="shared" si="5"/>
        <v>25.17777778</v>
      </c>
      <c r="N255" s="22">
        <f t="shared" si="6"/>
        <v>5134756</v>
      </c>
      <c r="O255" s="20"/>
      <c r="P255" s="22">
        <f t="shared" si="7"/>
        <v>-1345</v>
      </c>
      <c r="Q255" s="38">
        <f t="shared" si="8"/>
        <v>14.94444444</v>
      </c>
      <c r="R255" s="22">
        <f t="shared" si="9"/>
        <v>1809025</v>
      </c>
      <c r="S255" s="20"/>
      <c r="T255" s="22">
        <f t="shared" si="10"/>
        <v>-1613</v>
      </c>
      <c r="U255" s="38">
        <f t="shared" si="11"/>
        <v>17.92222222</v>
      </c>
      <c r="V255" s="22">
        <f t="shared" si="12"/>
        <v>2601769</v>
      </c>
    </row>
    <row r="256">
      <c r="A256" s="2">
        <v>40911.0</v>
      </c>
      <c r="B256" s="5">
        <v>558.0</v>
      </c>
      <c r="C256" s="22">
        <f t="shared" si="2"/>
        <v>1536</v>
      </c>
      <c r="D256" s="22">
        <f t="shared" si="3"/>
        <v>1430</v>
      </c>
      <c r="E256" s="22">
        <f t="shared" si="1"/>
        <v>735</v>
      </c>
      <c r="F256" s="20"/>
      <c r="G256" s="20"/>
      <c r="H256" s="20"/>
      <c r="I256" s="20"/>
      <c r="J256" s="20"/>
      <c r="K256" s="20"/>
      <c r="L256" s="22">
        <f t="shared" si="4"/>
        <v>-978</v>
      </c>
      <c r="M256" s="38">
        <f t="shared" si="5"/>
        <v>1.752688172</v>
      </c>
      <c r="N256" s="22">
        <f t="shared" si="6"/>
        <v>956484</v>
      </c>
      <c r="O256" s="20"/>
      <c r="P256" s="22">
        <f t="shared" si="7"/>
        <v>-872</v>
      </c>
      <c r="Q256" s="38">
        <f t="shared" si="8"/>
        <v>1.562724014</v>
      </c>
      <c r="R256" s="22">
        <f t="shared" si="9"/>
        <v>760384</v>
      </c>
      <c r="S256" s="20"/>
      <c r="T256" s="22">
        <f t="shared" si="10"/>
        <v>-177</v>
      </c>
      <c r="U256" s="38">
        <f t="shared" si="11"/>
        <v>0.3172043011</v>
      </c>
      <c r="V256" s="22">
        <f t="shared" si="12"/>
        <v>31329</v>
      </c>
    </row>
    <row r="257">
      <c r="A257" s="2">
        <v>40912.0</v>
      </c>
      <c r="B257" s="5">
        <v>10092.0</v>
      </c>
      <c r="C257" s="22">
        <f t="shared" si="2"/>
        <v>1433</v>
      </c>
      <c r="D257" s="22">
        <f t="shared" si="3"/>
        <v>1427</v>
      </c>
      <c r="E257" s="22">
        <f t="shared" si="1"/>
        <v>629</v>
      </c>
      <c r="F257" s="20"/>
      <c r="G257" s="20"/>
      <c r="H257" s="20"/>
      <c r="I257" s="20"/>
      <c r="J257" s="20"/>
      <c r="K257" s="20"/>
      <c r="L257" s="22">
        <f t="shared" si="4"/>
        <v>8659</v>
      </c>
      <c r="M257" s="38">
        <f t="shared" si="5"/>
        <v>0.8580063417</v>
      </c>
      <c r="N257" s="22">
        <f t="shared" si="6"/>
        <v>74978281</v>
      </c>
      <c r="O257" s="20"/>
      <c r="P257" s="22">
        <f t="shared" si="7"/>
        <v>8665</v>
      </c>
      <c r="Q257" s="38">
        <f t="shared" si="8"/>
        <v>0.858600872</v>
      </c>
      <c r="R257" s="22">
        <f t="shared" si="9"/>
        <v>75082225</v>
      </c>
      <c r="S257" s="20"/>
      <c r="T257" s="22">
        <f t="shared" si="10"/>
        <v>9463</v>
      </c>
      <c r="U257" s="38">
        <f t="shared" si="11"/>
        <v>0.9376734047</v>
      </c>
      <c r="V257" s="22">
        <f t="shared" si="12"/>
        <v>89548369</v>
      </c>
    </row>
    <row r="258">
      <c r="A258" s="2">
        <v>40913.0</v>
      </c>
      <c r="B258" s="5">
        <v>642.0</v>
      </c>
      <c r="C258" s="22">
        <f t="shared" si="2"/>
        <v>3386</v>
      </c>
      <c r="D258" s="22">
        <f t="shared" si="3"/>
        <v>1461</v>
      </c>
      <c r="E258" s="22">
        <f t="shared" si="1"/>
        <v>6307</v>
      </c>
      <c r="F258" s="20"/>
      <c r="G258" s="20"/>
      <c r="H258" s="20"/>
      <c r="I258" s="20"/>
      <c r="J258" s="20"/>
      <c r="K258" s="20"/>
      <c r="L258" s="22">
        <f t="shared" si="4"/>
        <v>-2744</v>
      </c>
      <c r="M258" s="38">
        <f t="shared" si="5"/>
        <v>4.274143302</v>
      </c>
      <c r="N258" s="22">
        <f t="shared" si="6"/>
        <v>7529536</v>
      </c>
      <c r="O258" s="20"/>
      <c r="P258" s="22">
        <f t="shared" si="7"/>
        <v>-819</v>
      </c>
      <c r="Q258" s="38">
        <f t="shared" si="8"/>
        <v>1.275700935</v>
      </c>
      <c r="R258" s="22">
        <f t="shared" si="9"/>
        <v>670761</v>
      </c>
      <c r="S258" s="20"/>
      <c r="T258" s="22">
        <f t="shared" si="10"/>
        <v>-5665</v>
      </c>
      <c r="U258" s="38">
        <f t="shared" si="11"/>
        <v>8.823987539</v>
      </c>
      <c r="V258" s="22">
        <f t="shared" si="12"/>
        <v>32092225</v>
      </c>
    </row>
    <row r="259">
      <c r="A259" s="2">
        <v>40914.0</v>
      </c>
      <c r="B259" s="5">
        <v>258.0</v>
      </c>
      <c r="C259" s="22">
        <f t="shared" si="2"/>
        <v>2297</v>
      </c>
      <c r="D259" s="22">
        <f t="shared" si="3"/>
        <v>1457</v>
      </c>
      <c r="E259" s="22">
        <f t="shared" si="1"/>
        <v>2908</v>
      </c>
      <c r="F259" s="20"/>
      <c r="G259" s="20"/>
      <c r="H259" s="20"/>
      <c r="I259" s="20"/>
      <c r="J259" s="20"/>
      <c r="K259" s="20"/>
      <c r="L259" s="22">
        <f t="shared" si="4"/>
        <v>-2039</v>
      </c>
      <c r="M259" s="38">
        <f t="shared" si="5"/>
        <v>7.903100775</v>
      </c>
      <c r="N259" s="22">
        <f t="shared" si="6"/>
        <v>4157521</v>
      </c>
      <c r="O259" s="20"/>
      <c r="P259" s="22">
        <f t="shared" si="7"/>
        <v>-1199</v>
      </c>
      <c r="Q259" s="38">
        <f t="shared" si="8"/>
        <v>4.647286822</v>
      </c>
      <c r="R259" s="22">
        <f t="shared" si="9"/>
        <v>1437601</v>
      </c>
      <c r="S259" s="20"/>
      <c r="T259" s="22">
        <f t="shared" si="10"/>
        <v>-2650</v>
      </c>
      <c r="U259" s="38">
        <f t="shared" si="11"/>
        <v>10.27131783</v>
      </c>
      <c r="V259" s="22">
        <f t="shared" si="12"/>
        <v>7022500</v>
      </c>
    </row>
    <row r="260">
      <c r="A260" s="2">
        <v>40917.0</v>
      </c>
      <c r="B260" s="5">
        <v>402.0</v>
      </c>
      <c r="C260" s="22">
        <f t="shared" si="2"/>
        <v>2328</v>
      </c>
      <c r="D260" s="22">
        <f t="shared" si="3"/>
        <v>1453</v>
      </c>
      <c r="E260" s="22">
        <f t="shared" si="1"/>
        <v>1318</v>
      </c>
      <c r="F260" s="20"/>
      <c r="G260" s="20"/>
      <c r="H260" s="20"/>
      <c r="I260" s="20"/>
      <c r="J260" s="20"/>
      <c r="K260" s="20"/>
      <c r="L260" s="22">
        <f t="shared" si="4"/>
        <v>-1926</v>
      </c>
      <c r="M260" s="38">
        <f t="shared" si="5"/>
        <v>4.791044776</v>
      </c>
      <c r="N260" s="22">
        <f t="shared" si="6"/>
        <v>3709476</v>
      </c>
      <c r="O260" s="20"/>
      <c r="P260" s="22">
        <f t="shared" si="7"/>
        <v>-1051</v>
      </c>
      <c r="Q260" s="38">
        <f t="shared" si="8"/>
        <v>2.614427861</v>
      </c>
      <c r="R260" s="22">
        <f t="shared" si="9"/>
        <v>1104601</v>
      </c>
      <c r="S260" s="20"/>
      <c r="T260" s="22">
        <f t="shared" si="10"/>
        <v>-916</v>
      </c>
      <c r="U260" s="38">
        <f t="shared" si="11"/>
        <v>2.278606965</v>
      </c>
      <c r="V260" s="22">
        <f t="shared" si="12"/>
        <v>839056</v>
      </c>
    </row>
    <row r="261">
      <c r="A261" s="2">
        <v>40918.0</v>
      </c>
      <c r="B261" s="5">
        <v>132.0</v>
      </c>
      <c r="C261" s="22">
        <f t="shared" si="2"/>
        <v>2390</v>
      </c>
      <c r="D261" s="22">
        <f t="shared" si="3"/>
        <v>1449</v>
      </c>
      <c r="E261" s="22">
        <f t="shared" si="1"/>
        <v>768</v>
      </c>
      <c r="F261" s="20"/>
      <c r="G261" s="20"/>
      <c r="H261" s="20"/>
      <c r="I261" s="20"/>
      <c r="J261" s="20"/>
      <c r="K261" s="20"/>
      <c r="L261" s="22">
        <f t="shared" si="4"/>
        <v>-2258</v>
      </c>
      <c r="M261" s="38">
        <f t="shared" si="5"/>
        <v>17.10606061</v>
      </c>
      <c r="N261" s="22">
        <f t="shared" si="6"/>
        <v>5098564</v>
      </c>
      <c r="O261" s="20"/>
      <c r="P261" s="22">
        <f t="shared" si="7"/>
        <v>-1317</v>
      </c>
      <c r="Q261" s="38">
        <f t="shared" si="8"/>
        <v>9.977272727</v>
      </c>
      <c r="R261" s="22">
        <f t="shared" si="9"/>
        <v>1734489</v>
      </c>
      <c r="S261" s="20"/>
      <c r="T261" s="22">
        <f t="shared" si="10"/>
        <v>-636</v>
      </c>
      <c r="U261" s="38">
        <f t="shared" si="11"/>
        <v>4.818181818</v>
      </c>
      <c r="V261" s="22">
        <f t="shared" si="12"/>
        <v>404496</v>
      </c>
    </row>
    <row r="262">
      <c r="A262" s="2">
        <v>40919.0</v>
      </c>
      <c r="B262" s="5">
        <v>6306.0</v>
      </c>
      <c r="C262" s="22">
        <f t="shared" si="2"/>
        <v>2305</v>
      </c>
      <c r="D262" s="22">
        <f t="shared" si="3"/>
        <v>1444</v>
      </c>
      <c r="E262" s="22">
        <f t="shared" si="1"/>
        <v>386</v>
      </c>
      <c r="F262" s="20"/>
      <c r="G262" s="20"/>
      <c r="H262" s="20"/>
      <c r="I262" s="20"/>
      <c r="J262" s="20"/>
      <c r="K262" s="20"/>
      <c r="L262" s="22">
        <f t="shared" si="4"/>
        <v>4001</v>
      </c>
      <c r="M262" s="38">
        <f t="shared" si="5"/>
        <v>0.6344751031</v>
      </c>
      <c r="N262" s="22">
        <f t="shared" si="6"/>
        <v>16008001</v>
      </c>
      <c r="O262" s="20"/>
      <c r="P262" s="22">
        <f t="shared" si="7"/>
        <v>4862</v>
      </c>
      <c r="Q262" s="38">
        <f t="shared" si="8"/>
        <v>0.7710117349</v>
      </c>
      <c r="R262" s="22">
        <f t="shared" si="9"/>
        <v>23639044</v>
      </c>
      <c r="S262" s="20"/>
      <c r="T262" s="22">
        <f t="shared" si="10"/>
        <v>5920</v>
      </c>
      <c r="U262" s="38">
        <f t="shared" si="11"/>
        <v>0.9387884554</v>
      </c>
      <c r="V262" s="22">
        <f t="shared" si="12"/>
        <v>35046400</v>
      </c>
    </row>
    <row r="263">
      <c r="A263" s="2">
        <v>40920.0</v>
      </c>
      <c r="B263" s="5">
        <v>876.0</v>
      </c>
      <c r="C263" s="22">
        <f t="shared" si="2"/>
        <v>1548</v>
      </c>
      <c r="D263" s="22">
        <f t="shared" si="3"/>
        <v>1462</v>
      </c>
      <c r="E263" s="22">
        <f t="shared" si="1"/>
        <v>3938</v>
      </c>
      <c r="F263" s="20"/>
      <c r="G263" s="20"/>
      <c r="H263" s="20"/>
      <c r="I263" s="20"/>
      <c r="J263" s="20"/>
      <c r="K263" s="20"/>
      <c r="L263" s="22">
        <f t="shared" si="4"/>
        <v>-672</v>
      </c>
      <c r="M263" s="38">
        <f t="shared" si="5"/>
        <v>0.7671232877</v>
      </c>
      <c r="N263" s="22">
        <f t="shared" si="6"/>
        <v>451584</v>
      </c>
      <c r="O263" s="20"/>
      <c r="P263" s="22">
        <f t="shared" si="7"/>
        <v>-586</v>
      </c>
      <c r="Q263" s="38">
        <f t="shared" si="8"/>
        <v>0.6689497717</v>
      </c>
      <c r="R263" s="22">
        <f t="shared" si="9"/>
        <v>343396</v>
      </c>
      <c r="S263" s="20"/>
      <c r="T263" s="22">
        <f t="shared" si="10"/>
        <v>-3062</v>
      </c>
      <c r="U263" s="38">
        <f t="shared" si="11"/>
        <v>3.49543379</v>
      </c>
      <c r="V263" s="22">
        <f t="shared" si="12"/>
        <v>9375844</v>
      </c>
    </row>
    <row r="264">
      <c r="A264" s="2">
        <v>40921.0</v>
      </c>
      <c r="B264" s="5">
        <v>174.0</v>
      </c>
      <c r="C264" s="22">
        <f t="shared" si="2"/>
        <v>1595</v>
      </c>
      <c r="D264" s="22">
        <f t="shared" si="3"/>
        <v>1460</v>
      </c>
      <c r="E264" s="22">
        <f t="shared" si="1"/>
        <v>2101</v>
      </c>
      <c r="F264" s="20"/>
      <c r="G264" s="20"/>
      <c r="H264" s="20"/>
      <c r="I264" s="20"/>
      <c r="J264" s="20"/>
      <c r="K264" s="20"/>
      <c r="L264" s="22">
        <f t="shared" si="4"/>
        <v>-1421</v>
      </c>
      <c r="M264" s="38">
        <f t="shared" si="5"/>
        <v>8.166666667</v>
      </c>
      <c r="N264" s="22">
        <f t="shared" si="6"/>
        <v>2019241</v>
      </c>
      <c r="O264" s="20"/>
      <c r="P264" s="22">
        <f t="shared" si="7"/>
        <v>-1286</v>
      </c>
      <c r="Q264" s="38">
        <f t="shared" si="8"/>
        <v>7.390804598</v>
      </c>
      <c r="R264" s="22">
        <f t="shared" si="9"/>
        <v>1653796</v>
      </c>
      <c r="S264" s="20"/>
      <c r="T264" s="22">
        <f t="shared" si="10"/>
        <v>-1927</v>
      </c>
      <c r="U264" s="38">
        <f t="shared" si="11"/>
        <v>11.07471264</v>
      </c>
      <c r="V264" s="22">
        <f t="shared" si="12"/>
        <v>3713329</v>
      </c>
    </row>
    <row r="265">
      <c r="A265" s="2">
        <v>40924.0</v>
      </c>
      <c r="B265" s="5">
        <v>420.0</v>
      </c>
      <c r="C265" s="22">
        <f t="shared" si="2"/>
        <v>1578</v>
      </c>
      <c r="D265" s="22">
        <f t="shared" si="3"/>
        <v>1455</v>
      </c>
      <c r="E265" s="22">
        <f t="shared" si="1"/>
        <v>945</v>
      </c>
      <c r="F265" s="20"/>
      <c r="G265" s="20"/>
      <c r="H265" s="20"/>
      <c r="I265" s="20"/>
      <c r="J265" s="20"/>
      <c r="K265" s="20"/>
      <c r="L265" s="22">
        <f t="shared" si="4"/>
        <v>-1158</v>
      </c>
      <c r="M265" s="38">
        <f t="shared" si="5"/>
        <v>2.757142857</v>
      </c>
      <c r="N265" s="22">
        <f t="shared" si="6"/>
        <v>1340964</v>
      </c>
      <c r="O265" s="20"/>
      <c r="P265" s="22">
        <f t="shared" si="7"/>
        <v>-1035</v>
      </c>
      <c r="Q265" s="38">
        <f t="shared" si="8"/>
        <v>2.464285714</v>
      </c>
      <c r="R265" s="22">
        <f t="shared" si="9"/>
        <v>1071225</v>
      </c>
      <c r="S265" s="20"/>
      <c r="T265" s="22">
        <f t="shared" si="10"/>
        <v>-525</v>
      </c>
      <c r="U265" s="38">
        <f t="shared" si="11"/>
        <v>1.25</v>
      </c>
      <c r="V265" s="22">
        <f t="shared" si="12"/>
        <v>275625</v>
      </c>
    </row>
    <row r="266">
      <c r="A266" s="2">
        <v>40925.0</v>
      </c>
      <c r="B266" s="5">
        <v>138.0</v>
      </c>
      <c r="C266" s="22">
        <f t="shared" si="2"/>
        <v>1582</v>
      </c>
      <c r="D266" s="22">
        <f t="shared" si="3"/>
        <v>1451</v>
      </c>
      <c r="E266" s="22">
        <f t="shared" si="1"/>
        <v>630</v>
      </c>
      <c r="F266" s="20"/>
      <c r="G266" s="20"/>
      <c r="H266" s="20"/>
      <c r="I266" s="20"/>
      <c r="J266" s="20"/>
      <c r="K266" s="20"/>
      <c r="L266" s="22">
        <f t="shared" si="4"/>
        <v>-1444</v>
      </c>
      <c r="M266" s="38">
        <f t="shared" si="5"/>
        <v>10.46376812</v>
      </c>
      <c r="N266" s="22">
        <f t="shared" si="6"/>
        <v>2085136</v>
      </c>
      <c r="O266" s="20"/>
      <c r="P266" s="22">
        <f t="shared" si="7"/>
        <v>-1313</v>
      </c>
      <c r="Q266" s="38">
        <f t="shared" si="8"/>
        <v>9.514492754</v>
      </c>
      <c r="R266" s="22">
        <f t="shared" si="9"/>
        <v>1723969</v>
      </c>
      <c r="S266" s="20"/>
      <c r="T266" s="22">
        <f t="shared" si="10"/>
        <v>-492</v>
      </c>
      <c r="U266" s="38">
        <f t="shared" si="11"/>
        <v>3.565217391</v>
      </c>
      <c r="V266" s="22">
        <f t="shared" si="12"/>
        <v>242064</v>
      </c>
    </row>
    <row r="267">
      <c r="A267" s="2">
        <v>40926.0</v>
      </c>
      <c r="B267" s="5">
        <v>13200.0</v>
      </c>
      <c r="C267" s="22">
        <f t="shared" si="2"/>
        <v>1583</v>
      </c>
      <c r="D267" s="22">
        <f t="shared" si="3"/>
        <v>1446</v>
      </c>
      <c r="E267" s="22">
        <f t="shared" si="1"/>
        <v>335</v>
      </c>
      <c r="F267" s="20"/>
      <c r="G267" s="20"/>
      <c r="H267" s="20"/>
      <c r="I267" s="20"/>
      <c r="J267" s="20"/>
      <c r="K267" s="20"/>
      <c r="L267" s="22">
        <f t="shared" si="4"/>
        <v>11617</v>
      </c>
      <c r="M267" s="38">
        <f t="shared" si="5"/>
        <v>0.8800757576</v>
      </c>
      <c r="N267" s="22">
        <f t="shared" si="6"/>
        <v>134954689</v>
      </c>
      <c r="O267" s="20"/>
      <c r="P267" s="22">
        <f t="shared" si="7"/>
        <v>11754</v>
      </c>
      <c r="Q267" s="38">
        <f t="shared" si="8"/>
        <v>0.8904545455</v>
      </c>
      <c r="R267" s="22">
        <f t="shared" si="9"/>
        <v>138156516</v>
      </c>
      <c r="S267" s="20"/>
      <c r="T267" s="22">
        <f t="shared" si="10"/>
        <v>12865</v>
      </c>
      <c r="U267" s="38">
        <f t="shared" si="11"/>
        <v>0.9746212121</v>
      </c>
      <c r="V267" s="22">
        <f t="shared" si="12"/>
        <v>165508225</v>
      </c>
    </row>
    <row r="268">
      <c r="A268" s="2">
        <v>40927.0</v>
      </c>
      <c r="B268" s="5">
        <v>72.0</v>
      </c>
      <c r="C268" s="22">
        <f t="shared" si="2"/>
        <v>2962</v>
      </c>
      <c r="D268" s="22">
        <f t="shared" si="3"/>
        <v>1491</v>
      </c>
      <c r="E268" s="22">
        <f t="shared" si="1"/>
        <v>8054</v>
      </c>
      <c r="F268" s="20"/>
      <c r="G268" s="20"/>
      <c r="H268" s="20"/>
      <c r="I268" s="20"/>
      <c r="J268" s="20"/>
      <c r="K268" s="20"/>
      <c r="L268" s="22">
        <f t="shared" si="4"/>
        <v>-2890</v>
      </c>
      <c r="M268" s="38">
        <f t="shared" si="5"/>
        <v>40.13888889</v>
      </c>
      <c r="N268" s="22">
        <f t="shared" si="6"/>
        <v>8352100</v>
      </c>
      <c r="O268" s="20"/>
      <c r="P268" s="22">
        <f t="shared" si="7"/>
        <v>-1419</v>
      </c>
      <c r="Q268" s="38">
        <f t="shared" si="8"/>
        <v>19.70833333</v>
      </c>
      <c r="R268" s="22">
        <f t="shared" si="9"/>
        <v>2013561</v>
      </c>
      <c r="S268" s="20"/>
      <c r="T268" s="22">
        <f t="shared" si="10"/>
        <v>-7982</v>
      </c>
      <c r="U268" s="38">
        <f t="shared" si="11"/>
        <v>110.8611111</v>
      </c>
      <c r="V268" s="22">
        <f t="shared" si="12"/>
        <v>63712324</v>
      </c>
    </row>
    <row r="269">
      <c r="A269" s="2">
        <v>40928.0</v>
      </c>
      <c r="B269" s="5">
        <v>528.0</v>
      </c>
      <c r="C269" s="22">
        <f t="shared" si="2"/>
        <v>2801</v>
      </c>
      <c r="D269" s="22">
        <f t="shared" si="3"/>
        <v>1485</v>
      </c>
      <c r="E269" s="22">
        <f t="shared" si="1"/>
        <v>3265</v>
      </c>
      <c r="F269" s="20"/>
      <c r="G269" s="20"/>
      <c r="H269" s="20"/>
      <c r="I269" s="20"/>
      <c r="J269" s="20"/>
      <c r="K269" s="20"/>
      <c r="L269" s="22">
        <f t="shared" si="4"/>
        <v>-2273</v>
      </c>
      <c r="M269" s="38">
        <f t="shared" si="5"/>
        <v>4.304924242</v>
      </c>
      <c r="N269" s="22">
        <f t="shared" si="6"/>
        <v>5166529</v>
      </c>
      <c r="O269" s="20"/>
      <c r="P269" s="22">
        <f t="shared" si="7"/>
        <v>-957</v>
      </c>
      <c r="Q269" s="38">
        <f t="shared" si="8"/>
        <v>1.8125</v>
      </c>
      <c r="R269" s="22">
        <f t="shared" si="9"/>
        <v>915849</v>
      </c>
      <c r="S269" s="20"/>
      <c r="T269" s="22">
        <f t="shared" si="10"/>
        <v>-2737</v>
      </c>
      <c r="U269" s="38">
        <f t="shared" si="11"/>
        <v>5.183712121</v>
      </c>
      <c r="V269" s="22">
        <f t="shared" si="12"/>
        <v>7491169</v>
      </c>
    </row>
    <row r="270">
      <c r="A270" s="2">
        <v>40931.0</v>
      </c>
      <c r="B270" s="5">
        <v>516.0</v>
      </c>
      <c r="C270" s="22">
        <f t="shared" si="2"/>
        <v>2872</v>
      </c>
      <c r="D270" s="22">
        <f t="shared" si="3"/>
        <v>1482</v>
      </c>
      <c r="E270" s="22">
        <f t="shared" si="1"/>
        <v>1623</v>
      </c>
      <c r="F270" s="20"/>
      <c r="G270" s="20"/>
      <c r="H270" s="20"/>
      <c r="I270" s="20"/>
      <c r="J270" s="20"/>
      <c r="K270" s="20"/>
      <c r="L270" s="22">
        <f t="shared" si="4"/>
        <v>-2356</v>
      </c>
      <c r="M270" s="38">
        <f t="shared" si="5"/>
        <v>4.565891473</v>
      </c>
      <c r="N270" s="22">
        <f t="shared" si="6"/>
        <v>5550736</v>
      </c>
      <c r="O270" s="20"/>
      <c r="P270" s="22">
        <f t="shared" si="7"/>
        <v>-966</v>
      </c>
      <c r="Q270" s="38">
        <f t="shared" si="8"/>
        <v>1.872093023</v>
      </c>
      <c r="R270" s="22">
        <f t="shared" si="9"/>
        <v>933156</v>
      </c>
      <c r="S270" s="20"/>
      <c r="T270" s="22">
        <f t="shared" si="10"/>
        <v>-1107</v>
      </c>
      <c r="U270" s="38">
        <f t="shared" si="11"/>
        <v>2.145348837</v>
      </c>
      <c r="V270" s="22">
        <f t="shared" si="12"/>
        <v>1225449</v>
      </c>
    </row>
    <row r="271">
      <c r="A271" s="2">
        <v>40932.0</v>
      </c>
      <c r="B271" s="5">
        <v>3690.0</v>
      </c>
      <c r="C271" s="22">
        <f t="shared" si="2"/>
        <v>2891</v>
      </c>
      <c r="D271" s="22">
        <f t="shared" si="3"/>
        <v>1478</v>
      </c>
      <c r="E271" s="22">
        <f t="shared" si="1"/>
        <v>959</v>
      </c>
      <c r="F271" s="20"/>
      <c r="G271" s="20"/>
      <c r="H271" s="20"/>
      <c r="I271" s="20"/>
      <c r="J271" s="20"/>
      <c r="K271" s="20"/>
      <c r="L271" s="22">
        <f t="shared" si="4"/>
        <v>799</v>
      </c>
      <c r="M271" s="38">
        <f t="shared" si="5"/>
        <v>0.2165311653</v>
      </c>
      <c r="N271" s="22">
        <f t="shared" si="6"/>
        <v>638401</v>
      </c>
      <c r="O271" s="20"/>
      <c r="P271" s="22">
        <f t="shared" si="7"/>
        <v>2212</v>
      </c>
      <c r="Q271" s="38">
        <f t="shared" si="8"/>
        <v>0.5994579946</v>
      </c>
      <c r="R271" s="22">
        <f t="shared" si="9"/>
        <v>4892944</v>
      </c>
      <c r="S271" s="20"/>
      <c r="T271" s="22">
        <f t="shared" si="10"/>
        <v>2731</v>
      </c>
      <c r="U271" s="38">
        <f t="shared" si="11"/>
        <v>0.7401084011</v>
      </c>
      <c r="V271" s="22">
        <f t="shared" si="12"/>
        <v>7458361</v>
      </c>
    </row>
    <row r="272">
      <c r="A272" s="2">
        <v>40933.0</v>
      </c>
      <c r="B272" s="5">
        <v>10836.0</v>
      </c>
      <c r="C272" s="22">
        <f t="shared" si="2"/>
        <v>3601</v>
      </c>
      <c r="D272" s="22">
        <f t="shared" si="3"/>
        <v>1486</v>
      </c>
      <c r="E272" s="22">
        <f t="shared" si="1"/>
        <v>2598</v>
      </c>
      <c r="F272" s="20"/>
      <c r="G272" s="20"/>
      <c r="H272" s="20"/>
      <c r="I272" s="20"/>
      <c r="J272" s="20"/>
      <c r="K272" s="20"/>
      <c r="L272" s="22">
        <f t="shared" si="4"/>
        <v>7235</v>
      </c>
      <c r="M272" s="38">
        <f t="shared" si="5"/>
        <v>0.6676818014</v>
      </c>
      <c r="N272" s="22">
        <f t="shared" si="6"/>
        <v>52345225</v>
      </c>
      <c r="O272" s="20"/>
      <c r="P272" s="22">
        <f t="shared" si="7"/>
        <v>9350</v>
      </c>
      <c r="Q272" s="38">
        <f t="shared" si="8"/>
        <v>0.8628645257</v>
      </c>
      <c r="R272" s="22">
        <f t="shared" si="9"/>
        <v>87422500</v>
      </c>
      <c r="S272" s="20"/>
      <c r="T272" s="22">
        <f t="shared" si="10"/>
        <v>8238</v>
      </c>
      <c r="U272" s="38">
        <f t="shared" si="11"/>
        <v>0.7602436323</v>
      </c>
      <c r="V272" s="22">
        <f t="shared" si="12"/>
        <v>67864644</v>
      </c>
    </row>
    <row r="273">
      <c r="A273" s="2">
        <v>40934.0</v>
      </c>
      <c r="B273" s="5">
        <v>1164.0</v>
      </c>
      <c r="C273" s="22">
        <f t="shared" si="2"/>
        <v>3128</v>
      </c>
      <c r="D273" s="22">
        <f t="shared" si="3"/>
        <v>1521</v>
      </c>
      <c r="E273" s="22">
        <f t="shared" si="1"/>
        <v>7541</v>
      </c>
      <c r="F273" s="20"/>
      <c r="G273" s="20"/>
      <c r="H273" s="20"/>
      <c r="I273" s="20"/>
      <c r="J273" s="20"/>
      <c r="K273" s="20"/>
      <c r="L273" s="22">
        <f t="shared" si="4"/>
        <v>-1964</v>
      </c>
      <c r="M273" s="38">
        <f t="shared" si="5"/>
        <v>1.687285223</v>
      </c>
      <c r="N273" s="22">
        <f t="shared" si="6"/>
        <v>3857296</v>
      </c>
      <c r="O273" s="20"/>
      <c r="P273" s="22">
        <f t="shared" si="7"/>
        <v>-357</v>
      </c>
      <c r="Q273" s="38">
        <f t="shared" si="8"/>
        <v>0.3067010309</v>
      </c>
      <c r="R273" s="22">
        <f t="shared" si="9"/>
        <v>127449</v>
      </c>
      <c r="S273" s="20"/>
      <c r="T273" s="22">
        <f t="shared" si="10"/>
        <v>-6377</v>
      </c>
      <c r="U273" s="38">
        <f t="shared" si="11"/>
        <v>5.478522337</v>
      </c>
      <c r="V273" s="22">
        <f t="shared" si="12"/>
        <v>40666129</v>
      </c>
    </row>
    <row r="274">
      <c r="A274" s="2">
        <v>40935.0</v>
      </c>
      <c r="B274" s="5">
        <v>156.0</v>
      </c>
      <c r="C274" s="22">
        <f t="shared" si="2"/>
        <v>3347</v>
      </c>
      <c r="D274" s="22">
        <f t="shared" si="3"/>
        <v>1520</v>
      </c>
      <c r="E274" s="22">
        <f t="shared" si="1"/>
        <v>3715</v>
      </c>
      <c r="F274" s="20"/>
      <c r="G274" s="20"/>
      <c r="H274" s="20"/>
      <c r="I274" s="20"/>
      <c r="J274" s="20"/>
      <c r="K274" s="20"/>
      <c r="L274" s="22">
        <f t="shared" si="4"/>
        <v>-3191</v>
      </c>
      <c r="M274" s="38">
        <f t="shared" si="5"/>
        <v>20.45512821</v>
      </c>
      <c r="N274" s="22">
        <f t="shared" si="6"/>
        <v>10182481</v>
      </c>
      <c r="O274" s="20"/>
      <c r="P274" s="22">
        <f t="shared" si="7"/>
        <v>-1364</v>
      </c>
      <c r="Q274" s="38">
        <f t="shared" si="8"/>
        <v>8.743589744</v>
      </c>
      <c r="R274" s="22">
        <f t="shared" si="9"/>
        <v>1860496</v>
      </c>
      <c r="S274" s="20"/>
      <c r="T274" s="22">
        <f t="shared" si="10"/>
        <v>-3559</v>
      </c>
      <c r="U274" s="38">
        <f t="shared" si="11"/>
        <v>22.81410256</v>
      </c>
      <c r="V274" s="22">
        <f t="shared" si="12"/>
        <v>12666481</v>
      </c>
    </row>
    <row r="275">
      <c r="A275" s="2">
        <v>40938.0</v>
      </c>
      <c r="B275" s="5">
        <v>456.0</v>
      </c>
      <c r="C275" s="22">
        <f t="shared" si="2"/>
        <v>3272</v>
      </c>
      <c r="D275" s="22">
        <f t="shared" si="3"/>
        <v>1515</v>
      </c>
      <c r="E275" s="22">
        <f t="shared" si="1"/>
        <v>1580</v>
      </c>
      <c r="F275" s="20"/>
      <c r="G275" s="20"/>
      <c r="H275" s="20"/>
      <c r="I275" s="20"/>
      <c r="J275" s="20"/>
      <c r="K275" s="20"/>
      <c r="L275" s="22">
        <f t="shared" si="4"/>
        <v>-2816</v>
      </c>
      <c r="M275" s="38">
        <f t="shared" si="5"/>
        <v>6.175438596</v>
      </c>
      <c r="N275" s="22">
        <f t="shared" si="6"/>
        <v>7929856</v>
      </c>
      <c r="O275" s="20"/>
      <c r="P275" s="22">
        <f t="shared" si="7"/>
        <v>-1059</v>
      </c>
      <c r="Q275" s="38">
        <f t="shared" si="8"/>
        <v>2.322368421</v>
      </c>
      <c r="R275" s="22">
        <f t="shared" si="9"/>
        <v>1121481</v>
      </c>
      <c r="S275" s="20"/>
      <c r="T275" s="22">
        <f t="shared" si="10"/>
        <v>-1124</v>
      </c>
      <c r="U275" s="38">
        <f t="shared" si="11"/>
        <v>2.464912281</v>
      </c>
      <c r="V275" s="22">
        <f t="shared" si="12"/>
        <v>1263376</v>
      </c>
    </row>
    <row r="276">
      <c r="A276" s="2">
        <v>40939.0</v>
      </c>
      <c r="B276" s="5">
        <v>3456.0</v>
      </c>
      <c r="C276" s="22">
        <f t="shared" si="2"/>
        <v>3260</v>
      </c>
      <c r="D276" s="22">
        <f t="shared" si="3"/>
        <v>1511</v>
      </c>
      <c r="E276" s="22">
        <f t="shared" si="1"/>
        <v>906</v>
      </c>
      <c r="F276" s="20"/>
      <c r="G276" s="20"/>
      <c r="H276" s="20"/>
      <c r="I276" s="20"/>
      <c r="J276" s="20"/>
      <c r="K276" s="20"/>
      <c r="L276" s="22">
        <f t="shared" si="4"/>
        <v>196</v>
      </c>
      <c r="M276" s="38">
        <f t="shared" si="5"/>
        <v>0.05671296296</v>
      </c>
      <c r="N276" s="22">
        <f t="shared" si="6"/>
        <v>38416</v>
      </c>
      <c r="O276" s="20"/>
      <c r="P276" s="22">
        <f t="shared" si="7"/>
        <v>1945</v>
      </c>
      <c r="Q276" s="38">
        <f t="shared" si="8"/>
        <v>0.5627893519</v>
      </c>
      <c r="R276" s="22">
        <f t="shared" si="9"/>
        <v>3783025</v>
      </c>
      <c r="S276" s="20"/>
      <c r="T276" s="22">
        <f t="shared" si="10"/>
        <v>2550</v>
      </c>
      <c r="U276" s="38">
        <f t="shared" si="11"/>
        <v>0.7378472222</v>
      </c>
      <c r="V276" s="22">
        <f t="shared" si="12"/>
        <v>6502500</v>
      </c>
    </row>
    <row r="277">
      <c r="A277" s="2">
        <v>40940.0</v>
      </c>
      <c r="B277" s="5">
        <v>5082.0</v>
      </c>
      <c r="C277" s="22">
        <f t="shared" si="2"/>
        <v>3214</v>
      </c>
      <c r="D277" s="22">
        <f t="shared" si="3"/>
        <v>1518</v>
      </c>
      <c r="E277" s="22">
        <f t="shared" si="1"/>
        <v>2436</v>
      </c>
      <c r="F277" s="20"/>
      <c r="G277" s="20"/>
      <c r="H277" s="20"/>
      <c r="I277" s="20"/>
      <c r="J277" s="20"/>
      <c r="K277" s="20"/>
      <c r="L277" s="22">
        <f t="shared" si="4"/>
        <v>1868</v>
      </c>
      <c r="M277" s="38">
        <f t="shared" si="5"/>
        <v>0.3675718221</v>
      </c>
      <c r="N277" s="22">
        <f t="shared" si="6"/>
        <v>3489424</v>
      </c>
      <c r="O277" s="20"/>
      <c r="P277" s="22">
        <f t="shared" si="7"/>
        <v>3564</v>
      </c>
      <c r="Q277" s="38">
        <f t="shared" si="8"/>
        <v>0.7012987013</v>
      </c>
      <c r="R277" s="22">
        <f t="shared" si="9"/>
        <v>12702096</v>
      </c>
      <c r="S277" s="20"/>
      <c r="T277" s="22">
        <f t="shared" si="10"/>
        <v>2646</v>
      </c>
      <c r="U277" s="38">
        <f t="shared" si="11"/>
        <v>0.520661157</v>
      </c>
      <c r="V277" s="22">
        <f t="shared" si="12"/>
        <v>7001316</v>
      </c>
    </row>
    <row r="278">
      <c r="A278" s="2">
        <v>40941.0</v>
      </c>
      <c r="B278" s="5">
        <v>744.0</v>
      </c>
      <c r="C278" s="22">
        <f t="shared" si="2"/>
        <v>2063</v>
      </c>
      <c r="D278" s="22">
        <f t="shared" si="3"/>
        <v>1531</v>
      </c>
      <c r="E278" s="22">
        <f t="shared" si="1"/>
        <v>4024</v>
      </c>
      <c r="F278" s="20"/>
      <c r="G278" s="20"/>
      <c r="H278" s="20"/>
      <c r="I278" s="20"/>
      <c r="J278" s="20"/>
      <c r="K278" s="20"/>
      <c r="L278" s="22">
        <f t="shared" si="4"/>
        <v>-1319</v>
      </c>
      <c r="M278" s="38">
        <f t="shared" si="5"/>
        <v>1.772849462</v>
      </c>
      <c r="N278" s="22">
        <f t="shared" si="6"/>
        <v>1739761</v>
      </c>
      <c r="O278" s="20"/>
      <c r="P278" s="22">
        <f t="shared" si="7"/>
        <v>-787</v>
      </c>
      <c r="Q278" s="38">
        <f t="shared" si="8"/>
        <v>1.057795699</v>
      </c>
      <c r="R278" s="22">
        <f t="shared" si="9"/>
        <v>619369</v>
      </c>
      <c r="S278" s="20"/>
      <c r="T278" s="22">
        <f t="shared" si="10"/>
        <v>-3280</v>
      </c>
      <c r="U278" s="38">
        <f t="shared" si="11"/>
        <v>4.408602151</v>
      </c>
      <c r="V278" s="22">
        <f t="shared" si="12"/>
        <v>10758400</v>
      </c>
    </row>
    <row r="279">
      <c r="A279" s="2">
        <v>40942.0</v>
      </c>
      <c r="B279" s="5">
        <v>168.0</v>
      </c>
      <c r="C279" s="22">
        <f t="shared" si="2"/>
        <v>1979</v>
      </c>
      <c r="D279" s="22">
        <f t="shared" si="3"/>
        <v>1528</v>
      </c>
      <c r="E279" s="22">
        <f t="shared" si="1"/>
        <v>2056</v>
      </c>
      <c r="F279" s="20"/>
      <c r="G279" s="20"/>
      <c r="H279" s="20"/>
      <c r="I279" s="20"/>
      <c r="J279" s="20"/>
      <c r="K279" s="20"/>
      <c r="L279" s="22">
        <f t="shared" si="4"/>
        <v>-1811</v>
      </c>
      <c r="M279" s="38">
        <f t="shared" si="5"/>
        <v>10.7797619</v>
      </c>
      <c r="N279" s="22">
        <f t="shared" si="6"/>
        <v>3279721</v>
      </c>
      <c r="O279" s="20"/>
      <c r="P279" s="22">
        <f t="shared" si="7"/>
        <v>-1360</v>
      </c>
      <c r="Q279" s="38">
        <f t="shared" si="8"/>
        <v>8.095238095</v>
      </c>
      <c r="R279" s="22">
        <f t="shared" si="9"/>
        <v>1849600</v>
      </c>
      <c r="S279" s="20"/>
      <c r="T279" s="22">
        <f t="shared" si="10"/>
        <v>-1888</v>
      </c>
      <c r="U279" s="38">
        <f t="shared" si="11"/>
        <v>11.23809524</v>
      </c>
      <c r="V279" s="22">
        <f t="shared" si="12"/>
        <v>3564544</v>
      </c>
    </row>
    <row r="280">
      <c r="A280" s="2">
        <v>40945.0</v>
      </c>
      <c r="B280" s="5">
        <v>624.0</v>
      </c>
      <c r="C280" s="22">
        <f t="shared" si="2"/>
        <v>1981</v>
      </c>
      <c r="D280" s="22">
        <f t="shared" si="3"/>
        <v>1523</v>
      </c>
      <c r="E280" s="22">
        <f t="shared" si="1"/>
        <v>923</v>
      </c>
      <c r="F280" s="20"/>
      <c r="G280" s="20"/>
      <c r="H280" s="20"/>
      <c r="I280" s="20"/>
      <c r="J280" s="20"/>
      <c r="K280" s="20"/>
      <c r="L280" s="22">
        <f t="shared" si="4"/>
        <v>-1357</v>
      </c>
      <c r="M280" s="38">
        <f t="shared" si="5"/>
        <v>2.174679487</v>
      </c>
      <c r="N280" s="22">
        <f t="shared" si="6"/>
        <v>1841449</v>
      </c>
      <c r="O280" s="20"/>
      <c r="P280" s="22">
        <f t="shared" si="7"/>
        <v>-899</v>
      </c>
      <c r="Q280" s="38">
        <f t="shared" si="8"/>
        <v>1.440705128</v>
      </c>
      <c r="R280" s="22">
        <f t="shared" si="9"/>
        <v>808201</v>
      </c>
      <c r="S280" s="20"/>
      <c r="T280" s="22">
        <f t="shared" si="10"/>
        <v>-299</v>
      </c>
      <c r="U280" s="38">
        <f t="shared" si="11"/>
        <v>0.4791666667</v>
      </c>
      <c r="V280" s="22">
        <f t="shared" si="12"/>
        <v>89401</v>
      </c>
    </row>
    <row r="281">
      <c r="A281" s="2">
        <v>40946.0</v>
      </c>
      <c r="B281" s="5">
        <v>3906.0</v>
      </c>
      <c r="C281" s="22">
        <f t="shared" si="2"/>
        <v>2015</v>
      </c>
      <c r="D281" s="22">
        <f t="shared" si="3"/>
        <v>1520</v>
      </c>
      <c r="E281" s="22">
        <f t="shared" si="1"/>
        <v>744</v>
      </c>
      <c r="F281" s="20"/>
      <c r="G281" s="20"/>
      <c r="H281" s="20"/>
      <c r="I281" s="20"/>
      <c r="J281" s="20"/>
      <c r="K281" s="20"/>
      <c r="L281" s="22">
        <f t="shared" si="4"/>
        <v>1891</v>
      </c>
      <c r="M281" s="38">
        <f t="shared" si="5"/>
        <v>0.4841269841</v>
      </c>
      <c r="N281" s="22">
        <f t="shared" si="6"/>
        <v>3575881</v>
      </c>
      <c r="O281" s="20"/>
      <c r="P281" s="22">
        <f t="shared" si="7"/>
        <v>2386</v>
      </c>
      <c r="Q281" s="38">
        <f t="shared" si="8"/>
        <v>0.6108550947</v>
      </c>
      <c r="R281" s="22">
        <f t="shared" si="9"/>
        <v>5692996</v>
      </c>
      <c r="S281" s="20"/>
      <c r="T281" s="22">
        <f t="shared" si="10"/>
        <v>3162</v>
      </c>
      <c r="U281" s="38">
        <f t="shared" si="11"/>
        <v>0.8095238095</v>
      </c>
      <c r="V281" s="22">
        <f t="shared" si="12"/>
        <v>9998244</v>
      </c>
    </row>
    <row r="282">
      <c r="A282" s="2">
        <v>40947.0</v>
      </c>
      <c r="B282" s="5">
        <v>6366.0</v>
      </c>
      <c r="C282" s="22">
        <f t="shared" si="2"/>
        <v>2105</v>
      </c>
      <c r="D282" s="22">
        <f t="shared" si="3"/>
        <v>1528</v>
      </c>
      <c r="E282" s="22">
        <f t="shared" si="1"/>
        <v>2641</v>
      </c>
      <c r="F282" s="20"/>
      <c r="G282" s="20"/>
      <c r="H282" s="20"/>
      <c r="I282" s="20"/>
      <c r="J282" s="20"/>
      <c r="K282" s="20"/>
      <c r="L282" s="22">
        <f t="shared" si="4"/>
        <v>4261</v>
      </c>
      <c r="M282" s="38">
        <f t="shared" si="5"/>
        <v>0.6693371034</v>
      </c>
      <c r="N282" s="22">
        <f t="shared" si="6"/>
        <v>18156121</v>
      </c>
      <c r="O282" s="20"/>
      <c r="P282" s="22">
        <f t="shared" si="7"/>
        <v>4838</v>
      </c>
      <c r="Q282" s="38">
        <f t="shared" si="8"/>
        <v>0.7599748665</v>
      </c>
      <c r="R282" s="22">
        <f t="shared" si="9"/>
        <v>23406244</v>
      </c>
      <c r="S282" s="20"/>
      <c r="T282" s="22">
        <f t="shared" si="10"/>
        <v>3725</v>
      </c>
      <c r="U282" s="38">
        <f t="shared" si="11"/>
        <v>0.5851398052</v>
      </c>
      <c r="V282" s="22">
        <f t="shared" si="12"/>
        <v>13875625</v>
      </c>
    </row>
    <row r="283">
      <c r="A283" s="2">
        <v>40948.0</v>
      </c>
      <c r="B283" s="5">
        <v>1014.0</v>
      </c>
      <c r="C283" s="22">
        <f t="shared" si="2"/>
        <v>2362</v>
      </c>
      <c r="D283" s="22">
        <f t="shared" si="3"/>
        <v>1546</v>
      </c>
      <c r="E283" s="22">
        <f t="shared" si="1"/>
        <v>4876</v>
      </c>
      <c r="F283" s="20"/>
      <c r="G283" s="20"/>
      <c r="H283" s="20"/>
      <c r="I283" s="20"/>
      <c r="J283" s="20"/>
      <c r="K283" s="20"/>
      <c r="L283" s="22">
        <f t="shared" si="4"/>
        <v>-1348</v>
      </c>
      <c r="M283" s="38">
        <f t="shared" si="5"/>
        <v>1.32938856</v>
      </c>
      <c r="N283" s="22">
        <f t="shared" si="6"/>
        <v>1817104</v>
      </c>
      <c r="O283" s="20"/>
      <c r="P283" s="22">
        <f t="shared" si="7"/>
        <v>-532</v>
      </c>
      <c r="Q283" s="38">
        <f t="shared" si="8"/>
        <v>0.5246548323</v>
      </c>
      <c r="R283" s="22">
        <f t="shared" si="9"/>
        <v>283024</v>
      </c>
      <c r="S283" s="20"/>
      <c r="T283" s="22">
        <f t="shared" si="10"/>
        <v>-3862</v>
      </c>
      <c r="U283" s="38">
        <f t="shared" si="11"/>
        <v>3.808678501</v>
      </c>
      <c r="V283" s="22">
        <f t="shared" si="12"/>
        <v>14915044</v>
      </c>
    </row>
    <row r="284">
      <c r="A284" s="2">
        <v>40949.0</v>
      </c>
      <c r="B284" s="5">
        <v>96.0</v>
      </c>
      <c r="C284" s="22">
        <f t="shared" si="2"/>
        <v>2416</v>
      </c>
      <c r="D284" s="22">
        <f t="shared" si="3"/>
        <v>1544</v>
      </c>
      <c r="E284" s="22">
        <f t="shared" si="1"/>
        <v>2559</v>
      </c>
      <c r="F284" s="20"/>
      <c r="G284" s="20"/>
      <c r="H284" s="20"/>
      <c r="I284" s="20"/>
      <c r="J284" s="20"/>
      <c r="K284" s="20"/>
      <c r="L284" s="22">
        <f t="shared" si="4"/>
        <v>-2320</v>
      </c>
      <c r="M284" s="38">
        <f t="shared" si="5"/>
        <v>24.16666667</v>
      </c>
      <c r="N284" s="22">
        <f t="shared" si="6"/>
        <v>5382400</v>
      </c>
      <c r="O284" s="20"/>
      <c r="P284" s="22">
        <f t="shared" si="7"/>
        <v>-1448</v>
      </c>
      <c r="Q284" s="38">
        <f t="shared" si="8"/>
        <v>15.08333333</v>
      </c>
      <c r="R284" s="22">
        <f t="shared" si="9"/>
        <v>2096704</v>
      </c>
      <c r="S284" s="20"/>
      <c r="T284" s="22">
        <f t="shared" si="10"/>
        <v>-2463</v>
      </c>
      <c r="U284" s="38">
        <f t="shared" si="11"/>
        <v>25.65625</v>
      </c>
      <c r="V284" s="22">
        <f t="shared" si="12"/>
        <v>6066369</v>
      </c>
    </row>
    <row r="285">
      <c r="A285" s="2">
        <v>40952.0</v>
      </c>
      <c r="B285" s="5">
        <v>648.0</v>
      </c>
      <c r="C285" s="22">
        <f t="shared" si="2"/>
        <v>2401</v>
      </c>
      <c r="D285" s="22">
        <f t="shared" si="3"/>
        <v>1539</v>
      </c>
      <c r="E285" s="22">
        <f t="shared" si="1"/>
        <v>1081</v>
      </c>
      <c r="F285" s="20"/>
      <c r="G285" s="20"/>
      <c r="H285" s="20"/>
      <c r="I285" s="20"/>
      <c r="J285" s="20"/>
      <c r="K285" s="20"/>
      <c r="L285" s="22">
        <f t="shared" si="4"/>
        <v>-1753</v>
      </c>
      <c r="M285" s="38">
        <f t="shared" si="5"/>
        <v>2.705246914</v>
      </c>
      <c r="N285" s="22">
        <f t="shared" si="6"/>
        <v>3073009</v>
      </c>
      <c r="O285" s="20"/>
      <c r="P285" s="22">
        <f t="shared" si="7"/>
        <v>-891</v>
      </c>
      <c r="Q285" s="38">
        <f t="shared" si="8"/>
        <v>1.375</v>
      </c>
      <c r="R285" s="22">
        <f t="shared" si="9"/>
        <v>793881</v>
      </c>
      <c r="S285" s="20"/>
      <c r="T285" s="22">
        <f t="shared" si="10"/>
        <v>-433</v>
      </c>
      <c r="U285" s="38">
        <f t="shared" si="11"/>
        <v>0.6682098765</v>
      </c>
      <c r="V285" s="22">
        <f t="shared" si="12"/>
        <v>187489</v>
      </c>
    </row>
    <row r="286">
      <c r="A286" s="2">
        <v>40953.0</v>
      </c>
      <c r="B286" s="5">
        <v>4212.0</v>
      </c>
      <c r="C286" s="22">
        <f t="shared" si="2"/>
        <v>2406</v>
      </c>
      <c r="D286" s="22">
        <f t="shared" si="3"/>
        <v>1535</v>
      </c>
      <c r="E286" s="22">
        <f t="shared" si="1"/>
        <v>821</v>
      </c>
      <c r="F286" s="20"/>
      <c r="G286" s="20"/>
      <c r="H286" s="20"/>
      <c r="I286" s="20"/>
      <c r="J286" s="20"/>
      <c r="K286" s="20"/>
      <c r="L286" s="22">
        <f t="shared" si="4"/>
        <v>1806</v>
      </c>
      <c r="M286" s="38">
        <f t="shared" si="5"/>
        <v>0.4287749288</v>
      </c>
      <c r="N286" s="22">
        <f t="shared" si="6"/>
        <v>3261636</v>
      </c>
      <c r="O286" s="20"/>
      <c r="P286" s="22">
        <f t="shared" si="7"/>
        <v>2677</v>
      </c>
      <c r="Q286" s="38">
        <f t="shared" si="8"/>
        <v>0.6355650522</v>
      </c>
      <c r="R286" s="22">
        <f t="shared" si="9"/>
        <v>7166329</v>
      </c>
      <c r="S286" s="20"/>
      <c r="T286" s="22">
        <f t="shared" si="10"/>
        <v>3391</v>
      </c>
      <c r="U286" s="38">
        <f t="shared" si="11"/>
        <v>0.8050807217</v>
      </c>
      <c r="V286" s="22">
        <f t="shared" si="12"/>
        <v>11498881</v>
      </c>
    </row>
    <row r="287">
      <c r="A287" s="2">
        <v>40954.0</v>
      </c>
      <c r="B287" s="5">
        <v>3750.0</v>
      </c>
      <c r="C287" s="22">
        <f t="shared" si="2"/>
        <v>2467</v>
      </c>
      <c r="D287" s="22">
        <f t="shared" si="3"/>
        <v>1545</v>
      </c>
      <c r="E287" s="22">
        <f t="shared" si="1"/>
        <v>2856</v>
      </c>
      <c r="F287" s="20"/>
      <c r="G287" s="20"/>
      <c r="H287" s="20"/>
      <c r="I287" s="20"/>
      <c r="J287" s="20"/>
      <c r="K287" s="20"/>
      <c r="L287" s="22">
        <f t="shared" si="4"/>
        <v>1283</v>
      </c>
      <c r="M287" s="38">
        <f t="shared" si="5"/>
        <v>0.3421333333</v>
      </c>
      <c r="N287" s="22">
        <f t="shared" si="6"/>
        <v>1646089</v>
      </c>
      <c r="O287" s="20"/>
      <c r="P287" s="22">
        <f t="shared" si="7"/>
        <v>2205</v>
      </c>
      <c r="Q287" s="38">
        <f t="shared" si="8"/>
        <v>0.588</v>
      </c>
      <c r="R287" s="22">
        <f t="shared" si="9"/>
        <v>4862025</v>
      </c>
      <c r="S287" s="20"/>
      <c r="T287" s="22">
        <f t="shared" si="10"/>
        <v>894</v>
      </c>
      <c r="U287" s="38">
        <f t="shared" si="11"/>
        <v>0.2384</v>
      </c>
      <c r="V287" s="22">
        <f t="shared" si="12"/>
        <v>799236</v>
      </c>
    </row>
    <row r="288">
      <c r="A288" s="2">
        <v>40955.0</v>
      </c>
      <c r="B288" s="5">
        <v>1344.0</v>
      </c>
      <c r="C288" s="22">
        <f t="shared" si="2"/>
        <v>1944</v>
      </c>
      <c r="D288" s="22">
        <f t="shared" si="3"/>
        <v>1553</v>
      </c>
      <c r="E288" s="22">
        <f t="shared" si="1"/>
        <v>3392</v>
      </c>
      <c r="F288" s="20"/>
      <c r="G288" s="20"/>
      <c r="H288" s="20"/>
      <c r="I288" s="20"/>
      <c r="J288" s="20"/>
      <c r="K288" s="20"/>
      <c r="L288" s="22">
        <f t="shared" si="4"/>
        <v>-600</v>
      </c>
      <c r="M288" s="38">
        <f t="shared" si="5"/>
        <v>0.4464285714</v>
      </c>
      <c r="N288" s="22">
        <f t="shared" si="6"/>
        <v>360000</v>
      </c>
      <c r="O288" s="20"/>
      <c r="P288" s="22">
        <f t="shared" si="7"/>
        <v>-209</v>
      </c>
      <c r="Q288" s="38">
        <f t="shared" si="8"/>
        <v>0.1555059524</v>
      </c>
      <c r="R288" s="22">
        <f t="shared" si="9"/>
        <v>43681</v>
      </c>
      <c r="S288" s="20"/>
      <c r="T288" s="22">
        <f t="shared" si="10"/>
        <v>-2048</v>
      </c>
      <c r="U288" s="38">
        <f t="shared" si="11"/>
        <v>1.523809524</v>
      </c>
      <c r="V288" s="22">
        <f t="shared" si="12"/>
        <v>4194304</v>
      </c>
    </row>
    <row r="289">
      <c r="A289" s="2">
        <v>40956.0</v>
      </c>
      <c r="B289" s="5">
        <v>264.0</v>
      </c>
      <c r="C289" s="22">
        <f t="shared" si="2"/>
        <v>2010</v>
      </c>
      <c r="D289" s="22">
        <f t="shared" si="3"/>
        <v>1552</v>
      </c>
      <c r="E289" s="22">
        <f t="shared" si="1"/>
        <v>2163</v>
      </c>
      <c r="F289" s="20"/>
      <c r="G289" s="20"/>
      <c r="H289" s="20"/>
      <c r="I289" s="20"/>
      <c r="J289" s="20"/>
      <c r="K289" s="20"/>
      <c r="L289" s="22">
        <f t="shared" si="4"/>
        <v>-1746</v>
      </c>
      <c r="M289" s="38">
        <f t="shared" si="5"/>
        <v>6.613636364</v>
      </c>
      <c r="N289" s="22">
        <f t="shared" si="6"/>
        <v>3048516</v>
      </c>
      <c r="O289" s="20"/>
      <c r="P289" s="22">
        <f t="shared" si="7"/>
        <v>-1288</v>
      </c>
      <c r="Q289" s="38">
        <f t="shared" si="8"/>
        <v>4.878787879</v>
      </c>
      <c r="R289" s="22">
        <f t="shared" si="9"/>
        <v>1658944</v>
      </c>
      <c r="S289" s="20"/>
      <c r="T289" s="22">
        <f t="shared" si="10"/>
        <v>-1899</v>
      </c>
      <c r="U289" s="38">
        <f t="shared" si="11"/>
        <v>7.193181818</v>
      </c>
      <c r="V289" s="22">
        <f t="shared" si="12"/>
        <v>3606201</v>
      </c>
    </row>
    <row r="290">
      <c r="A290" s="2">
        <v>40959.0</v>
      </c>
      <c r="B290" s="5">
        <v>0.0</v>
      </c>
      <c r="C290" s="22">
        <f t="shared" si="2"/>
        <v>2044</v>
      </c>
      <c r="D290" s="22">
        <f t="shared" si="3"/>
        <v>1547</v>
      </c>
      <c r="E290" s="22">
        <f t="shared" si="1"/>
        <v>1024</v>
      </c>
      <c r="F290" s="20"/>
      <c r="G290" s="20"/>
      <c r="H290" s="20"/>
      <c r="I290" s="20"/>
      <c r="J290" s="20"/>
      <c r="K290" s="20"/>
      <c r="L290" s="22">
        <f t="shared" si="4"/>
        <v>-2044</v>
      </c>
      <c r="M290" s="38">
        <f t="shared" si="5"/>
        <v>1</v>
      </c>
      <c r="N290" s="22">
        <f t="shared" si="6"/>
        <v>4177936</v>
      </c>
      <c r="O290" s="20"/>
      <c r="P290" s="22">
        <f t="shared" si="7"/>
        <v>-1547</v>
      </c>
      <c r="Q290" s="38">
        <f t="shared" si="8"/>
        <v>1</v>
      </c>
      <c r="R290" s="22">
        <f t="shared" si="9"/>
        <v>2393209</v>
      </c>
      <c r="S290" s="20"/>
      <c r="T290" s="22">
        <f t="shared" si="10"/>
        <v>-1024</v>
      </c>
      <c r="U290" s="38">
        <f t="shared" si="11"/>
        <v>1</v>
      </c>
      <c r="V290" s="22">
        <f t="shared" si="12"/>
        <v>1048576</v>
      </c>
    </row>
    <row r="291">
      <c r="A291" s="2">
        <v>40960.0</v>
      </c>
      <c r="B291" s="5">
        <v>3390.0</v>
      </c>
      <c r="C291" s="22">
        <f t="shared" si="2"/>
        <v>1914</v>
      </c>
      <c r="D291" s="22">
        <f t="shared" si="3"/>
        <v>1542</v>
      </c>
      <c r="E291" s="22">
        <f t="shared" si="1"/>
        <v>410</v>
      </c>
      <c r="F291" s="20"/>
      <c r="G291" s="20"/>
      <c r="H291" s="20"/>
      <c r="I291" s="20"/>
      <c r="J291" s="20"/>
      <c r="K291" s="20"/>
      <c r="L291" s="22">
        <f t="shared" si="4"/>
        <v>1476</v>
      </c>
      <c r="M291" s="38">
        <f t="shared" si="5"/>
        <v>0.4353982301</v>
      </c>
      <c r="N291" s="22">
        <f t="shared" si="6"/>
        <v>2178576</v>
      </c>
      <c r="O291" s="20"/>
      <c r="P291" s="22">
        <f t="shared" si="7"/>
        <v>1848</v>
      </c>
      <c r="Q291" s="38">
        <f t="shared" si="8"/>
        <v>0.5451327434</v>
      </c>
      <c r="R291" s="22">
        <f t="shared" si="9"/>
        <v>3415104</v>
      </c>
      <c r="S291" s="20"/>
      <c r="T291" s="22">
        <f t="shared" si="10"/>
        <v>2980</v>
      </c>
      <c r="U291" s="38">
        <f t="shared" si="11"/>
        <v>0.8790560472</v>
      </c>
      <c r="V291" s="22">
        <f t="shared" si="12"/>
        <v>8880400</v>
      </c>
    </row>
    <row r="292">
      <c r="A292" s="2">
        <v>40961.0</v>
      </c>
      <c r="B292" s="5">
        <v>7236.0</v>
      </c>
      <c r="C292" s="22">
        <f t="shared" si="2"/>
        <v>1750</v>
      </c>
      <c r="D292" s="22">
        <f t="shared" si="3"/>
        <v>1548</v>
      </c>
      <c r="E292" s="22">
        <f t="shared" si="1"/>
        <v>2198</v>
      </c>
      <c r="F292" s="20"/>
      <c r="G292" s="20"/>
      <c r="H292" s="20"/>
      <c r="I292" s="20"/>
      <c r="J292" s="20"/>
      <c r="K292" s="20"/>
      <c r="L292" s="22">
        <f t="shared" si="4"/>
        <v>5486</v>
      </c>
      <c r="M292" s="38">
        <f t="shared" si="5"/>
        <v>0.7581536761</v>
      </c>
      <c r="N292" s="22">
        <f t="shared" si="6"/>
        <v>30096196</v>
      </c>
      <c r="O292" s="20"/>
      <c r="P292" s="22">
        <f t="shared" si="7"/>
        <v>5688</v>
      </c>
      <c r="Q292" s="38">
        <f t="shared" si="8"/>
        <v>0.7860696517</v>
      </c>
      <c r="R292" s="22">
        <f t="shared" si="9"/>
        <v>32353344</v>
      </c>
      <c r="S292" s="20"/>
      <c r="T292" s="22">
        <f t="shared" si="10"/>
        <v>5038</v>
      </c>
      <c r="U292" s="38">
        <f t="shared" si="11"/>
        <v>0.6962410171</v>
      </c>
      <c r="V292" s="22">
        <f t="shared" si="12"/>
        <v>25381444</v>
      </c>
    </row>
    <row r="293">
      <c r="A293" s="2">
        <v>40962.0</v>
      </c>
      <c r="B293" s="5">
        <v>846.0</v>
      </c>
      <c r="C293" s="22">
        <f t="shared" si="2"/>
        <v>2447</v>
      </c>
      <c r="D293" s="22">
        <f t="shared" si="3"/>
        <v>1568</v>
      </c>
      <c r="E293" s="22">
        <f t="shared" si="1"/>
        <v>5221</v>
      </c>
      <c r="F293" s="20"/>
      <c r="G293" s="20"/>
      <c r="H293" s="20"/>
      <c r="I293" s="20"/>
      <c r="J293" s="20"/>
      <c r="K293" s="20"/>
      <c r="L293" s="22">
        <f t="shared" si="4"/>
        <v>-1601</v>
      </c>
      <c r="M293" s="38">
        <f t="shared" si="5"/>
        <v>1.892434988</v>
      </c>
      <c r="N293" s="22">
        <f t="shared" si="6"/>
        <v>2563201</v>
      </c>
      <c r="O293" s="20"/>
      <c r="P293" s="22">
        <f t="shared" si="7"/>
        <v>-722</v>
      </c>
      <c r="Q293" s="38">
        <f t="shared" si="8"/>
        <v>0.853427896</v>
      </c>
      <c r="R293" s="22">
        <f t="shared" si="9"/>
        <v>521284</v>
      </c>
      <c r="S293" s="20"/>
      <c r="T293" s="22">
        <f t="shared" si="10"/>
        <v>-4375</v>
      </c>
      <c r="U293" s="38">
        <f t="shared" si="11"/>
        <v>5.171394799</v>
      </c>
      <c r="V293" s="22">
        <f t="shared" si="12"/>
        <v>19140625</v>
      </c>
    </row>
    <row r="294">
      <c r="A294" s="2">
        <v>40963.0</v>
      </c>
      <c r="B294" s="5">
        <v>18.0</v>
      </c>
      <c r="C294" s="22">
        <f t="shared" si="2"/>
        <v>2347</v>
      </c>
      <c r="D294" s="22">
        <f t="shared" si="3"/>
        <v>1566</v>
      </c>
      <c r="E294" s="22">
        <f t="shared" si="1"/>
        <v>2596</v>
      </c>
      <c r="F294" s="20"/>
      <c r="G294" s="20"/>
      <c r="H294" s="20"/>
      <c r="I294" s="20"/>
      <c r="J294" s="20"/>
      <c r="K294" s="20"/>
      <c r="L294" s="22">
        <f t="shared" si="4"/>
        <v>-2329</v>
      </c>
      <c r="M294" s="38">
        <f t="shared" si="5"/>
        <v>129.3888889</v>
      </c>
      <c r="N294" s="22">
        <f t="shared" si="6"/>
        <v>5424241</v>
      </c>
      <c r="O294" s="20"/>
      <c r="P294" s="22">
        <f t="shared" si="7"/>
        <v>-1548</v>
      </c>
      <c r="Q294" s="38">
        <f t="shared" si="8"/>
        <v>86</v>
      </c>
      <c r="R294" s="22">
        <f t="shared" si="9"/>
        <v>2396304</v>
      </c>
      <c r="S294" s="20"/>
      <c r="T294" s="22">
        <f t="shared" si="10"/>
        <v>-2578</v>
      </c>
      <c r="U294" s="38">
        <f t="shared" si="11"/>
        <v>143.2222222</v>
      </c>
      <c r="V294" s="22">
        <f t="shared" si="12"/>
        <v>6646084</v>
      </c>
    </row>
    <row r="295">
      <c r="A295" s="2">
        <v>40966.0</v>
      </c>
      <c r="B295" s="5">
        <v>666.0</v>
      </c>
      <c r="C295" s="22">
        <f t="shared" si="2"/>
        <v>2298</v>
      </c>
      <c r="D295" s="22">
        <f t="shared" si="3"/>
        <v>1560</v>
      </c>
      <c r="E295" s="22">
        <f t="shared" si="1"/>
        <v>1049</v>
      </c>
      <c r="F295" s="20"/>
      <c r="G295" s="20"/>
      <c r="H295" s="20"/>
      <c r="I295" s="20"/>
      <c r="J295" s="20"/>
      <c r="K295" s="20"/>
      <c r="L295" s="22">
        <f t="shared" si="4"/>
        <v>-1632</v>
      </c>
      <c r="M295" s="38">
        <f t="shared" si="5"/>
        <v>2.45045045</v>
      </c>
      <c r="N295" s="22">
        <f t="shared" si="6"/>
        <v>2663424</v>
      </c>
      <c r="O295" s="20"/>
      <c r="P295" s="22">
        <f t="shared" si="7"/>
        <v>-894</v>
      </c>
      <c r="Q295" s="38">
        <f t="shared" si="8"/>
        <v>1.342342342</v>
      </c>
      <c r="R295" s="22">
        <f t="shared" si="9"/>
        <v>799236</v>
      </c>
      <c r="S295" s="20"/>
      <c r="T295" s="22">
        <f t="shared" si="10"/>
        <v>-383</v>
      </c>
      <c r="U295" s="38">
        <f t="shared" si="11"/>
        <v>0.5750750751</v>
      </c>
      <c r="V295" s="22">
        <f t="shared" si="12"/>
        <v>146689</v>
      </c>
    </row>
    <row r="296">
      <c r="A296" s="2">
        <v>40967.0</v>
      </c>
      <c r="B296" s="5">
        <v>3396.0</v>
      </c>
      <c r="C296" s="22">
        <f t="shared" si="2"/>
        <v>2431</v>
      </c>
      <c r="D296" s="22">
        <f t="shared" si="3"/>
        <v>1557</v>
      </c>
      <c r="E296" s="22">
        <f t="shared" si="1"/>
        <v>819</v>
      </c>
      <c r="F296" s="20"/>
      <c r="G296" s="20"/>
      <c r="H296" s="20"/>
      <c r="I296" s="20"/>
      <c r="J296" s="20"/>
      <c r="K296" s="20"/>
      <c r="L296" s="22">
        <f t="shared" si="4"/>
        <v>965</v>
      </c>
      <c r="M296" s="38">
        <f t="shared" si="5"/>
        <v>0.2841578327</v>
      </c>
      <c r="N296" s="22">
        <f t="shared" si="6"/>
        <v>931225</v>
      </c>
      <c r="O296" s="20"/>
      <c r="P296" s="22">
        <f t="shared" si="7"/>
        <v>1839</v>
      </c>
      <c r="Q296" s="38">
        <f t="shared" si="8"/>
        <v>0.5415194346</v>
      </c>
      <c r="R296" s="22">
        <f t="shared" si="9"/>
        <v>3381921</v>
      </c>
      <c r="S296" s="20"/>
      <c r="T296" s="22">
        <f t="shared" si="10"/>
        <v>2577</v>
      </c>
      <c r="U296" s="38">
        <f t="shared" si="11"/>
        <v>0.7588339223</v>
      </c>
      <c r="V296" s="22">
        <f t="shared" si="12"/>
        <v>6640929</v>
      </c>
    </row>
    <row r="297">
      <c r="A297" s="2">
        <v>40968.0</v>
      </c>
      <c r="B297" s="5">
        <v>3762.0</v>
      </c>
      <c r="C297" s="22">
        <f t="shared" si="2"/>
        <v>2432</v>
      </c>
      <c r="D297" s="22">
        <f t="shared" si="3"/>
        <v>1563</v>
      </c>
      <c r="E297" s="22">
        <f t="shared" si="1"/>
        <v>2365</v>
      </c>
      <c r="F297" s="20"/>
      <c r="G297" s="20"/>
      <c r="H297" s="20"/>
      <c r="I297" s="20"/>
      <c r="J297" s="20"/>
      <c r="K297" s="20"/>
      <c r="L297" s="22">
        <f t="shared" si="4"/>
        <v>1330</v>
      </c>
      <c r="M297" s="38">
        <f t="shared" si="5"/>
        <v>0.3535353535</v>
      </c>
      <c r="N297" s="22">
        <f t="shared" si="6"/>
        <v>1768900</v>
      </c>
      <c r="O297" s="20"/>
      <c r="P297" s="22">
        <f t="shared" si="7"/>
        <v>2199</v>
      </c>
      <c r="Q297" s="38">
        <f t="shared" si="8"/>
        <v>0.5845295056</v>
      </c>
      <c r="R297" s="22">
        <f t="shared" si="9"/>
        <v>4835601</v>
      </c>
      <c r="S297" s="20"/>
      <c r="T297" s="22">
        <f t="shared" si="10"/>
        <v>1397</v>
      </c>
      <c r="U297" s="38">
        <f t="shared" si="11"/>
        <v>0.3713450292</v>
      </c>
      <c r="V297" s="22">
        <f t="shared" si="12"/>
        <v>1951609</v>
      </c>
    </row>
    <row r="298">
      <c r="A298" s="2">
        <v>40969.0</v>
      </c>
      <c r="B298" s="5">
        <v>726.0</v>
      </c>
      <c r="C298" s="22">
        <f t="shared" si="2"/>
        <v>1738</v>
      </c>
      <c r="D298" s="22">
        <f t="shared" si="3"/>
        <v>1571</v>
      </c>
      <c r="E298" s="22">
        <f t="shared" si="1"/>
        <v>3203</v>
      </c>
      <c r="F298" s="20"/>
      <c r="G298" s="20"/>
      <c r="H298" s="20"/>
      <c r="I298" s="20"/>
      <c r="J298" s="20"/>
      <c r="K298" s="20"/>
      <c r="L298" s="22">
        <f t="shared" si="4"/>
        <v>-1012</v>
      </c>
      <c r="M298" s="38">
        <f t="shared" si="5"/>
        <v>1.393939394</v>
      </c>
      <c r="N298" s="22">
        <f t="shared" si="6"/>
        <v>1024144</v>
      </c>
      <c r="O298" s="20"/>
      <c r="P298" s="22">
        <f t="shared" si="7"/>
        <v>-845</v>
      </c>
      <c r="Q298" s="38">
        <f t="shared" si="8"/>
        <v>1.163911846</v>
      </c>
      <c r="R298" s="22">
        <f t="shared" si="9"/>
        <v>714025</v>
      </c>
      <c r="S298" s="20"/>
      <c r="T298" s="22">
        <f t="shared" si="10"/>
        <v>-2477</v>
      </c>
      <c r="U298" s="38">
        <f t="shared" si="11"/>
        <v>3.41184573</v>
      </c>
      <c r="V298" s="22">
        <f t="shared" si="12"/>
        <v>6135529</v>
      </c>
    </row>
    <row r="299">
      <c r="A299" s="2">
        <v>40970.0</v>
      </c>
      <c r="B299" s="5">
        <v>102.0</v>
      </c>
      <c r="C299" s="22">
        <f t="shared" si="2"/>
        <v>1714</v>
      </c>
      <c r="D299" s="22">
        <f t="shared" si="3"/>
        <v>1568</v>
      </c>
      <c r="E299" s="22">
        <f t="shared" si="1"/>
        <v>1717</v>
      </c>
      <c r="F299" s="20"/>
      <c r="G299" s="20"/>
      <c r="H299" s="20"/>
      <c r="I299" s="20"/>
      <c r="J299" s="20"/>
      <c r="K299" s="20"/>
      <c r="L299" s="22">
        <f t="shared" si="4"/>
        <v>-1612</v>
      </c>
      <c r="M299" s="38">
        <f t="shared" si="5"/>
        <v>15.80392157</v>
      </c>
      <c r="N299" s="22">
        <f t="shared" si="6"/>
        <v>2598544</v>
      </c>
      <c r="O299" s="20"/>
      <c r="P299" s="22">
        <f t="shared" si="7"/>
        <v>-1466</v>
      </c>
      <c r="Q299" s="38">
        <f t="shared" si="8"/>
        <v>14.37254902</v>
      </c>
      <c r="R299" s="22">
        <f t="shared" si="9"/>
        <v>2149156</v>
      </c>
      <c r="S299" s="20"/>
      <c r="T299" s="22">
        <f t="shared" si="10"/>
        <v>-1615</v>
      </c>
      <c r="U299" s="38">
        <f t="shared" si="11"/>
        <v>15.83333333</v>
      </c>
      <c r="V299" s="22">
        <f t="shared" si="12"/>
        <v>2608225</v>
      </c>
    </row>
    <row r="300">
      <c r="A300" s="2">
        <v>40973.0</v>
      </c>
      <c r="B300" s="5">
        <v>330.0</v>
      </c>
      <c r="C300" s="22">
        <f t="shared" si="2"/>
        <v>1730</v>
      </c>
      <c r="D300" s="22">
        <f t="shared" si="3"/>
        <v>1563</v>
      </c>
      <c r="E300" s="22">
        <f t="shared" si="1"/>
        <v>748</v>
      </c>
      <c r="F300" s="20"/>
      <c r="G300" s="20"/>
      <c r="H300" s="20"/>
      <c r="I300" s="20"/>
      <c r="J300" s="20"/>
      <c r="K300" s="20"/>
      <c r="L300" s="22">
        <f t="shared" si="4"/>
        <v>-1400</v>
      </c>
      <c r="M300" s="38">
        <f t="shared" si="5"/>
        <v>4.242424242</v>
      </c>
      <c r="N300" s="22">
        <f t="shared" si="6"/>
        <v>1960000</v>
      </c>
      <c r="O300" s="20"/>
      <c r="P300" s="22">
        <f t="shared" si="7"/>
        <v>-1233</v>
      </c>
      <c r="Q300" s="38">
        <f t="shared" si="8"/>
        <v>3.736363636</v>
      </c>
      <c r="R300" s="22">
        <f t="shared" si="9"/>
        <v>1520289</v>
      </c>
      <c r="S300" s="20"/>
      <c r="T300" s="22">
        <f t="shared" si="10"/>
        <v>-418</v>
      </c>
      <c r="U300" s="38">
        <f t="shared" si="11"/>
        <v>1.266666667</v>
      </c>
      <c r="V300" s="22">
        <f t="shared" si="12"/>
        <v>174724</v>
      </c>
    </row>
    <row r="301">
      <c r="A301" s="2">
        <v>40974.0</v>
      </c>
      <c r="B301" s="5">
        <v>3666.0</v>
      </c>
      <c r="C301" s="22">
        <f t="shared" si="2"/>
        <v>1663</v>
      </c>
      <c r="D301" s="22">
        <f t="shared" si="3"/>
        <v>1559</v>
      </c>
      <c r="E301" s="22">
        <f t="shared" si="1"/>
        <v>497</v>
      </c>
      <c r="F301" s="20"/>
      <c r="G301" s="20"/>
      <c r="H301" s="20"/>
      <c r="I301" s="20"/>
      <c r="J301" s="20"/>
      <c r="K301" s="20"/>
      <c r="L301" s="22">
        <f t="shared" si="4"/>
        <v>2003</v>
      </c>
      <c r="M301" s="38">
        <f t="shared" si="5"/>
        <v>0.5463720676</v>
      </c>
      <c r="N301" s="22">
        <f t="shared" si="6"/>
        <v>4012009</v>
      </c>
      <c r="O301" s="20"/>
      <c r="P301" s="22">
        <f t="shared" si="7"/>
        <v>2107</v>
      </c>
      <c r="Q301" s="38">
        <f t="shared" si="8"/>
        <v>0.574740862</v>
      </c>
      <c r="R301" s="22">
        <f t="shared" si="9"/>
        <v>4439449</v>
      </c>
      <c r="S301" s="20"/>
      <c r="T301" s="22">
        <f t="shared" si="10"/>
        <v>3169</v>
      </c>
      <c r="U301" s="38">
        <f t="shared" si="11"/>
        <v>0.8644298963</v>
      </c>
      <c r="V301" s="22">
        <f t="shared" si="12"/>
        <v>10042561</v>
      </c>
    </row>
    <row r="302">
      <c r="A302" s="2">
        <v>40975.0</v>
      </c>
      <c r="B302" s="5">
        <v>4578.0</v>
      </c>
      <c r="C302" s="22">
        <f t="shared" si="2"/>
        <v>1717</v>
      </c>
      <c r="D302" s="22">
        <f t="shared" si="3"/>
        <v>1566</v>
      </c>
      <c r="E302" s="22">
        <f t="shared" si="1"/>
        <v>2398</v>
      </c>
      <c r="F302" s="20"/>
      <c r="G302" s="20"/>
      <c r="H302" s="20"/>
      <c r="I302" s="20"/>
      <c r="J302" s="20"/>
      <c r="K302" s="20"/>
      <c r="L302" s="22">
        <f t="shared" si="4"/>
        <v>2861</v>
      </c>
      <c r="M302" s="38">
        <f t="shared" si="5"/>
        <v>0.624945391</v>
      </c>
      <c r="N302" s="22">
        <f t="shared" si="6"/>
        <v>8185321</v>
      </c>
      <c r="O302" s="20"/>
      <c r="P302" s="22">
        <f t="shared" si="7"/>
        <v>3012</v>
      </c>
      <c r="Q302" s="38">
        <f t="shared" si="8"/>
        <v>0.6579292267</v>
      </c>
      <c r="R302" s="22">
        <f t="shared" si="9"/>
        <v>9072144</v>
      </c>
      <c r="S302" s="20"/>
      <c r="T302" s="22">
        <f t="shared" si="10"/>
        <v>2180</v>
      </c>
      <c r="U302" s="38">
        <f t="shared" si="11"/>
        <v>0.4761904762</v>
      </c>
      <c r="V302" s="22">
        <f t="shared" si="12"/>
        <v>4752400</v>
      </c>
    </row>
    <row r="303">
      <c r="A303" s="2">
        <v>40976.0</v>
      </c>
      <c r="B303" s="5">
        <v>1392.0</v>
      </c>
      <c r="C303" s="22">
        <f t="shared" si="2"/>
        <v>1880</v>
      </c>
      <c r="D303" s="22">
        <f t="shared" si="3"/>
        <v>1576</v>
      </c>
      <c r="E303" s="22">
        <f t="shared" si="1"/>
        <v>3706</v>
      </c>
      <c r="F303" s="20"/>
      <c r="G303" s="20"/>
      <c r="H303" s="20"/>
      <c r="I303" s="20"/>
      <c r="J303" s="20"/>
      <c r="K303" s="20"/>
      <c r="L303" s="22">
        <f t="shared" si="4"/>
        <v>-488</v>
      </c>
      <c r="M303" s="38">
        <f t="shared" si="5"/>
        <v>0.3505747126</v>
      </c>
      <c r="N303" s="22">
        <f t="shared" si="6"/>
        <v>238144</v>
      </c>
      <c r="O303" s="20"/>
      <c r="P303" s="22">
        <f t="shared" si="7"/>
        <v>-184</v>
      </c>
      <c r="Q303" s="38">
        <f t="shared" si="8"/>
        <v>0.132183908</v>
      </c>
      <c r="R303" s="22">
        <f t="shared" si="9"/>
        <v>33856</v>
      </c>
      <c r="S303" s="20"/>
      <c r="T303" s="22">
        <f t="shared" si="10"/>
        <v>-2314</v>
      </c>
      <c r="U303" s="38">
        <f t="shared" si="11"/>
        <v>1.662356322</v>
      </c>
      <c r="V303" s="22">
        <f t="shared" si="12"/>
        <v>5354596</v>
      </c>
    </row>
    <row r="304">
      <c r="A304" s="2">
        <v>40977.0</v>
      </c>
      <c r="B304" s="5">
        <v>66.0</v>
      </c>
      <c r="C304" s="22">
        <f t="shared" si="2"/>
        <v>2014</v>
      </c>
      <c r="D304" s="22">
        <f t="shared" si="3"/>
        <v>1575</v>
      </c>
      <c r="E304" s="22">
        <f t="shared" si="1"/>
        <v>2318</v>
      </c>
      <c r="F304" s="20"/>
      <c r="G304" s="20"/>
      <c r="H304" s="20"/>
      <c r="I304" s="20"/>
      <c r="J304" s="20"/>
      <c r="K304" s="20"/>
      <c r="L304" s="22">
        <f t="shared" si="4"/>
        <v>-1948</v>
      </c>
      <c r="M304" s="38">
        <f t="shared" si="5"/>
        <v>29.51515152</v>
      </c>
      <c r="N304" s="22">
        <f t="shared" si="6"/>
        <v>3794704</v>
      </c>
      <c r="O304" s="20"/>
      <c r="P304" s="22">
        <f t="shared" si="7"/>
        <v>-1509</v>
      </c>
      <c r="Q304" s="38">
        <f t="shared" si="8"/>
        <v>22.86363636</v>
      </c>
      <c r="R304" s="22">
        <f t="shared" si="9"/>
        <v>2277081</v>
      </c>
      <c r="S304" s="20"/>
      <c r="T304" s="22">
        <f t="shared" si="10"/>
        <v>-2252</v>
      </c>
      <c r="U304" s="38">
        <f t="shared" si="11"/>
        <v>34.12121212</v>
      </c>
      <c r="V304" s="22">
        <f t="shared" si="12"/>
        <v>5071504</v>
      </c>
    </row>
    <row r="305">
      <c r="A305" s="2">
        <v>40980.0</v>
      </c>
      <c r="B305" s="5">
        <v>792.0</v>
      </c>
      <c r="C305" s="22">
        <f t="shared" si="2"/>
        <v>2006</v>
      </c>
      <c r="D305" s="22">
        <f t="shared" si="3"/>
        <v>1570</v>
      </c>
      <c r="E305" s="22">
        <f t="shared" si="1"/>
        <v>967</v>
      </c>
      <c r="F305" s="20"/>
      <c r="G305" s="20"/>
      <c r="H305" s="20"/>
      <c r="I305" s="20"/>
      <c r="J305" s="20"/>
      <c r="K305" s="20"/>
      <c r="L305" s="22">
        <f t="shared" si="4"/>
        <v>-1214</v>
      </c>
      <c r="M305" s="38">
        <f t="shared" si="5"/>
        <v>1.532828283</v>
      </c>
      <c r="N305" s="22">
        <f t="shared" si="6"/>
        <v>1473796</v>
      </c>
      <c r="O305" s="20"/>
      <c r="P305" s="22">
        <f t="shared" si="7"/>
        <v>-778</v>
      </c>
      <c r="Q305" s="38">
        <f t="shared" si="8"/>
        <v>0.9823232323</v>
      </c>
      <c r="R305" s="22">
        <f t="shared" si="9"/>
        <v>605284</v>
      </c>
      <c r="S305" s="20"/>
      <c r="T305" s="22">
        <f t="shared" si="10"/>
        <v>-175</v>
      </c>
      <c r="U305" s="38">
        <f t="shared" si="11"/>
        <v>0.220959596</v>
      </c>
      <c r="V305" s="22">
        <f t="shared" si="12"/>
        <v>30625</v>
      </c>
    </row>
    <row r="306">
      <c r="A306" s="2">
        <v>40981.0</v>
      </c>
      <c r="B306" s="5">
        <v>3438.0</v>
      </c>
      <c r="C306" s="22">
        <f t="shared" si="2"/>
        <v>2099</v>
      </c>
      <c r="D306" s="22">
        <f t="shared" si="3"/>
        <v>1568</v>
      </c>
      <c r="E306" s="22">
        <f t="shared" si="1"/>
        <v>862</v>
      </c>
      <c r="F306" s="20"/>
      <c r="G306" s="20"/>
      <c r="H306" s="20"/>
      <c r="I306" s="20"/>
      <c r="J306" s="20"/>
      <c r="K306" s="20"/>
      <c r="L306" s="22">
        <f t="shared" si="4"/>
        <v>1339</v>
      </c>
      <c r="M306" s="38">
        <f t="shared" si="5"/>
        <v>0.3894706225</v>
      </c>
      <c r="N306" s="22">
        <f t="shared" si="6"/>
        <v>1792921</v>
      </c>
      <c r="O306" s="20"/>
      <c r="P306" s="22">
        <f t="shared" si="7"/>
        <v>1870</v>
      </c>
      <c r="Q306" s="38">
        <f t="shared" si="8"/>
        <v>0.5439208842</v>
      </c>
      <c r="R306" s="22">
        <f t="shared" si="9"/>
        <v>3496900</v>
      </c>
      <c r="S306" s="20"/>
      <c r="T306" s="22">
        <f t="shared" si="10"/>
        <v>2576</v>
      </c>
      <c r="U306" s="38">
        <f t="shared" si="11"/>
        <v>0.749272833</v>
      </c>
      <c r="V306" s="22">
        <f t="shared" si="12"/>
        <v>6635776</v>
      </c>
    </row>
    <row r="307">
      <c r="A307" s="2">
        <v>40982.0</v>
      </c>
      <c r="B307" s="5">
        <v>2730.0</v>
      </c>
      <c r="C307" s="22">
        <f t="shared" si="2"/>
        <v>2053</v>
      </c>
      <c r="D307" s="22">
        <f t="shared" si="3"/>
        <v>1574</v>
      </c>
      <c r="E307" s="22">
        <f t="shared" si="1"/>
        <v>2408</v>
      </c>
      <c r="F307" s="20"/>
      <c r="G307" s="20"/>
      <c r="H307" s="20"/>
      <c r="I307" s="20"/>
      <c r="J307" s="20"/>
      <c r="K307" s="20"/>
      <c r="L307" s="22">
        <f t="shared" si="4"/>
        <v>677</v>
      </c>
      <c r="M307" s="38">
        <f t="shared" si="5"/>
        <v>0.247985348</v>
      </c>
      <c r="N307" s="22">
        <f t="shared" si="6"/>
        <v>458329</v>
      </c>
      <c r="O307" s="20"/>
      <c r="P307" s="22">
        <f t="shared" si="7"/>
        <v>1156</v>
      </c>
      <c r="Q307" s="38">
        <f t="shared" si="8"/>
        <v>0.4234432234</v>
      </c>
      <c r="R307" s="22">
        <f t="shared" si="9"/>
        <v>1336336</v>
      </c>
      <c r="S307" s="20"/>
      <c r="T307" s="22">
        <f t="shared" si="10"/>
        <v>322</v>
      </c>
      <c r="U307" s="38">
        <f t="shared" si="11"/>
        <v>0.1179487179</v>
      </c>
      <c r="V307" s="22">
        <f t="shared" si="12"/>
        <v>103684</v>
      </c>
    </row>
    <row r="308">
      <c r="A308" s="2">
        <v>40983.0</v>
      </c>
      <c r="B308" s="5">
        <v>738.0</v>
      </c>
      <c r="C308" s="22">
        <f t="shared" si="2"/>
        <v>1684</v>
      </c>
      <c r="D308" s="22">
        <f t="shared" si="3"/>
        <v>1578</v>
      </c>
      <c r="E308" s="22">
        <f t="shared" si="1"/>
        <v>2601</v>
      </c>
      <c r="F308" s="20"/>
      <c r="G308" s="20"/>
      <c r="H308" s="20"/>
      <c r="I308" s="20"/>
      <c r="J308" s="20"/>
      <c r="K308" s="20"/>
      <c r="L308" s="22">
        <f t="shared" si="4"/>
        <v>-946</v>
      </c>
      <c r="M308" s="38">
        <f t="shared" si="5"/>
        <v>1.281842818</v>
      </c>
      <c r="N308" s="22">
        <f t="shared" si="6"/>
        <v>894916</v>
      </c>
      <c r="O308" s="20"/>
      <c r="P308" s="22">
        <f t="shared" si="7"/>
        <v>-840</v>
      </c>
      <c r="Q308" s="38">
        <f t="shared" si="8"/>
        <v>1.138211382</v>
      </c>
      <c r="R308" s="22">
        <f t="shared" si="9"/>
        <v>705600</v>
      </c>
      <c r="S308" s="20"/>
      <c r="T308" s="22">
        <f t="shared" si="10"/>
        <v>-1863</v>
      </c>
      <c r="U308" s="38">
        <f t="shared" si="11"/>
        <v>2.524390244</v>
      </c>
      <c r="V308" s="22">
        <f t="shared" si="12"/>
        <v>3470769</v>
      </c>
    </row>
    <row r="309">
      <c r="A309" s="2">
        <v>40984.0</v>
      </c>
      <c r="B309" s="5">
        <v>204.0</v>
      </c>
      <c r="C309" s="22">
        <f t="shared" si="2"/>
        <v>1553</v>
      </c>
      <c r="D309" s="22">
        <f t="shared" si="3"/>
        <v>1575</v>
      </c>
      <c r="E309" s="22">
        <f t="shared" si="1"/>
        <v>1483</v>
      </c>
      <c r="F309" s="20"/>
      <c r="G309" s="20"/>
      <c r="H309" s="20"/>
      <c r="I309" s="20"/>
      <c r="J309" s="20"/>
      <c r="K309" s="20"/>
      <c r="L309" s="22">
        <f t="shared" si="4"/>
        <v>-1349</v>
      </c>
      <c r="M309" s="38">
        <f t="shared" si="5"/>
        <v>6.612745098</v>
      </c>
      <c r="N309" s="22">
        <f t="shared" si="6"/>
        <v>1819801</v>
      </c>
      <c r="O309" s="20"/>
      <c r="P309" s="22">
        <f t="shared" si="7"/>
        <v>-1371</v>
      </c>
      <c r="Q309" s="38">
        <f t="shared" si="8"/>
        <v>6.720588235</v>
      </c>
      <c r="R309" s="22">
        <f t="shared" si="9"/>
        <v>1879641</v>
      </c>
      <c r="S309" s="20"/>
      <c r="T309" s="22">
        <f t="shared" si="10"/>
        <v>-1279</v>
      </c>
      <c r="U309" s="38">
        <f t="shared" si="11"/>
        <v>6.269607843</v>
      </c>
      <c r="V309" s="22">
        <f t="shared" si="12"/>
        <v>1635841</v>
      </c>
    </row>
    <row r="310">
      <c r="A310" s="2">
        <v>40987.0</v>
      </c>
      <c r="B310" s="5">
        <v>516.0</v>
      </c>
      <c r="C310" s="22">
        <f t="shared" si="2"/>
        <v>1580</v>
      </c>
      <c r="D310" s="22">
        <f t="shared" si="3"/>
        <v>1571</v>
      </c>
      <c r="E310" s="22">
        <f t="shared" si="1"/>
        <v>716</v>
      </c>
      <c r="F310" s="20"/>
      <c r="G310" s="20"/>
      <c r="H310" s="20"/>
      <c r="I310" s="20"/>
      <c r="J310" s="20"/>
      <c r="K310" s="20"/>
      <c r="L310" s="22">
        <f t="shared" si="4"/>
        <v>-1064</v>
      </c>
      <c r="M310" s="38">
        <f t="shared" si="5"/>
        <v>2.062015504</v>
      </c>
      <c r="N310" s="22">
        <f t="shared" si="6"/>
        <v>1132096</v>
      </c>
      <c r="O310" s="20"/>
      <c r="P310" s="22">
        <f t="shared" si="7"/>
        <v>-1055</v>
      </c>
      <c r="Q310" s="38">
        <f t="shared" si="8"/>
        <v>2.044573643</v>
      </c>
      <c r="R310" s="22">
        <f t="shared" si="9"/>
        <v>1113025</v>
      </c>
      <c r="S310" s="20"/>
      <c r="T310" s="22">
        <f t="shared" si="10"/>
        <v>-200</v>
      </c>
      <c r="U310" s="38">
        <f t="shared" si="11"/>
        <v>0.3875968992</v>
      </c>
      <c r="V310" s="22">
        <f t="shared" si="12"/>
        <v>40000</v>
      </c>
    </row>
    <row r="311">
      <c r="A311" s="2">
        <v>40988.0</v>
      </c>
      <c r="B311" s="5">
        <v>4062.0</v>
      </c>
      <c r="C311" s="22">
        <f t="shared" si="2"/>
        <v>1525</v>
      </c>
      <c r="D311" s="22">
        <f t="shared" si="3"/>
        <v>1567</v>
      </c>
      <c r="E311" s="22">
        <f t="shared" si="1"/>
        <v>596</v>
      </c>
      <c r="F311" s="20"/>
      <c r="G311" s="20"/>
      <c r="H311" s="20"/>
      <c r="I311" s="20"/>
      <c r="J311" s="20"/>
      <c r="K311" s="20"/>
      <c r="L311" s="22">
        <f t="shared" si="4"/>
        <v>2537</v>
      </c>
      <c r="M311" s="38">
        <f t="shared" si="5"/>
        <v>0.6245691777</v>
      </c>
      <c r="N311" s="22">
        <f t="shared" si="6"/>
        <v>6436369</v>
      </c>
      <c r="O311" s="20"/>
      <c r="P311" s="22">
        <f t="shared" si="7"/>
        <v>2495</v>
      </c>
      <c r="Q311" s="38">
        <f t="shared" si="8"/>
        <v>0.6142294436</v>
      </c>
      <c r="R311" s="22">
        <f t="shared" si="9"/>
        <v>6225025</v>
      </c>
      <c r="S311" s="20"/>
      <c r="T311" s="22">
        <f t="shared" si="10"/>
        <v>3466</v>
      </c>
      <c r="U311" s="38">
        <f t="shared" si="11"/>
        <v>0.8532742491</v>
      </c>
      <c r="V311" s="22">
        <f t="shared" si="12"/>
        <v>12013156</v>
      </c>
    </row>
    <row r="312">
      <c r="A312" s="2">
        <v>40989.0</v>
      </c>
      <c r="B312" s="5">
        <v>2754.0</v>
      </c>
      <c r="C312" s="22">
        <f t="shared" si="2"/>
        <v>1650</v>
      </c>
      <c r="D312" s="22">
        <f t="shared" si="3"/>
        <v>1575</v>
      </c>
      <c r="E312" s="22">
        <f t="shared" si="1"/>
        <v>2676</v>
      </c>
      <c r="F312" s="20"/>
      <c r="G312" s="20"/>
      <c r="H312" s="20"/>
      <c r="I312" s="20"/>
      <c r="J312" s="20"/>
      <c r="K312" s="20"/>
      <c r="L312" s="22">
        <f t="shared" si="4"/>
        <v>1104</v>
      </c>
      <c r="M312" s="38">
        <f t="shared" si="5"/>
        <v>0.4008714597</v>
      </c>
      <c r="N312" s="22">
        <f t="shared" si="6"/>
        <v>1218816</v>
      </c>
      <c r="O312" s="20"/>
      <c r="P312" s="22">
        <f t="shared" si="7"/>
        <v>1179</v>
      </c>
      <c r="Q312" s="38">
        <f t="shared" si="8"/>
        <v>0.4281045752</v>
      </c>
      <c r="R312" s="22">
        <f t="shared" si="9"/>
        <v>1390041</v>
      </c>
      <c r="S312" s="20"/>
      <c r="T312" s="22">
        <f t="shared" si="10"/>
        <v>78</v>
      </c>
      <c r="U312" s="38">
        <f t="shared" si="11"/>
        <v>0.02832244009</v>
      </c>
      <c r="V312" s="22">
        <f t="shared" si="12"/>
        <v>6084</v>
      </c>
    </row>
    <row r="313">
      <c r="A313" s="2">
        <v>40990.0</v>
      </c>
      <c r="B313" s="5">
        <v>660.0</v>
      </c>
      <c r="C313" s="22">
        <f t="shared" si="2"/>
        <v>1655</v>
      </c>
      <c r="D313" s="22">
        <f t="shared" si="3"/>
        <v>1579</v>
      </c>
      <c r="E313" s="22">
        <f t="shared" si="1"/>
        <v>2723</v>
      </c>
      <c r="F313" s="20"/>
      <c r="G313" s="20"/>
      <c r="H313" s="20"/>
      <c r="I313" s="20"/>
      <c r="J313" s="20"/>
      <c r="K313" s="20"/>
      <c r="L313" s="22">
        <f t="shared" si="4"/>
        <v>-995</v>
      </c>
      <c r="M313" s="38">
        <f t="shared" si="5"/>
        <v>1.507575758</v>
      </c>
      <c r="N313" s="22">
        <f t="shared" si="6"/>
        <v>990025</v>
      </c>
      <c r="O313" s="20"/>
      <c r="P313" s="22">
        <f t="shared" si="7"/>
        <v>-919</v>
      </c>
      <c r="Q313" s="38">
        <f t="shared" si="8"/>
        <v>1.392424242</v>
      </c>
      <c r="R313" s="22">
        <f t="shared" si="9"/>
        <v>844561</v>
      </c>
      <c r="S313" s="20"/>
      <c r="T313" s="22">
        <f t="shared" si="10"/>
        <v>-2063</v>
      </c>
      <c r="U313" s="38">
        <f t="shared" si="11"/>
        <v>3.125757576</v>
      </c>
      <c r="V313" s="22">
        <f t="shared" si="12"/>
        <v>4255969</v>
      </c>
    </row>
    <row r="314">
      <c r="A314" s="2">
        <v>40991.0</v>
      </c>
      <c r="B314" s="5">
        <v>144.0</v>
      </c>
      <c r="C314" s="22">
        <f t="shared" si="2"/>
        <v>1639</v>
      </c>
      <c r="D314" s="22">
        <f t="shared" si="3"/>
        <v>1576</v>
      </c>
      <c r="E314" s="22">
        <f t="shared" si="1"/>
        <v>1485</v>
      </c>
      <c r="F314" s="20"/>
      <c r="G314" s="20"/>
      <c r="H314" s="20"/>
      <c r="I314" s="20"/>
      <c r="J314" s="20"/>
      <c r="K314" s="20"/>
      <c r="L314" s="22">
        <f t="shared" si="4"/>
        <v>-1495</v>
      </c>
      <c r="M314" s="38">
        <f t="shared" si="5"/>
        <v>10.38194444</v>
      </c>
      <c r="N314" s="22">
        <f t="shared" si="6"/>
        <v>2235025</v>
      </c>
      <c r="O314" s="20"/>
      <c r="P314" s="22">
        <f t="shared" si="7"/>
        <v>-1432</v>
      </c>
      <c r="Q314" s="38">
        <f t="shared" si="8"/>
        <v>9.944444444</v>
      </c>
      <c r="R314" s="22">
        <f t="shared" si="9"/>
        <v>2050624</v>
      </c>
      <c r="S314" s="20"/>
      <c r="T314" s="22">
        <f t="shared" si="10"/>
        <v>-1341</v>
      </c>
      <c r="U314" s="38">
        <f t="shared" si="11"/>
        <v>9.3125</v>
      </c>
      <c r="V314" s="22">
        <f t="shared" si="12"/>
        <v>1798281</v>
      </c>
    </row>
    <row r="315">
      <c r="A315" s="2">
        <v>40994.0</v>
      </c>
      <c r="B315" s="5">
        <v>432.0</v>
      </c>
      <c r="C315" s="22">
        <f t="shared" si="2"/>
        <v>1627</v>
      </c>
      <c r="D315" s="22">
        <f t="shared" si="3"/>
        <v>1572</v>
      </c>
      <c r="E315" s="22">
        <f t="shared" si="1"/>
        <v>680</v>
      </c>
      <c r="F315" s="20"/>
      <c r="G315" s="20"/>
      <c r="H315" s="20"/>
      <c r="I315" s="20"/>
      <c r="J315" s="20"/>
      <c r="K315" s="20"/>
      <c r="L315" s="22">
        <f t="shared" si="4"/>
        <v>-1195</v>
      </c>
      <c r="M315" s="38">
        <f t="shared" si="5"/>
        <v>2.766203704</v>
      </c>
      <c r="N315" s="22">
        <f t="shared" si="6"/>
        <v>1428025</v>
      </c>
      <c r="O315" s="20"/>
      <c r="P315" s="22">
        <f t="shared" si="7"/>
        <v>-1140</v>
      </c>
      <c r="Q315" s="38">
        <f t="shared" si="8"/>
        <v>2.638888889</v>
      </c>
      <c r="R315" s="22">
        <f t="shared" si="9"/>
        <v>1299600</v>
      </c>
      <c r="S315" s="20"/>
      <c r="T315" s="22">
        <f t="shared" si="10"/>
        <v>-248</v>
      </c>
      <c r="U315" s="38">
        <f t="shared" si="11"/>
        <v>0.5740740741</v>
      </c>
      <c r="V315" s="22">
        <f t="shared" si="12"/>
        <v>61504</v>
      </c>
    </row>
    <row r="316">
      <c r="A316" s="2">
        <v>40995.0</v>
      </c>
      <c r="B316" s="5">
        <v>3648.0</v>
      </c>
      <c r="C316" s="22">
        <f t="shared" si="2"/>
        <v>1610</v>
      </c>
      <c r="D316" s="22">
        <f t="shared" si="3"/>
        <v>1568</v>
      </c>
      <c r="E316" s="22">
        <f t="shared" si="1"/>
        <v>531</v>
      </c>
      <c r="F316" s="20"/>
      <c r="G316" s="20"/>
      <c r="H316" s="20"/>
      <c r="I316" s="20"/>
      <c r="J316" s="20"/>
      <c r="K316" s="20"/>
      <c r="L316" s="22">
        <f t="shared" si="4"/>
        <v>2038</v>
      </c>
      <c r="M316" s="38">
        <f t="shared" si="5"/>
        <v>0.5586622807</v>
      </c>
      <c r="N316" s="22">
        <f t="shared" si="6"/>
        <v>4153444</v>
      </c>
      <c r="O316" s="20"/>
      <c r="P316" s="22">
        <f t="shared" si="7"/>
        <v>2080</v>
      </c>
      <c r="Q316" s="38">
        <f t="shared" si="8"/>
        <v>0.5701754386</v>
      </c>
      <c r="R316" s="22">
        <f t="shared" si="9"/>
        <v>4326400</v>
      </c>
      <c r="S316" s="20"/>
      <c r="T316" s="22">
        <f t="shared" si="10"/>
        <v>3117</v>
      </c>
      <c r="U316" s="38">
        <f t="shared" si="11"/>
        <v>0.8544407895</v>
      </c>
      <c r="V316" s="22">
        <f t="shared" si="12"/>
        <v>9715689</v>
      </c>
    </row>
    <row r="317">
      <c r="A317" s="2">
        <v>40996.0</v>
      </c>
      <c r="B317" s="5">
        <v>1956.0</v>
      </c>
      <c r="C317" s="22">
        <f t="shared" si="2"/>
        <v>1528</v>
      </c>
      <c r="D317" s="22">
        <f t="shared" si="3"/>
        <v>1575</v>
      </c>
      <c r="E317" s="22">
        <f t="shared" si="1"/>
        <v>2401</v>
      </c>
      <c r="F317" s="20"/>
      <c r="G317" s="20"/>
      <c r="H317" s="20"/>
      <c r="I317" s="20"/>
      <c r="J317" s="20"/>
      <c r="K317" s="20"/>
      <c r="L317" s="22">
        <f t="shared" si="4"/>
        <v>428</v>
      </c>
      <c r="M317" s="38">
        <f t="shared" si="5"/>
        <v>0.2188139059</v>
      </c>
      <c r="N317" s="22">
        <f t="shared" si="6"/>
        <v>183184</v>
      </c>
      <c r="O317" s="20"/>
      <c r="P317" s="22">
        <f t="shared" si="7"/>
        <v>381</v>
      </c>
      <c r="Q317" s="38">
        <f t="shared" si="8"/>
        <v>0.1947852761</v>
      </c>
      <c r="R317" s="22">
        <f t="shared" si="9"/>
        <v>145161</v>
      </c>
      <c r="S317" s="20"/>
      <c r="T317" s="22">
        <f t="shared" si="10"/>
        <v>-445</v>
      </c>
      <c r="U317" s="38">
        <f t="shared" si="11"/>
        <v>0.2275051125</v>
      </c>
      <c r="V317" s="22">
        <f t="shared" si="12"/>
        <v>198025</v>
      </c>
    </row>
    <row r="318">
      <c r="A318" s="2">
        <v>40997.0</v>
      </c>
      <c r="B318" s="5">
        <v>768.0</v>
      </c>
      <c r="C318" s="22">
        <f t="shared" si="2"/>
        <v>1368</v>
      </c>
      <c r="D318" s="22">
        <f t="shared" si="3"/>
        <v>1576</v>
      </c>
      <c r="E318" s="22">
        <f t="shared" si="1"/>
        <v>2134</v>
      </c>
      <c r="F318" s="20"/>
      <c r="G318" s="20"/>
      <c r="H318" s="20"/>
      <c r="I318" s="20"/>
      <c r="J318" s="20"/>
      <c r="K318" s="20"/>
      <c r="L318" s="22">
        <f t="shared" si="4"/>
        <v>-600</v>
      </c>
      <c r="M318" s="38">
        <f t="shared" si="5"/>
        <v>0.78125</v>
      </c>
      <c r="N318" s="22">
        <f t="shared" si="6"/>
        <v>360000</v>
      </c>
      <c r="O318" s="20"/>
      <c r="P318" s="22">
        <f t="shared" si="7"/>
        <v>-808</v>
      </c>
      <c r="Q318" s="38">
        <f t="shared" si="8"/>
        <v>1.052083333</v>
      </c>
      <c r="R318" s="22">
        <f t="shared" si="9"/>
        <v>652864</v>
      </c>
      <c r="S318" s="20"/>
      <c r="T318" s="22">
        <f t="shared" si="10"/>
        <v>-1366</v>
      </c>
      <c r="U318" s="38">
        <f t="shared" si="11"/>
        <v>1.778645833</v>
      </c>
      <c r="V318" s="22">
        <f t="shared" si="12"/>
        <v>1865956</v>
      </c>
    </row>
    <row r="319">
      <c r="A319" s="2">
        <v>40998.0</v>
      </c>
      <c r="B319" s="5">
        <v>384.0</v>
      </c>
      <c r="C319" s="22">
        <f t="shared" si="2"/>
        <v>1390</v>
      </c>
      <c r="D319" s="22">
        <f t="shared" si="3"/>
        <v>1573</v>
      </c>
      <c r="E319" s="22">
        <f t="shared" si="1"/>
        <v>1314</v>
      </c>
      <c r="F319" s="20"/>
      <c r="G319" s="20"/>
      <c r="H319" s="20"/>
      <c r="I319" s="20"/>
      <c r="J319" s="20"/>
      <c r="K319" s="20"/>
      <c r="L319" s="22">
        <f t="shared" si="4"/>
        <v>-1006</v>
      </c>
      <c r="M319" s="38">
        <f t="shared" si="5"/>
        <v>2.619791667</v>
      </c>
      <c r="N319" s="22">
        <f t="shared" si="6"/>
        <v>1012036</v>
      </c>
      <c r="O319" s="20"/>
      <c r="P319" s="22">
        <f t="shared" si="7"/>
        <v>-1189</v>
      </c>
      <c r="Q319" s="38">
        <f t="shared" si="8"/>
        <v>3.096354167</v>
      </c>
      <c r="R319" s="22">
        <f t="shared" si="9"/>
        <v>1413721</v>
      </c>
      <c r="S319" s="20"/>
      <c r="T319" s="22">
        <f t="shared" si="10"/>
        <v>-930</v>
      </c>
      <c r="U319" s="38">
        <f t="shared" si="11"/>
        <v>2.421875</v>
      </c>
      <c r="V319" s="22">
        <f t="shared" si="12"/>
        <v>864900</v>
      </c>
    </row>
    <row r="320">
      <c r="A320" s="2">
        <v>41001.0</v>
      </c>
      <c r="B320" s="5">
        <v>570.0</v>
      </c>
      <c r="C320" s="22">
        <f t="shared" si="2"/>
        <v>1438</v>
      </c>
      <c r="D320" s="22">
        <f t="shared" si="3"/>
        <v>1569</v>
      </c>
      <c r="E320" s="22">
        <f t="shared" si="1"/>
        <v>756</v>
      </c>
      <c r="F320" s="20"/>
      <c r="G320" s="20"/>
      <c r="H320" s="20"/>
      <c r="I320" s="20"/>
      <c r="J320" s="20"/>
      <c r="K320" s="20"/>
      <c r="L320" s="22">
        <f t="shared" si="4"/>
        <v>-868</v>
      </c>
      <c r="M320" s="38">
        <f t="shared" si="5"/>
        <v>1.522807018</v>
      </c>
      <c r="N320" s="22">
        <f t="shared" si="6"/>
        <v>753424</v>
      </c>
      <c r="O320" s="20"/>
      <c r="P320" s="22">
        <f t="shared" si="7"/>
        <v>-999</v>
      </c>
      <c r="Q320" s="38">
        <f t="shared" si="8"/>
        <v>1.752631579</v>
      </c>
      <c r="R320" s="22">
        <f t="shared" si="9"/>
        <v>998001</v>
      </c>
      <c r="S320" s="20"/>
      <c r="T320" s="22">
        <f t="shared" si="10"/>
        <v>-186</v>
      </c>
      <c r="U320" s="38">
        <f t="shared" si="11"/>
        <v>0.3263157895</v>
      </c>
      <c r="V320" s="22">
        <f t="shared" si="12"/>
        <v>34596</v>
      </c>
    </row>
    <row r="321">
      <c r="A321" s="2">
        <v>41002.0</v>
      </c>
      <c r="B321" s="5">
        <v>252.0</v>
      </c>
      <c r="C321" s="22">
        <f t="shared" si="2"/>
        <v>1465</v>
      </c>
      <c r="D321" s="22">
        <f t="shared" si="3"/>
        <v>1566</v>
      </c>
      <c r="E321" s="22">
        <f t="shared" si="1"/>
        <v>644</v>
      </c>
      <c r="F321" s="20"/>
      <c r="G321" s="20"/>
      <c r="H321" s="20"/>
      <c r="I321" s="20"/>
      <c r="J321" s="20"/>
      <c r="K321" s="20"/>
      <c r="L321" s="22">
        <f t="shared" si="4"/>
        <v>-1213</v>
      </c>
      <c r="M321" s="38">
        <f t="shared" si="5"/>
        <v>4.813492063</v>
      </c>
      <c r="N321" s="22">
        <f t="shared" si="6"/>
        <v>1471369</v>
      </c>
      <c r="O321" s="20"/>
      <c r="P321" s="22">
        <f t="shared" si="7"/>
        <v>-1314</v>
      </c>
      <c r="Q321" s="38">
        <f t="shared" si="8"/>
        <v>5.214285714</v>
      </c>
      <c r="R321" s="22">
        <f t="shared" si="9"/>
        <v>1726596</v>
      </c>
      <c r="S321" s="20"/>
      <c r="T321" s="22">
        <f t="shared" si="10"/>
        <v>-392</v>
      </c>
      <c r="U321" s="38">
        <f t="shared" si="11"/>
        <v>1.555555556</v>
      </c>
      <c r="V321" s="22">
        <f t="shared" si="12"/>
        <v>153664</v>
      </c>
    </row>
    <row r="322">
      <c r="A322" s="2">
        <v>41003.0</v>
      </c>
      <c r="B322" s="5">
        <v>7212.0</v>
      </c>
      <c r="C322" s="22">
        <f t="shared" si="2"/>
        <v>786</v>
      </c>
      <c r="D322" s="22">
        <f t="shared" si="3"/>
        <v>1562</v>
      </c>
      <c r="E322" s="22">
        <f t="shared" si="1"/>
        <v>409</v>
      </c>
      <c r="F322" s="20"/>
      <c r="G322" s="20"/>
      <c r="H322" s="20"/>
      <c r="I322" s="20"/>
      <c r="J322" s="20"/>
      <c r="K322" s="20"/>
      <c r="L322" s="22">
        <f t="shared" si="4"/>
        <v>6426</v>
      </c>
      <c r="M322" s="38">
        <f t="shared" si="5"/>
        <v>0.891014975</v>
      </c>
      <c r="N322" s="22">
        <f t="shared" si="6"/>
        <v>41293476</v>
      </c>
      <c r="O322" s="20"/>
      <c r="P322" s="22">
        <f t="shared" si="7"/>
        <v>5650</v>
      </c>
      <c r="Q322" s="38">
        <f t="shared" si="8"/>
        <v>0.783416528</v>
      </c>
      <c r="R322" s="22">
        <f t="shared" si="9"/>
        <v>31922500</v>
      </c>
      <c r="S322" s="20"/>
      <c r="T322" s="22">
        <f t="shared" si="10"/>
        <v>6803</v>
      </c>
      <c r="U322" s="38">
        <f t="shared" si="11"/>
        <v>0.9432889628</v>
      </c>
      <c r="V322" s="22">
        <f t="shared" si="12"/>
        <v>46280809</v>
      </c>
    </row>
    <row r="323">
      <c r="A323" s="2">
        <v>41004.0</v>
      </c>
      <c r="B323" s="5">
        <v>768.0</v>
      </c>
      <c r="C323" s="22">
        <f t="shared" si="2"/>
        <v>1837</v>
      </c>
      <c r="D323" s="22">
        <f t="shared" si="3"/>
        <v>1580</v>
      </c>
      <c r="E323" s="22">
        <f t="shared" si="1"/>
        <v>4491</v>
      </c>
      <c r="F323" s="20"/>
      <c r="G323" s="20"/>
      <c r="H323" s="20"/>
      <c r="I323" s="20"/>
      <c r="J323" s="20"/>
      <c r="K323" s="20"/>
      <c r="L323" s="22">
        <f t="shared" si="4"/>
        <v>-1069</v>
      </c>
      <c r="M323" s="38">
        <f t="shared" si="5"/>
        <v>1.391927083</v>
      </c>
      <c r="N323" s="22">
        <f t="shared" si="6"/>
        <v>1142761</v>
      </c>
      <c r="O323" s="20"/>
      <c r="P323" s="22">
        <f t="shared" si="7"/>
        <v>-812</v>
      </c>
      <c r="Q323" s="38">
        <f t="shared" si="8"/>
        <v>1.057291667</v>
      </c>
      <c r="R323" s="22">
        <f t="shared" si="9"/>
        <v>659344</v>
      </c>
      <c r="S323" s="20"/>
      <c r="T323" s="22">
        <f t="shared" si="10"/>
        <v>-3723</v>
      </c>
      <c r="U323" s="38">
        <f t="shared" si="11"/>
        <v>4.84765625</v>
      </c>
      <c r="V323" s="22">
        <f t="shared" si="12"/>
        <v>13860729</v>
      </c>
    </row>
    <row r="324">
      <c r="A324" s="2">
        <v>41005.0</v>
      </c>
      <c r="B324" s="5">
        <v>12.0</v>
      </c>
      <c r="C324" s="22">
        <f t="shared" si="2"/>
        <v>1837</v>
      </c>
      <c r="D324" s="22">
        <f t="shared" si="3"/>
        <v>1577</v>
      </c>
      <c r="E324" s="22">
        <f t="shared" si="1"/>
        <v>2257</v>
      </c>
      <c r="F324" s="20"/>
      <c r="G324" s="20"/>
      <c r="H324" s="20"/>
      <c r="I324" s="20"/>
      <c r="J324" s="20"/>
      <c r="K324" s="20"/>
      <c r="L324" s="22">
        <f t="shared" si="4"/>
        <v>-1825</v>
      </c>
      <c r="M324" s="38">
        <f t="shared" si="5"/>
        <v>152.0833333</v>
      </c>
      <c r="N324" s="22">
        <f t="shared" si="6"/>
        <v>3330625</v>
      </c>
      <c r="O324" s="20"/>
      <c r="P324" s="22">
        <f t="shared" si="7"/>
        <v>-1565</v>
      </c>
      <c r="Q324" s="38">
        <f t="shared" si="8"/>
        <v>130.4166667</v>
      </c>
      <c r="R324" s="22">
        <f t="shared" si="9"/>
        <v>2449225</v>
      </c>
      <c r="S324" s="20"/>
      <c r="T324" s="22">
        <f t="shared" si="10"/>
        <v>-2245</v>
      </c>
      <c r="U324" s="38">
        <f t="shared" si="11"/>
        <v>187.0833333</v>
      </c>
      <c r="V324" s="22">
        <f t="shared" si="12"/>
        <v>5040025</v>
      </c>
    </row>
    <row r="325">
      <c r="A325" s="2">
        <v>41008.0</v>
      </c>
      <c r="B325" s="5">
        <v>786.0</v>
      </c>
      <c r="C325" s="22">
        <f t="shared" si="2"/>
        <v>1763</v>
      </c>
      <c r="D325" s="22">
        <f t="shared" si="3"/>
        <v>1572</v>
      </c>
      <c r="E325" s="22">
        <f t="shared" si="1"/>
        <v>910</v>
      </c>
      <c r="F325" s="20"/>
      <c r="G325" s="20"/>
      <c r="H325" s="20"/>
      <c r="I325" s="20"/>
      <c r="J325" s="20"/>
      <c r="K325" s="20"/>
      <c r="L325" s="22">
        <f t="shared" si="4"/>
        <v>-977</v>
      </c>
      <c r="M325" s="38">
        <f t="shared" si="5"/>
        <v>1.243002545</v>
      </c>
      <c r="N325" s="22">
        <f t="shared" si="6"/>
        <v>954529</v>
      </c>
      <c r="O325" s="20"/>
      <c r="P325" s="22">
        <f t="shared" si="7"/>
        <v>-786</v>
      </c>
      <c r="Q325" s="38">
        <f t="shared" si="8"/>
        <v>1</v>
      </c>
      <c r="R325" s="22">
        <f t="shared" si="9"/>
        <v>617796</v>
      </c>
      <c r="S325" s="20"/>
      <c r="T325" s="22">
        <f t="shared" si="10"/>
        <v>-124</v>
      </c>
      <c r="U325" s="38">
        <f t="shared" si="11"/>
        <v>0.1577608142</v>
      </c>
      <c r="V325" s="22">
        <f t="shared" si="12"/>
        <v>15376</v>
      </c>
    </row>
    <row r="326">
      <c r="A326" s="2">
        <v>41009.0</v>
      </c>
      <c r="B326" s="5">
        <v>3828.0</v>
      </c>
      <c r="C326" s="22">
        <f t="shared" si="2"/>
        <v>1806</v>
      </c>
      <c r="D326" s="22">
        <f t="shared" si="3"/>
        <v>1570</v>
      </c>
      <c r="E326" s="22">
        <f t="shared" si="1"/>
        <v>836</v>
      </c>
      <c r="F326" s="20"/>
      <c r="G326" s="20"/>
      <c r="H326" s="20"/>
      <c r="I326" s="20"/>
      <c r="J326" s="20"/>
      <c r="K326" s="20"/>
      <c r="L326" s="22">
        <f t="shared" si="4"/>
        <v>2022</v>
      </c>
      <c r="M326" s="38">
        <f t="shared" si="5"/>
        <v>0.5282131661</v>
      </c>
      <c r="N326" s="22">
        <f t="shared" si="6"/>
        <v>4088484</v>
      </c>
      <c r="O326" s="20"/>
      <c r="P326" s="22">
        <f t="shared" si="7"/>
        <v>2258</v>
      </c>
      <c r="Q326" s="38">
        <f t="shared" si="8"/>
        <v>0.5898641588</v>
      </c>
      <c r="R326" s="22">
        <f t="shared" si="9"/>
        <v>5098564</v>
      </c>
      <c r="S326" s="20"/>
      <c r="T326" s="22">
        <f t="shared" si="10"/>
        <v>2992</v>
      </c>
      <c r="U326" s="38">
        <f t="shared" si="11"/>
        <v>0.7816091954</v>
      </c>
      <c r="V326" s="22">
        <f t="shared" si="12"/>
        <v>8952064</v>
      </c>
    </row>
    <row r="327">
      <c r="A327" s="2">
        <v>41010.0</v>
      </c>
      <c r="B327" s="5">
        <v>4704.0</v>
      </c>
      <c r="C327" s="22">
        <f t="shared" si="2"/>
        <v>2521</v>
      </c>
      <c r="D327" s="22">
        <f t="shared" si="3"/>
        <v>1577</v>
      </c>
      <c r="E327" s="22">
        <f t="shared" si="1"/>
        <v>2631</v>
      </c>
      <c r="F327" s="20"/>
      <c r="G327" s="20"/>
      <c r="H327" s="20"/>
      <c r="I327" s="20"/>
      <c r="J327" s="20"/>
      <c r="K327" s="20"/>
      <c r="L327" s="22">
        <f t="shared" si="4"/>
        <v>2183</v>
      </c>
      <c r="M327" s="38">
        <f t="shared" si="5"/>
        <v>0.4640731293</v>
      </c>
      <c r="N327" s="22">
        <f t="shared" si="6"/>
        <v>4765489</v>
      </c>
      <c r="O327" s="20"/>
      <c r="P327" s="22">
        <f t="shared" si="7"/>
        <v>3127</v>
      </c>
      <c r="Q327" s="38">
        <f t="shared" si="8"/>
        <v>0.6647534014</v>
      </c>
      <c r="R327" s="22">
        <f t="shared" si="9"/>
        <v>9778129</v>
      </c>
      <c r="S327" s="20"/>
      <c r="T327" s="22">
        <f t="shared" si="10"/>
        <v>2073</v>
      </c>
      <c r="U327" s="38">
        <f t="shared" si="11"/>
        <v>0.4406887755</v>
      </c>
      <c r="V327" s="22">
        <f t="shared" si="12"/>
        <v>4297329</v>
      </c>
    </row>
    <row r="328">
      <c r="A328" s="2">
        <v>41011.0</v>
      </c>
      <c r="B328" s="5">
        <v>864.0</v>
      </c>
      <c r="C328" s="22">
        <f t="shared" si="2"/>
        <v>2020</v>
      </c>
      <c r="D328" s="22">
        <f t="shared" si="3"/>
        <v>1587</v>
      </c>
      <c r="E328" s="22">
        <f t="shared" si="1"/>
        <v>3875</v>
      </c>
      <c r="F328" s="20"/>
      <c r="G328" s="20"/>
      <c r="H328" s="20"/>
      <c r="I328" s="20"/>
      <c r="J328" s="20"/>
      <c r="K328" s="20"/>
      <c r="L328" s="22">
        <f t="shared" si="4"/>
        <v>-1156</v>
      </c>
      <c r="M328" s="38">
        <f t="shared" si="5"/>
        <v>1.337962963</v>
      </c>
      <c r="N328" s="22">
        <f t="shared" si="6"/>
        <v>1336336</v>
      </c>
      <c r="O328" s="20"/>
      <c r="P328" s="22">
        <f t="shared" si="7"/>
        <v>-723</v>
      </c>
      <c r="Q328" s="38">
        <f t="shared" si="8"/>
        <v>0.8368055556</v>
      </c>
      <c r="R328" s="22">
        <f t="shared" si="9"/>
        <v>522729</v>
      </c>
      <c r="S328" s="20"/>
      <c r="T328" s="22">
        <f t="shared" si="10"/>
        <v>-3011</v>
      </c>
      <c r="U328" s="38">
        <f t="shared" si="11"/>
        <v>3.484953704</v>
      </c>
      <c r="V328" s="22">
        <f t="shared" si="12"/>
        <v>9066121</v>
      </c>
    </row>
    <row r="329">
      <c r="A329" s="2">
        <v>41012.0</v>
      </c>
      <c r="B329" s="5">
        <v>78.0</v>
      </c>
      <c r="C329" s="22">
        <f t="shared" si="2"/>
        <v>2039</v>
      </c>
      <c r="D329" s="22">
        <f t="shared" si="3"/>
        <v>1584</v>
      </c>
      <c r="E329" s="22">
        <f t="shared" si="1"/>
        <v>2068</v>
      </c>
      <c r="F329" s="20"/>
      <c r="G329" s="20"/>
      <c r="H329" s="20"/>
      <c r="I329" s="20"/>
      <c r="J329" s="20"/>
      <c r="K329" s="20"/>
      <c r="L329" s="22">
        <f t="shared" si="4"/>
        <v>-1961</v>
      </c>
      <c r="M329" s="38">
        <f t="shared" si="5"/>
        <v>25.14102564</v>
      </c>
      <c r="N329" s="22">
        <f t="shared" si="6"/>
        <v>3845521</v>
      </c>
      <c r="O329" s="20"/>
      <c r="P329" s="22">
        <f t="shared" si="7"/>
        <v>-1506</v>
      </c>
      <c r="Q329" s="38">
        <f t="shared" si="8"/>
        <v>19.30769231</v>
      </c>
      <c r="R329" s="22">
        <f t="shared" si="9"/>
        <v>2268036</v>
      </c>
      <c r="S329" s="20"/>
      <c r="T329" s="22">
        <f t="shared" si="10"/>
        <v>-1990</v>
      </c>
      <c r="U329" s="38">
        <f t="shared" si="11"/>
        <v>25.51282051</v>
      </c>
      <c r="V329" s="22">
        <f t="shared" si="12"/>
        <v>3960100</v>
      </c>
    </row>
    <row r="330">
      <c r="A330" s="2">
        <v>41015.0</v>
      </c>
      <c r="B330" s="5">
        <v>906.0</v>
      </c>
      <c r="C330" s="22">
        <f t="shared" si="2"/>
        <v>2052</v>
      </c>
      <c r="D330" s="22">
        <f t="shared" si="3"/>
        <v>1580</v>
      </c>
      <c r="E330" s="22">
        <f t="shared" si="1"/>
        <v>874</v>
      </c>
      <c r="F330" s="20"/>
      <c r="G330" s="20"/>
      <c r="H330" s="20"/>
      <c r="I330" s="20"/>
      <c r="J330" s="20"/>
      <c r="K330" s="20"/>
      <c r="L330" s="22">
        <f t="shared" si="4"/>
        <v>-1146</v>
      </c>
      <c r="M330" s="38">
        <f t="shared" si="5"/>
        <v>1.264900662</v>
      </c>
      <c r="N330" s="22">
        <f t="shared" si="6"/>
        <v>1313316</v>
      </c>
      <c r="O330" s="20"/>
      <c r="P330" s="22">
        <f t="shared" si="7"/>
        <v>-674</v>
      </c>
      <c r="Q330" s="38">
        <f t="shared" si="8"/>
        <v>0.7439293598</v>
      </c>
      <c r="R330" s="22">
        <f t="shared" si="9"/>
        <v>454276</v>
      </c>
      <c r="S330" s="20"/>
      <c r="T330" s="22">
        <f t="shared" si="10"/>
        <v>32</v>
      </c>
      <c r="U330" s="38">
        <f t="shared" si="11"/>
        <v>0.0353200883</v>
      </c>
      <c r="V330" s="22">
        <f t="shared" si="12"/>
        <v>1024</v>
      </c>
    </row>
    <row r="331">
      <c r="A331" s="2">
        <v>41016.0</v>
      </c>
      <c r="B331" s="5">
        <v>3828.0</v>
      </c>
      <c r="C331" s="22">
        <f t="shared" si="2"/>
        <v>2076</v>
      </c>
      <c r="D331" s="22">
        <f t="shared" si="3"/>
        <v>1578</v>
      </c>
      <c r="E331" s="22">
        <f t="shared" si="1"/>
        <v>893</v>
      </c>
      <c r="F331" s="20"/>
      <c r="G331" s="20"/>
      <c r="H331" s="20"/>
      <c r="I331" s="20"/>
      <c r="J331" s="20"/>
      <c r="K331" s="20"/>
      <c r="L331" s="22">
        <f t="shared" si="4"/>
        <v>1752</v>
      </c>
      <c r="M331" s="38">
        <f t="shared" si="5"/>
        <v>0.4576802508</v>
      </c>
      <c r="N331" s="22">
        <f t="shared" si="6"/>
        <v>3069504</v>
      </c>
      <c r="O331" s="20"/>
      <c r="P331" s="22">
        <f t="shared" si="7"/>
        <v>2250</v>
      </c>
      <c r="Q331" s="38">
        <f t="shared" si="8"/>
        <v>0.5877742947</v>
      </c>
      <c r="R331" s="22">
        <f t="shared" si="9"/>
        <v>5062500</v>
      </c>
      <c r="S331" s="20"/>
      <c r="T331" s="22">
        <f t="shared" si="10"/>
        <v>2935</v>
      </c>
      <c r="U331" s="38">
        <f t="shared" si="11"/>
        <v>0.7667189133</v>
      </c>
      <c r="V331" s="22">
        <f t="shared" si="12"/>
        <v>8614225</v>
      </c>
    </row>
    <row r="332">
      <c r="A332" s="2">
        <v>41017.0</v>
      </c>
      <c r="B332" s="5">
        <v>4518.0</v>
      </c>
      <c r="C332" s="22">
        <f t="shared" si="2"/>
        <v>2076</v>
      </c>
      <c r="D332" s="22">
        <f t="shared" si="3"/>
        <v>1585</v>
      </c>
      <c r="E332" s="22">
        <f t="shared" si="1"/>
        <v>2654</v>
      </c>
      <c r="F332" s="20"/>
      <c r="G332" s="20"/>
      <c r="H332" s="20"/>
      <c r="I332" s="20"/>
      <c r="J332" s="20"/>
      <c r="K332" s="20"/>
      <c r="L332" s="22">
        <f t="shared" si="4"/>
        <v>2442</v>
      </c>
      <c r="M332" s="38">
        <f t="shared" si="5"/>
        <v>0.5405046481</v>
      </c>
      <c r="N332" s="22">
        <f t="shared" si="6"/>
        <v>5963364</v>
      </c>
      <c r="O332" s="20"/>
      <c r="P332" s="22">
        <f t="shared" si="7"/>
        <v>2933</v>
      </c>
      <c r="Q332" s="38">
        <f t="shared" si="8"/>
        <v>0.6491810536</v>
      </c>
      <c r="R332" s="22">
        <f t="shared" si="9"/>
        <v>8602489</v>
      </c>
      <c r="S332" s="20"/>
      <c r="T332" s="22">
        <f t="shared" si="10"/>
        <v>1864</v>
      </c>
      <c r="U332" s="38">
        <f t="shared" si="11"/>
        <v>0.4125719345</v>
      </c>
      <c r="V332" s="22">
        <f t="shared" si="12"/>
        <v>3474496</v>
      </c>
    </row>
    <row r="333">
      <c r="A333" s="2">
        <v>41018.0</v>
      </c>
      <c r="B333" s="5">
        <v>720.0</v>
      </c>
      <c r="C333" s="22">
        <f t="shared" si="2"/>
        <v>2039</v>
      </c>
      <c r="D333" s="22">
        <f t="shared" si="3"/>
        <v>1593</v>
      </c>
      <c r="E333" s="22">
        <f t="shared" si="1"/>
        <v>3772</v>
      </c>
      <c r="F333" s="20"/>
      <c r="G333" s="20"/>
      <c r="H333" s="20"/>
      <c r="I333" s="20"/>
      <c r="J333" s="20"/>
      <c r="K333" s="20"/>
      <c r="L333" s="22">
        <f t="shared" si="4"/>
        <v>-1319</v>
      </c>
      <c r="M333" s="38">
        <f t="shared" si="5"/>
        <v>1.831944444</v>
      </c>
      <c r="N333" s="22">
        <f t="shared" si="6"/>
        <v>1739761</v>
      </c>
      <c r="O333" s="20"/>
      <c r="P333" s="22">
        <f t="shared" si="7"/>
        <v>-873</v>
      </c>
      <c r="Q333" s="38">
        <f t="shared" si="8"/>
        <v>1.2125</v>
      </c>
      <c r="R333" s="22">
        <f t="shared" si="9"/>
        <v>762129</v>
      </c>
      <c r="S333" s="20"/>
      <c r="T333" s="22">
        <f t="shared" si="10"/>
        <v>-3052</v>
      </c>
      <c r="U333" s="38">
        <f t="shared" si="11"/>
        <v>4.238888889</v>
      </c>
      <c r="V333" s="22">
        <f t="shared" si="12"/>
        <v>9314704</v>
      </c>
    </row>
    <row r="334">
      <c r="A334" s="2">
        <v>41019.0</v>
      </c>
      <c r="B334" s="5">
        <v>84.0</v>
      </c>
      <c r="C334" s="22">
        <f t="shared" si="2"/>
        <v>2010</v>
      </c>
      <c r="D334" s="22">
        <f t="shared" si="3"/>
        <v>1591</v>
      </c>
      <c r="E334" s="22">
        <f t="shared" si="1"/>
        <v>1941</v>
      </c>
      <c r="F334" s="20"/>
      <c r="G334" s="20"/>
      <c r="H334" s="20"/>
      <c r="I334" s="20"/>
      <c r="J334" s="20"/>
      <c r="K334" s="20"/>
      <c r="L334" s="22">
        <f t="shared" si="4"/>
        <v>-1926</v>
      </c>
      <c r="M334" s="38">
        <f t="shared" si="5"/>
        <v>22.92857143</v>
      </c>
      <c r="N334" s="22">
        <f t="shared" si="6"/>
        <v>3709476</v>
      </c>
      <c r="O334" s="20"/>
      <c r="P334" s="22">
        <f t="shared" si="7"/>
        <v>-1507</v>
      </c>
      <c r="Q334" s="38">
        <f t="shared" si="8"/>
        <v>17.94047619</v>
      </c>
      <c r="R334" s="22">
        <f t="shared" si="9"/>
        <v>2271049</v>
      </c>
      <c r="S334" s="20"/>
      <c r="T334" s="22">
        <f t="shared" si="10"/>
        <v>-1857</v>
      </c>
      <c r="U334" s="38">
        <f t="shared" si="11"/>
        <v>22.10714286</v>
      </c>
      <c r="V334" s="22">
        <f t="shared" si="12"/>
        <v>3448449</v>
      </c>
    </row>
    <row r="335">
      <c r="A335" s="2">
        <v>41022.0</v>
      </c>
      <c r="B335" s="5">
        <v>444.0</v>
      </c>
      <c r="C335" s="22">
        <f t="shared" si="2"/>
        <v>2011</v>
      </c>
      <c r="D335" s="22">
        <f t="shared" si="3"/>
        <v>1586</v>
      </c>
      <c r="E335" s="22">
        <f t="shared" si="1"/>
        <v>827</v>
      </c>
      <c r="F335" s="20"/>
      <c r="G335" s="20"/>
      <c r="H335" s="20"/>
      <c r="I335" s="20"/>
      <c r="J335" s="20"/>
      <c r="K335" s="20"/>
      <c r="L335" s="22">
        <f t="shared" si="4"/>
        <v>-1567</v>
      </c>
      <c r="M335" s="38">
        <f t="shared" si="5"/>
        <v>3.529279279</v>
      </c>
      <c r="N335" s="22">
        <f t="shared" si="6"/>
        <v>2455489</v>
      </c>
      <c r="O335" s="20"/>
      <c r="P335" s="22">
        <f t="shared" si="7"/>
        <v>-1142</v>
      </c>
      <c r="Q335" s="38">
        <f t="shared" si="8"/>
        <v>2.572072072</v>
      </c>
      <c r="R335" s="22">
        <f t="shared" si="9"/>
        <v>1304164</v>
      </c>
      <c r="S335" s="20"/>
      <c r="T335" s="22">
        <f t="shared" si="10"/>
        <v>-383</v>
      </c>
      <c r="U335" s="38">
        <f t="shared" si="11"/>
        <v>0.8626126126</v>
      </c>
      <c r="V335" s="22">
        <f t="shared" si="12"/>
        <v>146689</v>
      </c>
    </row>
    <row r="336">
      <c r="A336" s="2">
        <v>41023.0</v>
      </c>
      <c r="B336" s="5">
        <v>3402.0</v>
      </c>
      <c r="C336" s="22">
        <f t="shared" si="2"/>
        <v>1919</v>
      </c>
      <c r="D336" s="22">
        <f t="shared" si="3"/>
        <v>1583</v>
      </c>
      <c r="E336" s="22">
        <f t="shared" si="1"/>
        <v>597</v>
      </c>
      <c r="F336" s="20"/>
      <c r="G336" s="20"/>
      <c r="H336" s="20"/>
      <c r="I336" s="20"/>
      <c r="J336" s="20"/>
      <c r="K336" s="20"/>
      <c r="L336" s="22">
        <f t="shared" si="4"/>
        <v>1483</v>
      </c>
      <c r="M336" s="38">
        <f t="shared" si="5"/>
        <v>0.435920047</v>
      </c>
      <c r="N336" s="22">
        <f t="shared" si="6"/>
        <v>2199289</v>
      </c>
      <c r="O336" s="20"/>
      <c r="P336" s="22">
        <f t="shared" si="7"/>
        <v>1819</v>
      </c>
      <c r="Q336" s="38">
        <f t="shared" si="8"/>
        <v>0.5346854791</v>
      </c>
      <c r="R336" s="22">
        <f t="shared" si="9"/>
        <v>3308761</v>
      </c>
      <c r="S336" s="20"/>
      <c r="T336" s="22">
        <f t="shared" si="10"/>
        <v>2805</v>
      </c>
      <c r="U336" s="38">
        <f t="shared" si="11"/>
        <v>0.8245149912</v>
      </c>
      <c r="V336" s="22">
        <f t="shared" si="12"/>
        <v>7868025</v>
      </c>
    </row>
    <row r="337">
      <c r="A337" s="2">
        <v>41024.0</v>
      </c>
      <c r="B337" s="5">
        <v>4788.0</v>
      </c>
      <c r="C337" s="22">
        <f t="shared" si="2"/>
        <v>1834</v>
      </c>
      <c r="D337" s="22">
        <f t="shared" si="3"/>
        <v>1588</v>
      </c>
      <c r="E337" s="22">
        <f t="shared" si="1"/>
        <v>2280</v>
      </c>
      <c r="F337" s="20"/>
      <c r="G337" s="20"/>
      <c r="H337" s="20"/>
      <c r="I337" s="20"/>
      <c r="J337" s="20"/>
      <c r="K337" s="20"/>
      <c r="L337" s="22">
        <f t="shared" si="4"/>
        <v>2954</v>
      </c>
      <c r="M337" s="38">
        <f t="shared" si="5"/>
        <v>0.6169590643</v>
      </c>
      <c r="N337" s="22">
        <f t="shared" si="6"/>
        <v>8726116</v>
      </c>
      <c r="O337" s="20"/>
      <c r="P337" s="22">
        <f t="shared" si="7"/>
        <v>3200</v>
      </c>
      <c r="Q337" s="38">
        <f t="shared" si="8"/>
        <v>0.6683375104</v>
      </c>
      <c r="R337" s="22">
        <f t="shared" si="9"/>
        <v>10240000</v>
      </c>
      <c r="S337" s="20"/>
      <c r="T337" s="22">
        <f t="shared" si="10"/>
        <v>2508</v>
      </c>
      <c r="U337" s="38">
        <f t="shared" si="11"/>
        <v>0.5238095238</v>
      </c>
      <c r="V337" s="22">
        <f t="shared" si="12"/>
        <v>6290064</v>
      </c>
    </row>
    <row r="338">
      <c r="A338" s="2">
        <v>41025.0</v>
      </c>
      <c r="B338" s="5">
        <v>1470.0</v>
      </c>
      <c r="C338" s="22">
        <f t="shared" si="2"/>
        <v>1888</v>
      </c>
      <c r="D338" s="22">
        <f t="shared" si="3"/>
        <v>1598</v>
      </c>
      <c r="E338" s="22">
        <f t="shared" si="1"/>
        <v>3785</v>
      </c>
      <c r="F338" s="20"/>
      <c r="G338" s="20"/>
      <c r="H338" s="20"/>
      <c r="I338" s="20"/>
      <c r="J338" s="20"/>
      <c r="K338" s="20"/>
      <c r="L338" s="22">
        <f t="shared" si="4"/>
        <v>-418</v>
      </c>
      <c r="M338" s="38">
        <f t="shared" si="5"/>
        <v>0.2843537415</v>
      </c>
      <c r="N338" s="22">
        <f t="shared" si="6"/>
        <v>174724</v>
      </c>
      <c r="O338" s="20"/>
      <c r="P338" s="22">
        <f t="shared" si="7"/>
        <v>-128</v>
      </c>
      <c r="Q338" s="38">
        <f t="shared" si="8"/>
        <v>0.08707482993</v>
      </c>
      <c r="R338" s="22">
        <f t="shared" si="9"/>
        <v>16384</v>
      </c>
      <c r="S338" s="20"/>
      <c r="T338" s="22">
        <f t="shared" si="10"/>
        <v>-2315</v>
      </c>
      <c r="U338" s="38">
        <f t="shared" si="11"/>
        <v>1.574829932</v>
      </c>
      <c r="V338" s="22">
        <f t="shared" si="12"/>
        <v>5359225</v>
      </c>
    </row>
    <row r="339">
      <c r="A339" s="2">
        <v>41026.0</v>
      </c>
      <c r="B339" s="5">
        <v>30.0</v>
      </c>
      <c r="C339" s="22">
        <f t="shared" si="2"/>
        <v>2038</v>
      </c>
      <c r="D339" s="22">
        <f t="shared" si="3"/>
        <v>1597</v>
      </c>
      <c r="E339" s="22">
        <f t="shared" si="1"/>
        <v>2396</v>
      </c>
      <c r="F339" s="20"/>
      <c r="G339" s="20"/>
      <c r="H339" s="20"/>
      <c r="I339" s="20"/>
      <c r="J339" s="20"/>
      <c r="K339" s="20"/>
      <c r="L339" s="22">
        <f t="shared" si="4"/>
        <v>-2008</v>
      </c>
      <c r="M339" s="38">
        <f t="shared" si="5"/>
        <v>66.93333333</v>
      </c>
      <c r="N339" s="22">
        <f t="shared" si="6"/>
        <v>4032064</v>
      </c>
      <c r="O339" s="20"/>
      <c r="P339" s="22">
        <f t="shared" si="7"/>
        <v>-1567</v>
      </c>
      <c r="Q339" s="38">
        <f t="shared" si="8"/>
        <v>52.23333333</v>
      </c>
      <c r="R339" s="22">
        <f t="shared" si="9"/>
        <v>2455489</v>
      </c>
      <c r="S339" s="20"/>
      <c r="T339" s="22">
        <f t="shared" si="10"/>
        <v>-2366</v>
      </c>
      <c r="U339" s="38">
        <f t="shared" si="11"/>
        <v>78.86666667</v>
      </c>
      <c r="V339" s="22">
        <f t="shared" si="12"/>
        <v>5597956</v>
      </c>
    </row>
    <row r="340">
      <c r="A340" s="2">
        <v>41029.0</v>
      </c>
      <c r="B340" s="5">
        <v>210.0</v>
      </c>
      <c r="C340" s="22">
        <f t="shared" si="2"/>
        <v>2027</v>
      </c>
      <c r="D340" s="22">
        <f t="shared" si="3"/>
        <v>1593</v>
      </c>
      <c r="E340" s="22">
        <f t="shared" si="1"/>
        <v>976</v>
      </c>
      <c r="F340" s="20"/>
      <c r="G340" s="20"/>
      <c r="H340" s="20"/>
      <c r="I340" s="20"/>
      <c r="J340" s="20"/>
      <c r="K340" s="20"/>
      <c r="L340" s="22">
        <f t="shared" si="4"/>
        <v>-1817</v>
      </c>
      <c r="M340" s="38">
        <f t="shared" si="5"/>
        <v>8.652380952</v>
      </c>
      <c r="N340" s="22">
        <f t="shared" si="6"/>
        <v>3301489</v>
      </c>
      <c r="O340" s="20"/>
      <c r="P340" s="22">
        <f t="shared" si="7"/>
        <v>-1383</v>
      </c>
      <c r="Q340" s="38">
        <f t="shared" si="8"/>
        <v>6.585714286</v>
      </c>
      <c r="R340" s="22">
        <f t="shared" si="9"/>
        <v>1912689</v>
      </c>
      <c r="S340" s="20"/>
      <c r="T340" s="22">
        <f t="shared" si="10"/>
        <v>-766</v>
      </c>
      <c r="U340" s="38">
        <f t="shared" si="11"/>
        <v>3.647619048</v>
      </c>
      <c r="V340" s="22">
        <f t="shared" si="12"/>
        <v>586756</v>
      </c>
    </row>
    <row r="341">
      <c r="A341" s="4">
        <v>41030.0</v>
      </c>
      <c r="B341" s="5">
        <v>3642.0</v>
      </c>
      <c r="C341" s="22">
        <f t="shared" si="2"/>
        <v>1980</v>
      </c>
      <c r="D341" s="22">
        <f t="shared" si="3"/>
        <v>1589</v>
      </c>
      <c r="E341" s="22">
        <f t="shared" si="1"/>
        <v>516</v>
      </c>
      <c r="F341" s="20"/>
      <c r="G341" s="20"/>
      <c r="H341" s="20"/>
      <c r="I341" s="20"/>
      <c r="J341" s="20"/>
      <c r="K341" s="20"/>
      <c r="L341" s="22">
        <f t="shared" si="4"/>
        <v>1662</v>
      </c>
      <c r="M341" s="38">
        <f t="shared" si="5"/>
        <v>0.4563426689</v>
      </c>
      <c r="N341" s="22">
        <f t="shared" si="6"/>
        <v>2762244</v>
      </c>
      <c r="O341" s="20"/>
      <c r="P341" s="22">
        <f t="shared" si="7"/>
        <v>2053</v>
      </c>
      <c r="Q341" s="38">
        <f t="shared" si="8"/>
        <v>0.563701263</v>
      </c>
      <c r="R341" s="22">
        <f t="shared" si="9"/>
        <v>4214809</v>
      </c>
      <c r="S341" s="20"/>
      <c r="T341" s="22">
        <f t="shared" si="10"/>
        <v>3126</v>
      </c>
      <c r="U341" s="38">
        <f t="shared" si="11"/>
        <v>0.8583196046</v>
      </c>
      <c r="V341" s="22">
        <f t="shared" si="12"/>
        <v>9771876</v>
      </c>
    </row>
    <row r="342">
      <c r="A342" s="4">
        <v>41031.0</v>
      </c>
      <c r="B342" s="5">
        <v>4566.0</v>
      </c>
      <c r="C342" s="22">
        <f t="shared" si="2"/>
        <v>2028</v>
      </c>
      <c r="D342" s="22">
        <f t="shared" si="3"/>
        <v>1595</v>
      </c>
      <c r="E342" s="22">
        <f t="shared" si="1"/>
        <v>2392</v>
      </c>
      <c r="F342" s="20"/>
      <c r="G342" s="20"/>
      <c r="H342" s="20"/>
      <c r="I342" s="20"/>
      <c r="J342" s="20"/>
      <c r="K342" s="20"/>
      <c r="L342" s="22">
        <f t="shared" si="4"/>
        <v>2538</v>
      </c>
      <c r="M342" s="38">
        <f t="shared" si="5"/>
        <v>0.555847569</v>
      </c>
      <c r="N342" s="22">
        <f t="shared" si="6"/>
        <v>6441444</v>
      </c>
      <c r="O342" s="20"/>
      <c r="P342" s="22">
        <f t="shared" si="7"/>
        <v>2971</v>
      </c>
      <c r="Q342" s="38">
        <f t="shared" si="8"/>
        <v>0.6506789312</v>
      </c>
      <c r="R342" s="22">
        <f t="shared" si="9"/>
        <v>8826841</v>
      </c>
      <c r="S342" s="20"/>
      <c r="T342" s="22">
        <f t="shared" si="10"/>
        <v>2174</v>
      </c>
      <c r="U342" s="38">
        <f t="shared" si="11"/>
        <v>0.4761279019</v>
      </c>
      <c r="V342" s="22">
        <f t="shared" si="12"/>
        <v>4726276</v>
      </c>
    </row>
    <row r="343">
      <c r="A343" s="4">
        <v>41032.0</v>
      </c>
      <c r="B343" s="5">
        <v>948.0</v>
      </c>
      <c r="C343" s="22">
        <f t="shared" si="2"/>
        <v>1984</v>
      </c>
      <c r="D343" s="22">
        <f t="shared" si="3"/>
        <v>1603</v>
      </c>
      <c r="E343" s="22">
        <f t="shared" si="1"/>
        <v>3696</v>
      </c>
      <c r="F343" s="20"/>
      <c r="G343" s="20"/>
      <c r="H343" s="20"/>
      <c r="I343" s="20"/>
      <c r="J343" s="20"/>
      <c r="K343" s="20"/>
      <c r="L343" s="22">
        <f t="shared" si="4"/>
        <v>-1036</v>
      </c>
      <c r="M343" s="38">
        <f t="shared" si="5"/>
        <v>1.092827004</v>
      </c>
      <c r="N343" s="22">
        <f t="shared" si="6"/>
        <v>1073296</v>
      </c>
      <c r="O343" s="20"/>
      <c r="P343" s="22">
        <f t="shared" si="7"/>
        <v>-655</v>
      </c>
      <c r="Q343" s="38">
        <f t="shared" si="8"/>
        <v>0.69092827</v>
      </c>
      <c r="R343" s="22">
        <f t="shared" si="9"/>
        <v>429025</v>
      </c>
      <c r="S343" s="20"/>
      <c r="T343" s="22">
        <f t="shared" si="10"/>
        <v>-2748</v>
      </c>
      <c r="U343" s="38">
        <f t="shared" si="11"/>
        <v>2.898734177</v>
      </c>
      <c r="V343" s="22">
        <f t="shared" si="12"/>
        <v>7551504</v>
      </c>
    </row>
    <row r="344">
      <c r="A344" s="4">
        <v>41033.0</v>
      </c>
      <c r="B344" s="5">
        <v>432.0</v>
      </c>
      <c r="C344" s="22">
        <f t="shared" si="2"/>
        <v>1879</v>
      </c>
      <c r="D344" s="22">
        <f t="shared" si="3"/>
        <v>1602</v>
      </c>
      <c r="E344" s="22">
        <f t="shared" si="1"/>
        <v>2047</v>
      </c>
      <c r="F344" s="20"/>
      <c r="G344" s="20"/>
      <c r="H344" s="20"/>
      <c r="I344" s="20"/>
      <c r="J344" s="20"/>
      <c r="K344" s="20"/>
      <c r="L344" s="22">
        <f t="shared" si="4"/>
        <v>-1447</v>
      </c>
      <c r="M344" s="38">
        <f t="shared" si="5"/>
        <v>3.349537037</v>
      </c>
      <c r="N344" s="22">
        <f t="shared" si="6"/>
        <v>2093809</v>
      </c>
      <c r="O344" s="20"/>
      <c r="P344" s="22">
        <f t="shared" si="7"/>
        <v>-1170</v>
      </c>
      <c r="Q344" s="38">
        <f t="shared" si="8"/>
        <v>2.708333333</v>
      </c>
      <c r="R344" s="22">
        <f t="shared" si="9"/>
        <v>1368900</v>
      </c>
      <c r="S344" s="20"/>
      <c r="T344" s="22">
        <f t="shared" si="10"/>
        <v>-1615</v>
      </c>
      <c r="U344" s="38">
        <f t="shared" si="11"/>
        <v>3.738425926</v>
      </c>
      <c r="V344" s="22">
        <f t="shared" si="12"/>
        <v>2608225</v>
      </c>
    </row>
    <row r="345">
      <c r="A345" s="4">
        <v>41036.0</v>
      </c>
      <c r="B345" s="5">
        <v>636.0</v>
      </c>
      <c r="C345" s="22">
        <f t="shared" si="2"/>
        <v>1960</v>
      </c>
      <c r="D345" s="22">
        <f t="shared" si="3"/>
        <v>1598</v>
      </c>
      <c r="E345" s="22">
        <f t="shared" si="1"/>
        <v>1078</v>
      </c>
      <c r="F345" s="20"/>
      <c r="G345" s="20"/>
      <c r="H345" s="20"/>
      <c r="I345" s="20"/>
      <c r="J345" s="20"/>
      <c r="K345" s="20"/>
      <c r="L345" s="22">
        <f t="shared" si="4"/>
        <v>-1324</v>
      </c>
      <c r="M345" s="38">
        <f t="shared" si="5"/>
        <v>2.081761006</v>
      </c>
      <c r="N345" s="22">
        <f t="shared" si="6"/>
        <v>1752976</v>
      </c>
      <c r="O345" s="20"/>
      <c r="P345" s="22">
        <f t="shared" si="7"/>
        <v>-962</v>
      </c>
      <c r="Q345" s="38">
        <f t="shared" si="8"/>
        <v>1.512578616</v>
      </c>
      <c r="R345" s="22">
        <f t="shared" si="9"/>
        <v>925444</v>
      </c>
      <c r="S345" s="20"/>
      <c r="T345" s="22">
        <f t="shared" si="10"/>
        <v>-442</v>
      </c>
      <c r="U345" s="38">
        <f t="shared" si="11"/>
        <v>0.6949685535</v>
      </c>
      <c r="V345" s="22">
        <f t="shared" si="12"/>
        <v>195364</v>
      </c>
    </row>
    <row r="346">
      <c r="A346" s="4">
        <v>41037.0</v>
      </c>
      <c r="B346" s="5">
        <v>312.0</v>
      </c>
      <c r="C346" s="22">
        <f t="shared" si="2"/>
        <v>2045</v>
      </c>
      <c r="D346" s="22">
        <f t="shared" si="3"/>
        <v>1595</v>
      </c>
      <c r="E346" s="22">
        <f t="shared" si="1"/>
        <v>813</v>
      </c>
      <c r="F346" s="20"/>
      <c r="G346" s="20"/>
      <c r="H346" s="20"/>
      <c r="I346" s="20"/>
      <c r="J346" s="20"/>
      <c r="K346" s="20"/>
      <c r="L346" s="22">
        <f t="shared" si="4"/>
        <v>-1733</v>
      </c>
      <c r="M346" s="38">
        <f t="shared" si="5"/>
        <v>5.554487179</v>
      </c>
      <c r="N346" s="22">
        <f t="shared" si="6"/>
        <v>3003289</v>
      </c>
      <c r="O346" s="20"/>
      <c r="P346" s="22">
        <f t="shared" si="7"/>
        <v>-1283</v>
      </c>
      <c r="Q346" s="38">
        <f t="shared" si="8"/>
        <v>4.112179487</v>
      </c>
      <c r="R346" s="22">
        <f t="shared" si="9"/>
        <v>1646089</v>
      </c>
      <c r="S346" s="20"/>
      <c r="T346" s="22">
        <f t="shared" si="10"/>
        <v>-501</v>
      </c>
      <c r="U346" s="38">
        <f t="shared" si="11"/>
        <v>1.605769231</v>
      </c>
      <c r="V346" s="22">
        <f t="shared" si="12"/>
        <v>251001</v>
      </c>
    </row>
    <row r="347">
      <c r="A347" s="4">
        <v>41038.0</v>
      </c>
      <c r="B347" s="5">
        <v>7044.0</v>
      </c>
      <c r="C347" s="22">
        <f t="shared" si="2"/>
        <v>1379</v>
      </c>
      <c r="D347" s="22">
        <f t="shared" si="3"/>
        <v>1592</v>
      </c>
      <c r="E347" s="22">
        <f t="shared" si="1"/>
        <v>512</v>
      </c>
      <c r="F347" s="20"/>
      <c r="G347" s="20"/>
      <c r="H347" s="20"/>
      <c r="I347" s="20"/>
      <c r="J347" s="20"/>
      <c r="K347" s="20"/>
      <c r="L347" s="22">
        <f t="shared" si="4"/>
        <v>5665</v>
      </c>
      <c r="M347" s="38">
        <f t="shared" si="5"/>
        <v>0.8042305508</v>
      </c>
      <c r="N347" s="22">
        <f t="shared" si="6"/>
        <v>32092225</v>
      </c>
      <c r="O347" s="20"/>
      <c r="P347" s="22">
        <f t="shared" si="7"/>
        <v>5452</v>
      </c>
      <c r="Q347" s="38">
        <f t="shared" si="8"/>
        <v>0.77399205</v>
      </c>
      <c r="R347" s="22">
        <f t="shared" si="9"/>
        <v>29724304</v>
      </c>
      <c r="S347" s="20"/>
      <c r="T347" s="22">
        <f t="shared" si="10"/>
        <v>6532</v>
      </c>
      <c r="U347" s="38">
        <f t="shared" si="11"/>
        <v>0.9273140261</v>
      </c>
      <c r="V347" s="22">
        <f t="shared" si="12"/>
        <v>42667024</v>
      </c>
    </row>
    <row r="348">
      <c r="A348" s="4">
        <v>41039.0</v>
      </c>
      <c r="B348" s="5">
        <v>570.0</v>
      </c>
      <c r="C348" s="22">
        <f t="shared" si="2"/>
        <v>1874</v>
      </c>
      <c r="D348" s="22">
        <f t="shared" si="3"/>
        <v>1607</v>
      </c>
      <c r="E348" s="22">
        <f t="shared" si="1"/>
        <v>4431</v>
      </c>
      <c r="F348" s="20"/>
      <c r="G348" s="20"/>
      <c r="H348" s="20"/>
      <c r="I348" s="20"/>
      <c r="J348" s="20"/>
      <c r="K348" s="20"/>
      <c r="L348" s="22">
        <f t="shared" si="4"/>
        <v>-1304</v>
      </c>
      <c r="M348" s="38">
        <f t="shared" si="5"/>
        <v>2.287719298</v>
      </c>
      <c r="N348" s="22">
        <f t="shared" si="6"/>
        <v>1700416</v>
      </c>
      <c r="O348" s="20"/>
      <c r="P348" s="22">
        <f t="shared" si="7"/>
        <v>-1037</v>
      </c>
      <c r="Q348" s="38">
        <f t="shared" si="8"/>
        <v>1.819298246</v>
      </c>
      <c r="R348" s="22">
        <f t="shared" si="9"/>
        <v>1075369</v>
      </c>
      <c r="S348" s="20"/>
      <c r="T348" s="22">
        <f t="shared" si="10"/>
        <v>-3861</v>
      </c>
      <c r="U348" s="38">
        <f t="shared" si="11"/>
        <v>6.773684211</v>
      </c>
      <c r="V348" s="22">
        <f t="shared" si="12"/>
        <v>14907321</v>
      </c>
    </row>
    <row r="349">
      <c r="A349" s="4">
        <v>41040.0</v>
      </c>
      <c r="B349" s="5">
        <v>186.0</v>
      </c>
      <c r="C349" s="22">
        <f t="shared" si="2"/>
        <v>1799</v>
      </c>
      <c r="D349" s="22">
        <f t="shared" si="3"/>
        <v>1604</v>
      </c>
      <c r="E349" s="22">
        <f t="shared" si="1"/>
        <v>2114</v>
      </c>
      <c r="F349" s="20"/>
      <c r="G349" s="20"/>
      <c r="H349" s="20"/>
      <c r="I349" s="20"/>
      <c r="J349" s="20"/>
      <c r="K349" s="20"/>
      <c r="L349" s="22">
        <f t="shared" si="4"/>
        <v>-1613</v>
      </c>
      <c r="M349" s="38">
        <f t="shared" si="5"/>
        <v>8.672043011</v>
      </c>
      <c r="N349" s="22">
        <f t="shared" si="6"/>
        <v>2601769</v>
      </c>
      <c r="O349" s="20"/>
      <c r="P349" s="22">
        <f t="shared" si="7"/>
        <v>-1418</v>
      </c>
      <c r="Q349" s="38">
        <f t="shared" si="8"/>
        <v>7.623655914</v>
      </c>
      <c r="R349" s="22">
        <f t="shared" si="9"/>
        <v>2010724</v>
      </c>
      <c r="S349" s="20"/>
      <c r="T349" s="22">
        <f t="shared" si="10"/>
        <v>-1928</v>
      </c>
      <c r="U349" s="38">
        <f t="shared" si="11"/>
        <v>10.3655914</v>
      </c>
      <c r="V349" s="22">
        <f t="shared" si="12"/>
        <v>3717184</v>
      </c>
    </row>
    <row r="350">
      <c r="A350" s="4">
        <v>41043.0</v>
      </c>
      <c r="B350" s="5">
        <v>600.0</v>
      </c>
      <c r="C350" s="22">
        <f t="shared" si="2"/>
        <v>1750</v>
      </c>
      <c r="D350" s="22">
        <f t="shared" si="3"/>
        <v>1600</v>
      </c>
      <c r="E350" s="22">
        <f t="shared" si="1"/>
        <v>957</v>
      </c>
      <c r="F350" s="20"/>
      <c r="G350" s="20"/>
      <c r="H350" s="20"/>
      <c r="I350" s="20"/>
      <c r="J350" s="20"/>
      <c r="K350" s="20"/>
      <c r="L350" s="22">
        <f t="shared" si="4"/>
        <v>-1150</v>
      </c>
      <c r="M350" s="38">
        <f t="shared" si="5"/>
        <v>1.916666667</v>
      </c>
      <c r="N350" s="22">
        <f t="shared" si="6"/>
        <v>1322500</v>
      </c>
      <c r="O350" s="20"/>
      <c r="P350" s="22">
        <f t="shared" si="7"/>
        <v>-1000</v>
      </c>
      <c r="Q350" s="38">
        <f t="shared" si="8"/>
        <v>1.666666667</v>
      </c>
      <c r="R350" s="22">
        <f t="shared" si="9"/>
        <v>1000000</v>
      </c>
      <c r="S350" s="20"/>
      <c r="T350" s="22">
        <f t="shared" si="10"/>
        <v>-357</v>
      </c>
      <c r="U350" s="38">
        <f t="shared" si="11"/>
        <v>0.595</v>
      </c>
      <c r="V350" s="22">
        <f t="shared" si="12"/>
        <v>127449</v>
      </c>
    </row>
    <row r="351">
      <c r="A351" s="4">
        <v>41044.0</v>
      </c>
      <c r="B351" s="5">
        <v>3474.0</v>
      </c>
      <c r="C351" s="22">
        <f t="shared" si="2"/>
        <v>1742</v>
      </c>
      <c r="D351" s="22">
        <f t="shared" si="3"/>
        <v>1597</v>
      </c>
      <c r="E351" s="22">
        <f t="shared" si="1"/>
        <v>743</v>
      </c>
      <c r="F351" s="20"/>
      <c r="G351" s="20"/>
      <c r="H351" s="20"/>
      <c r="I351" s="20"/>
      <c r="J351" s="20"/>
      <c r="K351" s="20"/>
      <c r="L351" s="22">
        <f t="shared" si="4"/>
        <v>1732</v>
      </c>
      <c r="M351" s="38">
        <f t="shared" si="5"/>
        <v>0.4985607369</v>
      </c>
      <c r="N351" s="22">
        <f t="shared" si="6"/>
        <v>2999824</v>
      </c>
      <c r="O351" s="20"/>
      <c r="P351" s="22">
        <f t="shared" si="7"/>
        <v>1877</v>
      </c>
      <c r="Q351" s="38">
        <f t="shared" si="8"/>
        <v>0.5402993667</v>
      </c>
      <c r="R351" s="22">
        <f t="shared" si="9"/>
        <v>3523129</v>
      </c>
      <c r="S351" s="20"/>
      <c r="T351" s="22">
        <f t="shared" si="10"/>
        <v>2731</v>
      </c>
      <c r="U351" s="38">
        <f t="shared" si="11"/>
        <v>0.7861255037</v>
      </c>
      <c r="V351" s="22">
        <f t="shared" si="12"/>
        <v>7458361</v>
      </c>
    </row>
    <row r="352">
      <c r="A352" s="4">
        <v>41045.0</v>
      </c>
      <c r="B352" s="5">
        <v>6396.0</v>
      </c>
      <c r="C352" s="22">
        <f t="shared" si="2"/>
        <v>2375</v>
      </c>
      <c r="D352" s="22">
        <f t="shared" si="3"/>
        <v>1603</v>
      </c>
      <c r="E352" s="22">
        <f t="shared" si="1"/>
        <v>2382</v>
      </c>
      <c r="F352" s="20"/>
      <c r="G352" s="20"/>
      <c r="H352" s="20"/>
      <c r="I352" s="20"/>
      <c r="J352" s="20"/>
      <c r="K352" s="20"/>
      <c r="L352" s="22">
        <f t="shared" si="4"/>
        <v>4021</v>
      </c>
      <c r="M352" s="38">
        <f t="shared" si="5"/>
        <v>0.6286741714</v>
      </c>
      <c r="N352" s="22">
        <f t="shared" si="6"/>
        <v>16168441</v>
      </c>
      <c r="O352" s="20"/>
      <c r="P352" s="22">
        <f t="shared" si="7"/>
        <v>4793</v>
      </c>
      <c r="Q352" s="38">
        <f t="shared" si="8"/>
        <v>0.7493746091</v>
      </c>
      <c r="R352" s="22">
        <f t="shared" si="9"/>
        <v>22972849</v>
      </c>
      <c r="S352" s="20"/>
      <c r="T352" s="22">
        <f t="shared" si="10"/>
        <v>4014</v>
      </c>
      <c r="U352" s="38">
        <f t="shared" si="11"/>
        <v>0.6275797373</v>
      </c>
      <c r="V352" s="22">
        <f t="shared" si="12"/>
        <v>16112196</v>
      </c>
    </row>
    <row r="353">
      <c r="A353" s="4">
        <v>41046.0</v>
      </c>
      <c r="B353" s="5">
        <v>1350.0</v>
      </c>
      <c r="C353" s="22">
        <f t="shared" si="2"/>
        <v>2245</v>
      </c>
      <c r="D353" s="22">
        <f t="shared" si="3"/>
        <v>1617</v>
      </c>
      <c r="E353" s="22">
        <f t="shared" si="1"/>
        <v>4790</v>
      </c>
      <c r="F353" s="20"/>
      <c r="G353" s="20"/>
      <c r="H353" s="20"/>
      <c r="I353" s="20"/>
      <c r="J353" s="20"/>
      <c r="K353" s="20"/>
      <c r="L353" s="22">
        <f t="shared" si="4"/>
        <v>-895</v>
      </c>
      <c r="M353" s="38">
        <f t="shared" si="5"/>
        <v>0.662962963</v>
      </c>
      <c r="N353" s="22">
        <f t="shared" si="6"/>
        <v>801025</v>
      </c>
      <c r="O353" s="20"/>
      <c r="P353" s="22">
        <f t="shared" si="7"/>
        <v>-267</v>
      </c>
      <c r="Q353" s="38">
        <f t="shared" si="8"/>
        <v>0.1977777778</v>
      </c>
      <c r="R353" s="22">
        <f t="shared" si="9"/>
        <v>71289</v>
      </c>
      <c r="S353" s="20"/>
      <c r="T353" s="22">
        <f t="shared" si="10"/>
        <v>-3440</v>
      </c>
      <c r="U353" s="38">
        <f t="shared" si="11"/>
        <v>2.548148148</v>
      </c>
      <c r="V353" s="22">
        <f t="shared" si="12"/>
        <v>11833600</v>
      </c>
    </row>
    <row r="354">
      <c r="A354" s="4">
        <v>41047.0</v>
      </c>
      <c r="B354" s="5">
        <v>492.0</v>
      </c>
      <c r="C354" s="22">
        <f t="shared" si="2"/>
        <v>2401</v>
      </c>
      <c r="D354" s="22">
        <f t="shared" si="3"/>
        <v>1616</v>
      </c>
      <c r="E354" s="22">
        <f t="shared" si="1"/>
        <v>2726</v>
      </c>
      <c r="F354" s="20"/>
      <c r="G354" s="20"/>
      <c r="H354" s="20"/>
      <c r="I354" s="20"/>
      <c r="J354" s="20"/>
      <c r="K354" s="20"/>
      <c r="L354" s="22">
        <f t="shared" si="4"/>
        <v>-1909</v>
      </c>
      <c r="M354" s="38">
        <f t="shared" si="5"/>
        <v>3.880081301</v>
      </c>
      <c r="N354" s="22">
        <f t="shared" si="6"/>
        <v>3644281</v>
      </c>
      <c r="O354" s="20"/>
      <c r="P354" s="22">
        <f t="shared" si="7"/>
        <v>-1124</v>
      </c>
      <c r="Q354" s="38">
        <f t="shared" si="8"/>
        <v>2.284552846</v>
      </c>
      <c r="R354" s="22">
        <f t="shared" si="9"/>
        <v>1263376</v>
      </c>
      <c r="S354" s="20"/>
      <c r="T354" s="22">
        <f t="shared" si="10"/>
        <v>-2234</v>
      </c>
      <c r="U354" s="38">
        <f t="shared" si="11"/>
        <v>4.540650407</v>
      </c>
      <c r="V354" s="22">
        <f t="shared" si="12"/>
        <v>4990756</v>
      </c>
    </row>
    <row r="355">
      <c r="A355" s="4">
        <v>41050.0</v>
      </c>
      <c r="B355" s="5">
        <v>612.0</v>
      </c>
      <c r="C355" s="22">
        <f t="shared" si="2"/>
        <v>2462</v>
      </c>
      <c r="D355" s="22">
        <f t="shared" si="3"/>
        <v>1613</v>
      </c>
      <c r="E355" s="22">
        <f t="shared" si="1"/>
        <v>1386</v>
      </c>
      <c r="F355" s="20"/>
      <c r="G355" s="20"/>
      <c r="H355" s="20"/>
      <c r="I355" s="20"/>
      <c r="J355" s="20"/>
      <c r="K355" s="20"/>
      <c r="L355" s="22">
        <f t="shared" si="4"/>
        <v>-1850</v>
      </c>
      <c r="M355" s="38">
        <f t="shared" si="5"/>
        <v>3.022875817</v>
      </c>
      <c r="N355" s="22">
        <f t="shared" si="6"/>
        <v>3422500</v>
      </c>
      <c r="O355" s="20"/>
      <c r="P355" s="22">
        <f t="shared" si="7"/>
        <v>-1001</v>
      </c>
      <c r="Q355" s="38">
        <f t="shared" si="8"/>
        <v>1.635620915</v>
      </c>
      <c r="R355" s="22">
        <f t="shared" si="9"/>
        <v>1002001</v>
      </c>
      <c r="S355" s="20"/>
      <c r="T355" s="22">
        <f t="shared" si="10"/>
        <v>-774</v>
      </c>
      <c r="U355" s="38">
        <f t="shared" si="11"/>
        <v>1.264705882</v>
      </c>
      <c r="V355" s="22">
        <f t="shared" si="12"/>
        <v>599076</v>
      </c>
    </row>
    <row r="356">
      <c r="A356" s="4">
        <v>41051.0</v>
      </c>
      <c r="B356" s="5">
        <v>3714.0</v>
      </c>
      <c r="C356" s="22">
        <f t="shared" si="2"/>
        <v>2465</v>
      </c>
      <c r="D356" s="22">
        <f t="shared" si="3"/>
        <v>1610</v>
      </c>
      <c r="E356" s="22">
        <f t="shared" si="1"/>
        <v>922</v>
      </c>
      <c r="F356" s="20"/>
      <c r="G356" s="20"/>
      <c r="H356" s="20"/>
      <c r="I356" s="20"/>
      <c r="J356" s="20"/>
      <c r="K356" s="20"/>
      <c r="L356" s="22">
        <f t="shared" si="4"/>
        <v>1249</v>
      </c>
      <c r="M356" s="38">
        <f t="shared" si="5"/>
        <v>0.3362950996</v>
      </c>
      <c r="N356" s="22">
        <f t="shared" si="6"/>
        <v>1560001</v>
      </c>
      <c r="O356" s="20"/>
      <c r="P356" s="22">
        <f t="shared" si="7"/>
        <v>2104</v>
      </c>
      <c r="Q356" s="38">
        <f t="shared" si="8"/>
        <v>0.5665051158</v>
      </c>
      <c r="R356" s="22">
        <f t="shared" si="9"/>
        <v>4426816</v>
      </c>
      <c r="S356" s="20"/>
      <c r="T356" s="22">
        <f t="shared" si="10"/>
        <v>2792</v>
      </c>
      <c r="U356" s="38">
        <f t="shared" si="11"/>
        <v>0.7517501346</v>
      </c>
      <c r="V356" s="22">
        <f t="shared" si="12"/>
        <v>7795264</v>
      </c>
    </row>
    <row r="357">
      <c r="A357" s="4">
        <v>41052.0</v>
      </c>
      <c r="B357" s="5">
        <v>4728.0</v>
      </c>
      <c r="C357" s="22">
        <f t="shared" si="2"/>
        <v>2513</v>
      </c>
      <c r="D357" s="22">
        <f t="shared" si="3"/>
        <v>1616</v>
      </c>
      <c r="E357" s="22">
        <f t="shared" si="1"/>
        <v>2597</v>
      </c>
      <c r="F357" s="20"/>
      <c r="G357" s="20"/>
      <c r="H357" s="20"/>
      <c r="I357" s="20"/>
      <c r="J357" s="20"/>
      <c r="K357" s="20"/>
      <c r="L357" s="22">
        <f t="shared" si="4"/>
        <v>2215</v>
      </c>
      <c r="M357" s="38">
        <f t="shared" si="5"/>
        <v>0.4684856176</v>
      </c>
      <c r="N357" s="22">
        <f t="shared" si="6"/>
        <v>4906225</v>
      </c>
      <c r="O357" s="20"/>
      <c r="P357" s="22">
        <f t="shared" si="7"/>
        <v>3112</v>
      </c>
      <c r="Q357" s="38">
        <f t="shared" si="8"/>
        <v>0.6582064298</v>
      </c>
      <c r="R357" s="22">
        <f t="shared" si="9"/>
        <v>9684544</v>
      </c>
      <c r="S357" s="20"/>
      <c r="T357" s="22">
        <f t="shared" si="10"/>
        <v>2131</v>
      </c>
      <c r="U357" s="38">
        <f t="shared" si="11"/>
        <v>0.4507191201</v>
      </c>
      <c r="V357" s="22">
        <f t="shared" si="12"/>
        <v>4541161</v>
      </c>
    </row>
    <row r="358">
      <c r="A358" s="4">
        <v>41053.0</v>
      </c>
      <c r="B358" s="5">
        <v>210.0</v>
      </c>
      <c r="C358" s="22">
        <f t="shared" si="2"/>
        <v>2179</v>
      </c>
      <c r="D358" s="22">
        <f t="shared" si="3"/>
        <v>1624</v>
      </c>
      <c r="E358" s="22">
        <f t="shared" si="1"/>
        <v>3876</v>
      </c>
      <c r="F358" s="20"/>
      <c r="G358" s="20"/>
      <c r="H358" s="20"/>
      <c r="I358" s="20"/>
      <c r="J358" s="20"/>
      <c r="K358" s="20"/>
      <c r="L358" s="22">
        <f t="shared" si="4"/>
        <v>-1969</v>
      </c>
      <c r="M358" s="38">
        <f t="shared" si="5"/>
        <v>9.376190476</v>
      </c>
      <c r="N358" s="22">
        <f t="shared" si="6"/>
        <v>3876961</v>
      </c>
      <c r="O358" s="20"/>
      <c r="P358" s="22">
        <f t="shared" si="7"/>
        <v>-1414</v>
      </c>
      <c r="Q358" s="38">
        <f t="shared" si="8"/>
        <v>6.733333333</v>
      </c>
      <c r="R358" s="22">
        <f t="shared" si="9"/>
        <v>1999396</v>
      </c>
      <c r="S358" s="20"/>
      <c r="T358" s="22">
        <f t="shared" si="10"/>
        <v>-3666</v>
      </c>
      <c r="U358" s="38">
        <f t="shared" si="11"/>
        <v>17.45714286</v>
      </c>
      <c r="V358" s="22">
        <f t="shared" si="12"/>
        <v>13439556</v>
      </c>
    </row>
    <row r="359">
      <c r="A359" s="4">
        <v>41054.0</v>
      </c>
      <c r="B359" s="5">
        <v>1152.0</v>
      </c>
      <c r="C359" s="22">
        <f t="shared" si="2"/>
        <v>1951</v>
      </c>
      <c r="D359" s="22">
        <f t="shared" si="3"/>
        <v>1620</v>
      </c>
      <c r="E359" s="22">
        <f t="shared" si="1"/>
        <v>1676</v>
      </c>
      <c r="F359" s="20"/>
      <c r="G359" s="20"/>
      <c r="H359" s="20"/>
      <c r="I359" s="20"/>
      <c r="J359" s="20"/>
      <c r="K359" s="20"/>
      <c r="L359" s="22">
        <f t="shared" si="4"/>
        <v>-799</v>
      </c>
      <c r="M359" s="38">
        <f t="shared" si="5"/>
        <v>0.6935763889</v>
      </c>
      <c r="N359" s="22">
        <f t="shared" si="6"/>
        <v>638401</v>
      </c>
      <c r="O359" s="20"/>
      <c r="P359" s="22">
        <f t="shared" si="7"/>
        <v>-468</v>
      </c>
      <c r="Q359" s="38">
        <f t="shared" si="8"/>
        <v>0.40625</v>
      </c>
      <c r="R359" s="22">
        <f t="shared" si="9"/>
        <v>219024</v>
      </c>
      <c r="S359" s="20"/>
      <c r="T359" s="22">
        <f t="shared" si="10"/>
        <v>-524</v>
      </c>
      <c r="U359" s="38">
        <f t="shared" si="11"/>
        <v>0.4548611111</v>
      </c>
      <c r="V359" s="22">
        <f t="shared" si="12"/>
        <v>274576</v>
      </c>
    </row>
    <row r="360">
      <c r="A360" s="4">
        <v>41058.0</v>
      </c>
      <c r="B360" s="5">
        <v>4536.0</v>
      </c>
      <c r="C360" s="22">
        <f t="shared" si="2"/>
        <v>2083</v>
      </c>
      <c r="D360" s="22">
        <f t="shared" si="3"/>
        <v>1619</v>
      </c>
      <c r="E360" s="22">
        <f t="shared" si="1"/>
        <v>1362</v>
      </c>
      <c r="F360" s="20"/>
      <c r="G360" s="20"/>
      <c r="H360" s="20"/>
      <c r="I360" s="20"/>
      <c r="J360" s="20"/>
      <c r="K360" s="20"/>
      <c r="L360" s="22">
        <f t="shared" si="4"/>
        <v>2453</v>
      </c>
      <c r="M360" s="38">
        <f t="shared" si="5"/>
        <v>0.5407848325</v>
      </c>
      <c r="N360" s="22">
        <f t="shared" si="6"/>
        <v>6017209</v>
      </c>
      <c r="O360" s="20"/>
      <c r="P360" s="22">
        <f t="shared" si="7"/>
        <v>2917</v>
      </c>
      <c r="Q360" s="38">
        <f t="shared" si="8"/>
        <v>0.6430776014</v>
      </c>
      <c r="R360" s="22">
        <f t="shared" si="9"/>
        <v>8508889</v>
      </c>
      <c r="S360" s="20"/>
      <c r="T360" s="22">
        <f t="shared" si="10"/>
        <v>3174</v>
      </c>
      <c r="U360" s="38">
        <f t="shared" si="11"/>
        <v>0.6997354497</v>
      </c>
      <c r="V360" s="22">
        <f t="shared" si="12"/>
        <v>10074276</v>
      </c>
    </row>
    <row r="361">
      <c r="A361" s="4">
        <v>41059.0</v>
      </c>
      <c r="B361" s="5">
        <v>2190.0</v>
      </c>
      <c r="C361" s="22">
        <f t="shared" si="2"/>
        <v>2868</v>
      </c>
      <c r="D361" s="22">
        <f t="shared" si="3"/>
        <v>1627</v>
      </c>
      <c r="E361" s="22">
        <f t="shared" si="1"/>
        <v>3266</v>
      </c>
      <c r="F361" s="20"/>
      <c r="G361" s="20"/>
      <c r="H361" s="20"/>
      <c r="I361" s="20"/>
      <c r="J361" s="20"/>
      <c r="K361" s="20"/>
      <c r="L361" s="22">
        <f t="shared" si="4"/>
        <v>-678</v>
      </c>
      <c r="M361" s="38">
        <f t="shared" si="5"/>
        <v>0.3095890411</v>
      </c>
      <c r="N361" s="22">
        <f t="shared" si="6"/>
        <v>459684</v>
      </c>
      <c r="O361" s="20"/>
      <c r="P361" s="22">
        <f t="shared" si="7"/>
        <v>563</v>
      </c>
      <c r="Q361" s="38">
        <f t="shared" si="8"/>
        <v>0.2570776256</v>
      </c>
      <c r="R361" s="22">
        <f t="shared" si="9"/>
        <v>316969</v>
      </c>
      <c r="S361" s="20"/>
      <c r="T361" s="22">
        <f t="shared" si="10"/>
        <v>-1076</v>
      </c>
      <c r="U361" s="38">
        <f t="shared" si="11"/>
        <v>0.4913242009</v>
      </c>
      <c r="V361" s="22">
        <f t="shared" si="12"/>
        <v>1157776</v>
      </c>
    </row>
    <row r="362">
      <c r="A362" s="4">
        <v>41060.0</v>
      </c>
      <c r="B362" s="5">
        <v>840.0</v>
      </c>
      <c r="C362" s="22">
        <f t="shared" si="2"/>
        <v>2563</v>
      </c>
      <c r="D362" s="22">
        <f t="shared" si="3"/>
        <v>1629</v>
      </c>
      <c r="E362" s="22">
        <f t="shared" si="1"/>
        <v>2620</v>
      </c>
      <c r="F362" s="20"/>
      <c r="G362" s="20"/>
      <c r="H362" s="20"/>
      <c r="I362" s="20"/>
      <c r="J362" s="20"/>
      <c r="K362" s="20"/>
      <c r="L362" s="22">
        <f t="shared" si="4"/>
        <v>-1723</v>
      </c>
      <c r="M362" s="38">
        <f t="shared" si="5"/>
        <v>2.051190476</v>
      </c>
      <c r="N362" s="22">
        <f t="shared" si="6"/>
        <v>2968729</v>
      </c>
      <c r="O362" s="20"/>
      <c r="P362" s="22">
        <f t="shared" si="7"/>
        <v>-789</v>
      </c>
      <c r="Q362" s="38">
        <f t="shared" si="8"/>
        <v>0.9392857143</v>
      </c>
      <c r="R362" s="22">
        <f t="shared" si="9"/>
        <v>622521</v>
      </c>
      <c r="S362" s="20"/>
      <c r="T362" s="22">
        <f t="shared" si="10"/>
        <v>-1780</v>
      </c>
      <c r="U362" s="38">
        <f t="shared" si="11"/>
        <v>2.119047619</v>
      </c>
      <c r="V362" s="22">
        <f t="shared" si="12"/>
        <v>3168400</v>
      </c>
    </row>
    <row r="363">
      <c r="A363" s="2">
        <v>41061.0</v>
      </c>
      <c r="B363" s="5">
        <v>114.0</v>
      </c>
      <c r="C363" s="22">
        <f t="shared" si="2"/>
        <v>1786</v>
      </c>
      <c r="D363" s="22">
        <f t="shared" si="3"/>
        <v>1627</v>
      </c>
      <c r="E363" s="22">
        <f t="shared" si="1"/>
        <v>1552</v>
      </c>
      <c r="F363" s="20"/>
      <c r="G363" s="20"/>
      <c r="H363" s="20"/>
      <c r="I363" s="20"/>
      <c r="J363" s="20"/>
      <c r="K363" s="20"/>
      <c r="L363" s="22">
        <f t="shared" si="4"/>
        <v>-1672</v>
      </c>
      <c r="M363" s="38">
        <f t="shared" si="5"/>
        <v>14.66666667</v>
      </c>
      <c r="N363" s="22">
        <f t="shared" si="6"/>
        <v>2795584</v>
      </c>
      <c r="O363" s="20"/>
      <c r="P363" s="22">
        <f t="shared" si="7"/>
        <v>-1513</v>
      </c>
      <c r="Q363" s="38">
        <f t="shared" si="8"/>
        <v>13.27192982</v>
      </c>
      <c r="R363" s="22">
        <f t="shared" si="9"/>
        <v>2289169</v>
      </c>
      <c r="S363" s="20"/>
      <c r="T363" s="22">
        <f t="shared" si="10"/>
        <v>-1438</v>
      </c>
      <c r="U363" s="38">
        <f t="shared" si="11"/>
        <v>12.61403509</v>
      </c>
      <c r="V363" s="22">
        <f t="shared" si="12"/>
        <v>2067844</v>
      </c>
    </row>
    <row r="364">
      <c r="A364" s="2">
        <v>41064.0</v>
      </c>
      <c r="B364" s="5">
        <v>624.0</v>
      </c>
      <c r="C364" s="22">
        <f t="shared" si="2"/>
        <v>1766</v>
      </c>
      <c r="D364" s="22">
        <f t="shared" si="3"/>
        <v>1622</v>
      </c>
      <c r="E364" s="22">
        <f t="shared" si="1"/>
        <v>689</v>
      </c>
      <c r="F364" s="20"/>
      <c r="G364" s="20"/>
      <c r="H364" s="20"/>
      <c r="I364" s="20"/>
      <c r="J364" s="20"/>
      <c r="K364" s="20"/>
      <c r="L364" s="22">
        <f t="shared" si="4"/>
        <v>-1142</v>
      </c>
      <c r="M364" s="38">
        <f t="shared" si="5"/>
        <v>1.830128205</v>
      </c>
      <c r="N364" s="22">
        <f t="shared" si="6"/>
        <v>1304164</v>
      </c>
      <c r="O364" s="20"/>
      <c r="P364" s="22">
        <f t="shared" si="7"/>
        <v>-998</v>
      </c>
      <c r="Q364" s="38">
        <f t="shared" si="8"/>
        <v>1.599358974</v>
      </c>
      <c r="R364" s="22">
        <f t="shared" si="9"/>
        <v>996004</v>
      </c>
      <c r="S364" s="20"/>
      <c r="T364" s="22">
        <f t="shared" si="10"/>
        <v>-65</v>
      </c>
      <c r="U364" s="38">
        <f t="shared" si="11"/>
        <v>0.1041666667</v>
      </c>
      <c r="V364" s="22">
        <f t="shared" si="12"/>
        <v>4225</v>
      </c>
    </row>
    <row r="365">
      <c r="A365" s="2">
        <v>41065.0</v>
      </c>
      <c r="B365" s="5">
        <v>3852.0</v>
      </c>
      <c r="C365" s="22">
        <f t="shared" si="2"/>
        <v>1661</v>
      </c>
      <c r="D365" s="22">
        <f t="shared" si="3"/>
        <v>1620</v>
      </c>
      <c r="E365" s="22">
        <f t="shared" si="1"/>
        <v>650</v>
      </c>
      <c r="F365" s="20"/>
      <c r="G365" s="20"/>
      <c r="H365" s="20"/>
      <c r="I365" s="20"/>
      <c r="J365" s="20"/>
      <c r="K365" s="20"/>
      <c r="L365" s="22">
        <f t="shared" si="4"/>
        <v>2191</v>
      </c>
      <c r="M365" s="38">
        <f t="shared" si="5"/>
        <v>0.5687954309</v>
      </c>
      <c r="N365" s="22">
        <f t="shared" si="6"/>
        <v>4800481</v>
      </c>
      <c r="O365" s="20"/>
      <c r="P365" s="22">
        <f t="shared" si="7"/>
        <v>2232</v>
      </c>
      <c r="Q365" s="38">
        <f t="shared" si="8"/>
        <v>0.5794392523</v>
      </c>
      <c r="R365" s="22">
        <f t="shared" si="9"/>
        <v>4981824</v>
      </c>
      <c r="S365" s="20"/>
      <c r="T365" s="22">
        <f t="shared" si="10"/>
        <v>3202</v>
      </c>
      <c r="U365" s="38">
        <f t="shared" si="11"/>
        <v>0.8312564901</v>
      </c>
      <c r="V365" s="22">
        <f t="shared" si="12"/>
        <v>10252804</v>
      </c>
    </row>
    <row r="366">
      <c r="A366" s="2">
        <v>41066.0</v>
      </c>
      <c r="B366" s="5">
        <v>3714.0</v>
      </c>
      <c r="C366" s="22">
        <f t="shared" si="2"/>
        <v>1524</v>
      </c>
      <c r="D366" s="22">
        <f t="shared" si="3"/>
        <v>1626</v>
      </c>
      <c r="E366" s="22">
        <f t="shared" si="1"/>
        <v>2571</v>
      </c>
      <c r="F366" s="20"/>
      <c r="G366" s="20"/>
      <c r="H366" s="20"/>
      <c r="I366" s="20"/>
      <c r="J366" s="20"/>
      <c r="K366" s="20"/>
      <c r="L366" s="22">
        <f t="shared" si="4"/>
        <v>2190</v>
      </c>
      <c r="M366" s="38">
        <f t="shared" si="5"/>
        <v>0.5896607431</v>
      </c>
      <c r="N366" s="22">
        <f t="shared" si="6"/>
        <v>4796100</v>
      </c>
      <c r="O366" s="20"/>
      <c r="P366" s="22">
        <f t="shared" si="7"/>
        <v>2088</v>
      </c>
      <c r="Q366" s="38">
        <f t="shared" si="8"/>
        <v>0.5621970921</v>
      </c>
      <c r="R366" s="22">
        <f t="shared" si="9"/>
        <v>4359744</v>
      </c>
      <c r="S366" s="20"/>
      <c r="T366" s="22">
        <f t="shared" si="10"/>
        <v>1143</v>
      </c>
      <c r="U366" s="38">
        <f t="shared" si="11"/>
        <v>0.3077544426</v>
      </c>
      <c r="V366" s="22">
        <f t="shared" si="12"/>
        <v>1306449</v>
      </c>
    </row>
    <row r="367">
      <c r="A367" s="2">
        <v>41067.0</v>
      </c>
      <c r="B367" s="5">
        <v>996.0</v>
      </c>
      <c r="C367" s="22">
        <f t="shared" si="2"/>
        <v>1829</v>
      </c>
      <c r="D367" s="22">
        <f t="shared" si="3"/>
        <v>1632</v>
      </c>
      <c r="E367" s="22">
        <f t="shared" si="1"/>
        <v>3257</v>
      </c>
      <c r="F367" s="20"/>
      <c r="G367" s="20"/>
      <c r="H367" s="20"/>
      <c r="I367" s="20"/>
      <c r="J367" s="20"/>
      <c r="K367" s="20"/>
      <c r="L367" s="22">
        <f t="shared" si="4"/>
        <v>-833</v>
      </c>
      <c r="M367" s="38">
        <f t="shared" si="5"/>
        <v>0.8363453815</v>
      </c>
      <c r="N367" s="22">
        <f t="shared" si="6"/>
        <v>693889</v>
      </c>
      <c r="O367" s="20"/>
      <c r="P367" s="22">
        <f t="shared" si="7"/>
        <v>-636</v>
      </c>
      <c r="Q367" s="38">
        <f t="shared" si="8"/>
        <v>0.6385542169</v>
      </c>
      <c r="R367" s="22">
        <f t="shared" si="9"/>
        <v>404496</v>
      </c>
      <c r="S367" s="20"/>
      <c r="T367" s="22">
        <f t="shared" si="10"/>
        <v>-2261</v>
      </c>
      <c r="U367" s="38">
        <f t="shared" si="11"/>
        <v>2.270080321</v>
      </c>
      <c r="V367" s="22">
        <f t="shared" si="12"/>
        <v>5112121</v>
      </c>
    </row>
    <row r="368">
      <c r="A368" s="2">
        <v>41068.0</v>
      </c>
      <c r="B368" s="5">
        <v>192.0</v>
      </c>
      <c r="C368" s="22">
        <f t="shared" si="2"/>
        <v>1860</v>
      </c>
      <c r="D368" s="22">
        <f t="shared" si="3"/>
        <v>1630</v>
      </c>
      <c r="E368" s="22">
        <f t="shared" si="1"/>
        <v>1900</v>
      </c>
      <c r="F368" s="20"/>
      <c r="G368" s="20"/>
      <c r="H368" s="20"/>
      <c r="I368" s="20"/>
      <c r="J368" s="20"/>
      <c r="K368" s="20"/>
      <c r="L368" s="22">
        <f t="shared" si="4"/>
        <v>-1668</v>
      </c>
      <c r="M368" s="38">
        <f t="shared" si="5"/>
        <v>8.6875</v>
      </c>
      <c r="N368" s="22">
        <f t="shared" si="6"/>
        <v>2782224</v>
      </c>
      <c r="O368" s="20"/>
      <c r="P368" s="22">
        <f t="shared" si="7"/>
        <v>-1438</v>
      </c>
      <c r="Q368" s="38">
        <f t="shared" si="8"/>
        <v>7.489583333</v>
      </c>
      <c r="R368" s="22">
        <f t="shared" si="9"/>
        <v>2067844</v>
      </c>
      <c r="S368" s="20"/>
      <c r="T368" s="22">
        <f t="shared" si="10"/>
        <v>-1708</v>
      </c>
      <c r="U368" s="38">
        <f t="shared" si="11"/>
        <v>8.895833333</v>
      </c>
      <c r="V368" s="22">
        <f t="shared" si="12"/>
        <v>2917264</v>
      </c>
    </row>
    <row r="369">
      <c r="A369" s="2">
        <v>41071.0</v>
      </c>
      <c r="B369" s="5">
        <v>210.0</v>
      </c>
      <c r="C369" s="22">
        <f t="shared" si="2"/>
        <v>1876</v>
      </c>
      <c r="D369" s="22">
        <f t="shared" si="3"/>
        <v>1626</v>
      </c>
      <c r="E369" s="22">
        <f t="shared" si="1"/>
        <v>875</v>
      </c>
      <c r="F369" s="20"/>
      <c r="G369" s="20"/>
      <c r="H369" s="20"/>
      <c r="I369" s="20"/>
      <c r="J369" s="20"/>
      <c r="K369" s="20"/>
      <c r="L369" s="22">
        <f t="shared" si="4"/>
        <v>-1666</v>
      </c>
      <c r="M369" s="38">
        <f t="shared" si="5"/>
        <v>7.933333333</v>
      </c>
      <c r="N369" s="22">
        <f t="shared" si="6"/>
        <v>2775556</v>
      </c>
      <c r="O369" s="20"/>
      <c r="P369" s="22">
        <f t="shared" si="7"/>
        <v>-1416</v>
      </c>
      <c r="Q369" s="38">
        <f t="shared" si="8"/>
        <v>6.742857143</v>
      </c>
      <c r="R369" s="22">
        <f t="shared" si="9"/>
        <v>2005056</v>
      </c>
      <c r="S369" s="20"/>
      <c r="T369" s="22">
        <f t="shared" si="10"/>
        <v>-665</v>
      </c>
      <c r="U369" s="38">
        <f t="shared" si="11"/>
        <v>3.166666667</v>
      </c>
      <c r="V369" s="22">
        <f t="shared" si="12"/>
        <v>442225</v>
      </c>
    </row>
    <row r="370">
      <c r="A370" s="2">
        <v>41072.0</v>
      </c>
      <c r="B370" s="5">
        <v>4362.0</v>
      </c>
      <c r="C370" s="22">
        <f t="shared" si="2"/>
        <v>1793</v>
      </c>
      <c r="D370" s="22">
        <f t="shared" si="3"/>
        <v>1622</v>
      </c>
      <c r="E370" s="22">
        <f t="shared" si="1"/>
        <v>476</v>
      </c>
      <c r="F370" s="20"/>
      <c r="G370" s="20"/>
      <c r="H370" s="20"/>
      <c r="I370" s="20"/>
      <c r="J370" s="20"/>
      <c r="K370" s="20"/>
      <c r="L370" s="22">
        <f t="shared" si="4"/>
        <v>2569</v>
      </c>
      <c r="M370" s="38">
        <f t="shared" si="5"/>
        <v>0.5889500229</v>
      </c>
      <c r="N370" s="22">
        <f t="shared" si="6"/>
        <v>6599761</v>
      </c>
      <c r="O370" s="20"/>
      <c r="P370" s="22">
        <f t="shared" si="7"/>
        <v>2740</v>
      </c>
      <c r="Q370" s="38">
        <f t="shared" si="8"/>
        <v>0.6281522238</v>
      </c>
      <c r="R370" s="22">
        <f t="shared" si="9"/>
        <v>7507600</v>
      </c>
      <c r="S370" s="20"/>
      <c r="T370" s="22">
        <f t="shared" si="10"/>
        <v>3886</v>
      </c>
      <c r="U370" s="38">
        <f t="shared" si="11"/>
        <v>0.8908757451</v>
      </c>
      <c r="V370" s="22">
        <f t="shared" si="12"/>
        <v>15100996</v>
      </c>
    </row>
    <row r="371">
      <c r="A371" s="2">
        <v>41073.0</v>
      </c>
      <c r="B371" s="5">
        <v>4542.0</v>
      </c>
      <c r="C371" s="22">
        <f t="shared" si="2"/>
        <v>1895</v>
      </c>
      <c r="D371" s="22">
        <f t="shared" si="3"/>
        <v>1630</v>
      </c>
      <c r="E371" s="22">
        <f t="shared" si="1"/>
        <v>2808</v>
      </c>
      <c r="F371" s="20"/>
      <c r="G371" s="20"/>
      <c r="H371" s="20"/>
      <c r="I371" s="20"/>
      <c r="J371" s="20"/>
      <c r="K371" s="20"/>
      <c r="L371" s="22">
        <f t="shared" si="4"/>
        <v>2647</v>
      </c>
      <c r="M371" s="38">
        <f t="shared" si="5"/>
        <v>0.582782915</v>
      </c>
      <c r="N371" s="22">
        <f t="shared" si="6"/>
        <v>7006609</v>
      </c>
      <c r="O371" s="20"/>
      <c r="P371" s="22">
        <f t="shared" si="7"/>
        <v>2912</v>
      </c>
      <c r="Q371" s="38">
        <f t="shared" si="8"/>
        <v>0.6411272567</v>
      </c>
      <c r="R371" s="22">
        <f t="shared" si="9"/>
        <v>8479744</v>
      </c>
      <c r="S371" s="20"/>
      <c r="T371" s="22">
        <f t="shared" si="10"/>
        <v>1734</v>
      </c>
      <c r="U371" s="38">
        <f t="shared" si="11"/>
        <v>0.3817701453</v>
      </c>
      <c r="V371" s="22">
        <f t="shared" si="12"/>
        <v>3006756</v>
      </c>
    </row>
    <row r="372">
      <c r="A372" s="2">
        <v>41074.0</v>
      </c>
      <c r="B372" s="5">
        <v>1032.0</v>
      </c>
      <c r="C372" s="22">
        <f t="shared" si="2"/>
        <v>2060</v>
      </c>
      <c r="D372" s="22">
        <f t="shared" si="3"/>
        <v>1637</v>
      </c>
      <c r="E372" s="22">
        <f t="shared" si="1"/>
        <v>3848</v>
      </c>
      <c r="F372" s="20"/>
      <c r="G372" s="20"/>
      <c r="H372" s="20"/>
      <c r="I372" s="20"/>
      <c r="J372" s="20"/>
      <c r="K372" s="20"/>
      <c r="L372" s="22">
        <f t="shared" si="4"/>
        <v>-1028</v>
      </c>
      <c r="M372" s="38">
        <f t="shared" si="5"/>
        <v>0.996124031</v>
      </c>
      <c r="N372" s="22">
        <f t="shared" si="6"/>
        <v>1056784</v>
      </c>
      <c r="O372" s="20"/>
      <c r="P372" s="22">
        <f t="shared" si="7"/>
        <v>-605</v>
      </c>
      <c r="Q372" s="38">
        <f t="shared" si="8"/>
        <v>0.5862403101</v>
      </c>
      <c r="R372" s="22">
        <f t="shared" si="9"/>
        <v>366025</v>
      </c>
      <c r="S372" s="20"/>
      <c r="T372" s="22">
        <f t="shared" si="10"/>
        <v>-2816</v>
      </c>
      <c r="U372" s="38">
        <f t="shared" si="11"/>
        <v>2.728682171</v>
      </c>
      <c r="V372" s="22">
        <f t="shared" si="12"/>
        <v>7929856</v>
      </c>
    </row>
    <row r="373">
      <c r="A373" s="2">
        <v>41075.0</v>
      </c>
      <c r="B373" s="5">
        <v>168.0</v>
      </c>
      <c r="C373" s="22">
        <f t="shared" si="2"/>
        <v>2068</v>
      </c>
      <c r="D373" s="22">
        <f t="shared" si="3"/>
        <v>1636</v>
      </c>
      <c r="E373" s="22">
        <f t="shared" si="1"/>
        <v>2158</v>
      </c>
      <c r="F373" s="20"/>
      <c r="G373" s="20"/>
      <c r="H373" s="20"/>
      <c r="I373" s="20"/>
      <c r="J373" s="20"/>
      <c r="K373" s="20"/>
      <c r="L373" s="22">
        <f t="shared" si="4"/>
        <v>-1900</v>
      </c>
      <c r="M373" s="38">
        <f t="shared" si="5"/>
        <v>11.30952381</v>
      </c>
      <c r="N373" s="22">
        <f t="shared" si="6"/>
        <v>3610000</v>
      </c>
      <c r="O373" s="20"/>
      <c r="P373" s="22">
        <f t="shared" si="7"/>
        <v>-1468</v>
      </c>
      <c r="Q373" s="38">
        <f t="shared" si="8"/>
        <v>8.738095238</v>
      </c>
      <c r="R373" s="22">
        <f t="shared" si="9"/>
        <v>2155024</v>
      </c>
      <c r="S373" s="20"/>
      <c r="T373" s="22">
        <f t="shared" si="10"/>
        <v>-1990</v>
      </c>
      <c r="U373" s="38">
        <f t="shared" si="11"/>
        <v>11.8452381</v>
      </c>
      <c r="V373" s="22">
        <f t="shared" si="12"/>
        <v>3960100</v>
      </c>
    </row>
    <row r="374">
      <c r="A374" s="2">
        <v>41078.0</v>
      </c>
      <c r="B374" s="5">
        <v>438.0</v>
      </c>
      <c r="C374" s="22">
        <f t="shared" si="2"/>
        <v>2063</v>
      </c>
      <c r="D374" s="22">
        <f t="shared" si="3"/>
        <v>1632</v>
      </c>
      <c r="E374" s="22">
        <f t="shared" si="1"/>
        <v>964</v>
      </c>
      <c r="F374" s="20"/>
      <c r="G374" s="20"/>
      <c r="H374" s="20"/>
      <c r="I374" s="20"/>
      <c r="J374" s="20"/>
      <c r="K374" s="20"/>
      <c r="L374" s="22">
        <f t="shared" si="4"/>
        <v>-1625</v>
      </c>
      <c r="M374" s="38">
        <f t="shared" si="5"/>
        <v>3.710045662</v>
      </c>
      <c r="N374" s="22">
        <f t="shared" si="6"/>
        <v>2640625</v>
      </c>
      <c r="O374" s="20"/>
      <c r="P374" s="22">
        <f t="shared" si="7"/>
        <v>-1194</v>
      </c>
      <c r="Q374" s="38">
        <f t="shared" si="8"/>
        <v>2.726027397</v>
      </c>
      <c r="R374" s="22">
        <f t="shared" si="9"/>
        <v>1425636</v>
      </c>
      <c r="S374" s="20"/>
      <c r="T374" s="22">
        <f t="shared" si="10"/>
        <v>-526</v>
      </c>
      <c r="U374" s="38">
        <f t="shared" si="11"/>
        <v>1.200913242</v>
      </c>
      <c r="V374" s="22">
        <f t="shared" si="12"/>
        <v>276676</v>
      </c>
    </row>
    <row r="375">
      <c r="A375" s="2">
        <v>41079.0</v>
      </c>
      <c r="B375" s="5">
        <v>4026.0</v>
      </c>
      <c r="C375" s="22">
        <f t="shared" si="2"/>
        <v>2108</v>
      </c>
      <c r="D375" s="22">
        <f t="shared" si="3"/>
        <v>1629</v>
      </c>
      <c r="E375" s="22">
        <f t="shared" si="1"/>
        <v>648</v>
      </c>
      <c r="F375" s="20"/>
      <c r="G375" s="20"/>
      <c r="H375" s="20"/>
      <c r="I375" s="20"/>
      <c r="J375" s="20"/>
      <c r="K375" s="20"/>
      <c r="L375" s="22">
        <f t="shared" si="4"/>
        <v>1918</v>
      </c>
      <c r="M375" s="38">
        <f t="shared" si="5"/>
        <v>0.476403378</v>
      </c>
      <c r="N375" s="22">
        <f t="shared" si="6"/>
        <v>3678724</v>
      </c>
      <c r="O375" s="20"/>
      <c r="P375" s="22">
        <f t="shared" si="7"/>
        <v>2397</v>
      </c>
      <c r="Q375" s="38">
        <f t="shared" si="8"/>
        <v>0.5953800298</v>
      </c>
      <c r="R375" s="22">
        <f t="shared" si="9"/>
        <v>5745609</v>
      </c>
      <c r="S375" s="20"/>
      <c r="T375" s="22">
        <f t="shared" si="10"/>
        <v>3378</v>
      </c>
      <c r="U375" s="38">
        <f t="shared" si="11"/>
        <v>0.8390461997</v>
      </c>
      <c r="V375" s="22">
        <f t="shared" si="12"/>
        <v>11410884</v>
      </c>
    </row>
    <row r="376">
      <c r="A376" s="2">
        <v>41080.0</v>
      </c>
      <c r="B376" s="5">
        <v>4632.0</v>
      </c>
      <c r="C376" s="22">
        <f t="shared" si="2"/>
        <v>2041</v>
      </c>
      <c r="D376" s="22">
        <f t="shared" si="3"/>
        <v>1635</v>
      </c>
      <c r="E376" s="22">
        <f t="shared" si="1"/>
        <v>2675</v>
      </c>
      <c r="F376" s="20"/>
      <c r="G376" s="20"/>
      <c r="H376" s="20"/>
      <c r="I376" s="20"/>
      <c r="J376" s="20"/>
      <c r="K376" s="20"/>
      <c r="L376" s="22">
        <f t="shared" si="4"/>
        <v>2591</v>
      </c>
      <c r="M376" s="38">
        <f t="shared" si="5"/>
        <v>0.5593696028</v>
      </c>
      <c r="N376" s="22">
        <f t="shared" si="6"/>
        <v>6713281</v>
      </c>
      <c r="O376" s="20"/>
      <c r="P376" s="22">
        <f t="shared" si="7"/>
        <v>2997</v>
      </c>
      <c r="Q376" s="38">
        <f t="shared" si="8"/>
        <v>0.6470207254</v>
      </c>
      <c r="R376" s="22">
        <f t="shared" si="9"/>
        <v>8982009</v>
      </c>
      <c r="S376" s="20"/>
      <c r="T376" s="22">
        <f t="shared" si="10"/>
        <v>1957</v>
      </c>
      <c r="U376" s="38">
        <f t="shared" si="11"/>
        <v>0.4224956822</v>
      </c>
      <c r="V376" s="22">
        <f t="shared" si="12"/>
        <v>3829849</v>
      </c>
    </row>
    <row r="377">
      <c r="A377" s="2">
        <v>41081.0</v>
      </c>
      <c r="B377" s="5">
        <v>1032.0</v>
      </c>
      <c r="C377" s="22">
        <f t="shared" si="2"/>
        <v>2059</v>
      </c>
      <c r="D377" s="22">
        <f t="shared" si="3"/>
        <v>1643</v>
      </c>
      <c r="E377" s="22">
        <f t="shared" si="1"/>
        <v>3849</v>
      </c>
      <c r="F377" s="20"/>
      <c r="G377" s="20"/>
      <c r="H377" s="20"/>
      <c r="I377" s="20"/>
      <c r="J377" s="20"/>
      <c r="K377" s="20"/>
      <c r="L377" s="22">
        <f t="shared" si="4"/>
        <v>-1027</v>
      </c>
      <c r="M377" s="38">
        <f t="shared" si="5"/>
        <v>0.9951550388</v>
      </c>
      <c r="N377" s="22">
        <f t="shared" si="6"/>
        <v>1054729</v>
      </c>
      <c r="O377" s="20"/>
      <c r="P377" s="22">
        <f t="shared" si="7"/>
        <v>-611</v>
      </c>
      <c r="Q377" s="38">
        <f t="shared" si="8"/>
        <v>0.5920542636</v>
      </c>
      <c r="R377" s="22">
        <f t="shared" si="9"/>
        <v>373321</v>
      </c>
      <c r="S377" s="20"/>
      <c r="T377" s="22">
        <f t="shared" si="10"/>
        <v>-2817</v>
      </c>
      <c r="U377" s="38">
        <f t="shared" si="11"/>
        <v>2.729651163</v>
      </c>
      <c r="V377" s="22">
        <f t="shared" si="12"/>
        <v>7935489</v>
      </c>
    </row>
    <row r="378">
      <c r="A378" s="2">
        <v>41082.0</v>
      </c>
      <c r="B378" s="5">
        <v>120.0</v>
      </c>
      <c r="C378" s="22">
        <f t="shared" si="2"/>
        <v>2059</v>
      </c>
      <c r="D378" s="22">
        <f t="shared" si="3"/>
        <v>1641</v>
      </c>
      <c r="E378" s="22">
        <f t="shared" si="1"/>
        <v>2159</v>
      </c>
      <c r="F378" s="20"/>
      <c r="G378" s="20"/>
      <c r="H378" s="20"/>
      <c r="I378" s="20"/>
      <c r="J378" s="20"/>
      <c r="K378" s="20"/>
      <c r="L378" s="22">
        <f t="shared" si="4"/>
        <v>-1939</v>
      </c>
      <c r="M378" s="38">
        <f t="shared" si="5"/>
        <v>16.15833333</v>
      </c>
      <c r="N378" s="22">
        <f t="shared" si="6"/>
        <v>3759721</v>
      </c>
      <c r="O378" s="20"/>
      <c r="P378" s="22">
        <f t="shared" si="7"/>
        <v>-1521</v>
      </c>
      <c r="Q378" s="38">
        <f t="shared" si="8"/>
        <v>12.675</v>
      </c>
      <c r="R378" s="22">
        <f t="shared" si="9"/>
        <v>2313441</v>
      </c>
      <c r="S378" s="20"/>
      <c r="T378" s="22">
        <f t="shared" si="10"/>
        <v>-2039</v>
      </c>
      <c r="U378" s="38">
        <f t="shared" si="11"/>
        <v>16.99166667</v>
      </c>
      <c r="V378" s="22">
        <f t="shared" si="12"/>
        <v>4157521</v>
      </c>
    </row>
    <row r="379">
      <c r="A379" s="2">
        <v>41085.0</v>
      </c>
      <c r="B379" s="5">
        <v>708.0</v>
      </c>
      <c r="C379" s="22">
        <f t="shared" si="2"/>
        <v>2050</v>
      </c>
      <c r="D379" s="22">
        <f t="shared" si="3"/>
        <v>1637</v>
      </c>
      <c r="E379" s="22">
        <f t="shared" si="1"/>
        <v>936</v>
      </c>
      <c r="F379" s="20"/>
      <c r="G379" s="20"/>
      <c r="H379" s="20"/>
      <c r="I379" s="20"/>
      <c r="J379" s="20"/>
      <c r="K379" s="20"/>
      <c r="L379" s="22">
        <f t="shared" si="4"/>
        <v>-1342</v>
      </c>
      <c r="M379" s="38">
        <f t="shared" si="5"/>
        <v>1.895480226</v>
      </c>
      <c r="N379" s="22">
        <f t="shared" si="6"/>
        <v>1800964</v>
      </c>
      <c r="O379" s="20"/>
      <c r="P379" s="22">
        <f t="shared" si="7"/>
        <v>-929</v>
      </c>
      <c r="Q379" s="38">
        <f t="shared" si="8"/>
        <v>1.312146893</v>
      </c>
      <c r="R379" s="22">
        <f t="shared" si="9"/>
        <v>863041</v>
      </c>
      <c r="S379" s="20"/>
      <c r="T379" s="22">
        <f t="shared" si="10"/>
        <v>-228</v>
      </c>
      <c r="U379" s="38">
        <f t="shared" si="11"/>
        <v>0.3220338983</v>
      </c>
      <c r="V379" s="22">
        <f t="shared" si="12"/>
        <v>51984</v>
      </c>
    </row>
    <row r="380">
      <c r="A380" s="2">
        <v>41086.0</v>
      </c>
      <c r="B380" s="5">
        <v>702.0</v>
      </c>
      <c r="C380" s="22">
        <f t="shared" si="2"/>
        <v>2104</v>
      </c>
      <c r="D380" s="22">
        <f t="shared" si="3"/>
        <v>1635</v>
      </c>
      <c r="E380" s="22">
        <f t="shared" si="1"/>
        <v>799</v>
      </c>
      <c r="F380" s="20"/>
      <c r="G380" s="20"/>
      <c r="H380" s="20"/>
      <c r="I380" s="20"/>
      <c r="J380" s="20"/>
      <c r="K380" s="20"/>
      <c r="L380" s="22">
        <f t="shared" si="4"/>
        <v>-1402</v>
      </c>
      <c r="M380" s="38">
        <f t="shared" si="5"/>
        <v>1.997150997</v>
      </c>
      <c r="N380" s="22">
        <f t="shared" si="6"/>
        <v>1965604</v>
      </c>
      <c r="O380" s="20"/>
      <c r="P380" s="22">
        <f t="shared" si="7"/>
        <v>-933</v>
      </c>
      <c r="Q380" s="38">
        <f t="shared" si="8"/>
        <v>1.329059829</v>
      </c>
      <c r="R380" s="22">
        <f t="shared" si="9"/>
        <v>870489</v>
      </c>
      <c r="S380" s="20"/>
      <c r="T380" s="22">
        <f t="shared" si="10"/>
        <v>-97</v>
      </c>
      <c r="U380" s="38">
        <f t="shared" si="11"/>
        <v>0.1381766382</v>
      </c>
      <c r="V380" s="22">
        <f t="shared" si="12"/>
        <v>9409</v>
      </c>
    </row>
    <row r="381">
      <c r="A381" s="2">
        <v>41087.0</v>
      </c>
      <c r="B381" s="5">
        <v>9720.0</v>
      </c>
      <c r="C381" s="22">
        <f t="shared" si="2"/>
        <v>1439</v>
      </c>
      <c r="D381" s="22">
        <f t="shared" si="3"/>
        <v>1632</v>
      </c>
      <c r="E381" s="22">
        <f t="shared" si="1"/>
        <v>741</v>
      </c>
      <c r="F381" s="20"/>
      <c r="G381" s="20"/>
      <c r="H381" s="20"/>
      <c r="I381" s="20"/>
      <c r="J381" s="20"/>
      <c r="K381" s="20"/>
      <c r="L381" s="22">
        <f t="shared" si="4"/>
        <v>8281</v>
      </c>
      <c r="M381" s="38">
        <f t="shared" si="5"/>
        <v>0.8519547325</v>
      </c>
      <c r="N381" s="22">
        <f t="shared" si="6"/>
        <v>68574961</v>
      </c>
      <c r="O381" s="20"/>
      <c r="P381" s="22">
        <f t="shared" si="7"/>
        <v>8088</v>
      </c>
      <c r="Q381" s="38">
        <f t="shared" si="8"/>
        <v>0.8320987654</v>
      </c>
      <c r="R381" s="22">
        <f t="shared" si="9"/>
        <v>65415744</v>
      </c>
      <c r="S381" s="20"/>
      <c r="T381" s="22">
        <f t="shared" si="10"/>
        <v>8979</v>
      </c>
      <c r="U381" s="38">
        <f t="shared" si="11"/>
        <v>0.9237654321</v>
      </c>
      <c r="V381" s="22">
        <f t="shared" si="12"/>
        <v>80622441</v>
      </c>
    </row>
    <row r="382">
      <c r="A382" s="2">
        <v>41088.0</v>
      </c>
      <c r="B382" s="5">
        <v>678.0</v>
      </c>
      <c r="C382" s="22">
        <f t="shared" si="2"/>
        <v>2456</v>
      </c>
      <c r="D382" s="22">
        <f t="shared" si="3"/>
        <v>1654</v>
      </c>
      <c r="E382" s="22">
        <f t="shared" si="1"/>
        <v>6128</v>
      </c>
      <c r="F382" s="20"/>
      <c r="G382" s="20"/>
      <c r="H382" s="20"/>
      <c r="I382" s="20"/>
      <c r="J382" s="20"/>
      <c r="K382" s="20"/>
      <c r="L382" s="22">
        <f t="shared" si="4"/>
        <v>-1778</v>
      </c>
      <c r="M382" s="38">
        <f t="shared" si="5"/>
        <v>2.622418879</v>
      </c>
      <c r="N382" s="22">
        <f t="shared" si="6"/>
        <v>3161284</v>
      </c>
      <c r="O382" s="20"/>
      <c r="P382" s="22">
        <f t="shared" si="7"/>
        <v>-976</v>
      </c>
      <c r="Q382" s="38">
        <f t="shared" si="8"/>
        <v>1.439528024</v>
      </c>
      <c r="R382" s="22">
        <f t="shared" si="9"/>
        <v>952576</v>
      </c>
      <c r="S382" s="20"/>
      <c r="T382" s="22">
        <f t="shared" si="10"/>
        <v>-5450</v>
      </c>
      <c r="U382" s="38">
        <f t="shared" si="11"/>
        <v>8.038348083</v>
      </c>
      <c r="V382" s="22">
        <f t="shared" si="12"/>
        <v>29702500</v>
      </c>
    </row>
    <row r="383">
      <c r="A383" s="2">
        <v>41089.0</v>
      </c>
      <c r="B383" s="5">
        <v>54.0</v>
      </c>
      <c r="C383" s="22">
        <f t="shared" si="2"/>
        <v>2386</v>
      </c>
      <c r="D383" s="22">
        <f t="shared" si="3"/>
        <v>1651</v>
      </c>
      <c r="E383" s="22">
        <f t="shared" si="1"/>
        <v>2858</v>
      </c>
      <c r="F383" s="20"/>
      <c r="G383" s="20"/>
      <c r="H383" s="20"/>
      <c r="I383" s="20"/>
      <c r="J383" s="20"/>
      <c r="K383" s="20"/>
      <c r="L383" s="22">
        <f t="shared" si="4"/>
        <v>-2332</v>
      </c>
      <c r="M383" s="38">
        <f t="shared" si="5"/>
        <v>43.18518519</v>
      </c>
      <c r="N383" s="22">
        <f t="shared" si="6"/>
        <v>5438224</v>
      </c>
      <c r="O383" s="20"/>
      <c r="P383" s="22">
        <f t="shared" si="7"/>
        <v>-1597</v>
      </c>
      <c r="Q383" s="38">
        <f t="shared" si="8"/>
        <v>29.57407407</v>
      </c>
      <c r="R383" s="22">
        <f t="shared" si="9"/>
        <v>2550409</v>
      </c>
      <c r="S383" s="20"/>
      <c r="T383" s="22">
        <f t="shared" si="10"/>
        <v>-2804</v>
      </c>
      <c r="U383" s="38">
        <f t="shared" si="11"/>
        <v>51.92592593</v>
      </c>
      <c r="V383" s="22">
        <f t="shared" si="12"/>
        <v>7862416</v>
      </c>
    </row>
    <row r="384">
      <c r="A384" s="2">
        <v>41092.0</v>
      </c>
      <c r="B384" s="5">
        <v>426.0</v>
      </c>
      <c r="C384" s="22">
        <f t="shared" si="2"/>
        <v>2372</v>
      </c>
      <c r="D384" s="22">
        <f t="shared" si="3"/>
        <v>1647</v>
      </c>
      <c r="E384" s="22">
        <f t="shared" si="1"/>
        <v>1176</v>
      </c>
      <c r="F384" s="20"/>
      <c r="G384" s="20"/>
      <c r="H384" s="20"/>
      <c r="I384" s="20"/>
      <c r="J384" s="20"/>
      <c r="K384" s="20"/>
      <c r="L384" s="22">
        <f t="shared" si="4"/>
        <v>-1946</v>
      </c>
      <c r="M384" s="38">
        <f t="shared" si="5"/>
        <v>4.568075117</v>
      </c>
      <c r="N384" s="22">
        <f t="shared" si="6"/>
        <v>3786916</v>
      </c>
      <c r="O384" s="20"/>
      <c r="P384" s="22">
        <f t="shared" si="7"/>
        <v>-1221</v>
      </c>
      <c r="Q384" s="38">
        <f t="shared" si="8"/>
        <v>2.866197183</v>
      </c>
      <c r="R384" s="22">
        <f t="shared" si="9"/>
        <v>1490841</v>
      </c>
      <c r="S384" s="20"/>
      <c r="T384" s="22">
        <f t="shared" si="10"/>
        <v>-750</v>
      </c>
      <c r="U384" s="38">
        <f t="shared" si="11"/>
        <v>1.76056338</v>
      </c>
      <c r="V384" s="22">
        <f t="shared" si="12"/>
        <v>562500</v>
      </c>
    </row>
    <row r="385">
      <c r="A385" s="2">
        <v>41093.0</v>
      </c>
      <c r="B385" s="5">
        <v>4560.0</v>
      </c>
      <c r="C385" s="22">
        <f t="shared" si="2"/>
        <v>2316</v>
      </c>
      <c r="D385" s="22">
        <f t="shared" si="3"/>
        <v>1644</v>
      </c>
      <c r="E385" s="22">
        <f t="shared" si="1"/>
        <v>726</v>
      </c>
      <c r="F385" s="20"/>
      <c r="G385" s="20"/>
      <c r="H385" s="20"/>
      <c r="I385" s="20"/>
      <c r="J385" s="20"/>
      <c r="K385" s="20"/>
      <c r="L385" s="22">
        <f t="shared" si="4"/>
        <v>2244</v>
      </c>
      <c r="M385" s="38">
        <f t="shared" si="5"/>
        <v>0.4921052632</v>
      </c>
      <c r="N385" s="22">
        <f t="shared" si="6"/>
        <v>5035536</v>
      </c>
      <c r="O385" s="20"/>
      <c r="P385" s="22">
        <f t="shared" si="7"/>
        <v>2916</v>
      </c>
      <c r="Q385" s="38">
        <f t="shared" si="8"/>
        <v>0.6394736842</v>
      </c>
      <c r="R385" s="22">
        <f t="shared" si="9"/>
        <v>8503056</v>
      </c>
      <c r="S385" s="20"/>
      <c r="T385" s="22">
        <f t="shared" si="10"/>
        <v>3834</v>
      </c>
      <c r="U385" s="38">
        <f t="shared" si="11"/>
        <v>0.8407894737</v>
      </c>
      <c r="V385" s="22">
        <f t="shared" si="12"/>
        <v>14699556</v>
      </c>
    </row>
    <row r="386">
      <c r="A386" s="2">
        <v>41095.0</v>
      </c>
      <c r="B386" s="5">
        <v>6894.0</v>
      </c>
      <c r="C386" s="22">
        <f t="shared" si="2"/>
        <v>3088</v>
      </c>
      <c r="D386" s="22">
        <f t="shared" si="3"/>
        <v>1651</v>
      </c>
      <c r="E386" s="22">
        <f t="shared" si="1"/>
        <v>3026</v>
      </c>
      <c r="F386" s="20"/>
      <c r="G386" s="20"/>
      <c r="H386" s="20"/>
      <c r="I386" s="20"/>
      <c r="J386" s="20"/>
      <c r="K386" s="20"/>
      <c r="L386" s="22">
        <f t="shared" si="4"/>
        <v>3806</v>
      </c>
      <c r="M386" s="38">
        <f t="shared" si="5"/>
        <v>0.5520742675</v>
      </c>
      <c r="N386" s="22">
        <f t="shared" si="6"/>
        <v>14485636</v>
      </c>
      <c r="O386" s="20"/>
      <c r="P386" s="22">
        <f t="shared" si="7"/>
        <v>5243</v>
      </c>
      <c r="Q386" s="38">
        <f t="shared" si="8"/>
        <v>0.7605163911</v>
      </c>
      <c r="R386" s="22">
        <f t="shared" si="9"/>
        <v>27489049</v>
      </c>
      <c r="S386" s="20"/>
      <c r="T386" s="22">
        <f t="shared" si="10"/>
        <v>3868</v>
      </c>
      <c r="U386" s="38">
        <f t="shared" si="11"/>
        <v>0.561067595</v>
      </c>
      <c r="V386" s="22">
        <f t="shared" si="12"/>
        <v>14961424</v>
      </c>
    </row>
    <row r="387">
      <c r="A387" s="2">
        <v>41096.0</v>
      </c>
      <c r="B387" s="5">
        <v>282.0</v>
      </c>
      <c r="C387" s="22">
        <f t="shared" si="2"/>
        <v>2522</v>
      </c>
      <c r="D387" s="22">
        <f t="shared" si="3"/>
        <v>1665</v>
      </c>
      <c r="E387" s="22">
        <f t="shared" si="1"/>
        <v>5347</v>
      </c>
      <c r="F387" s="20"/>
      <c r="G387" s="20"/>
      <c r="H387" s="20"/>
      <c r="I387" s="20"/>
      <c r="J387" s="20"/>
      <c r="K387" s="20"/>
      <c r="L387" s="22">
        <f t="shared" si="4"/>
        <v>-2240</v>
      </c>
      <c r="M387" s="38">
        <f t="shared" si="5"/>
        <v>7.943262411</v>
      </c>
      <c r="N387" s="22">
        <f t="shared" si="6"/>
        <v>5017600</v>
      </c>
      <c r="O387" s="20"/>
      <c r="P387" s="22">
        <f t="shared" si="7"/>
        <v>-1383</v>
      </c>
      <c r="Q387" s="38">
        <f t="shared" si="8"/>
        <v>4.904255319</v>
      </c>
      <c r="R387" s="22">
        <f t="shared" si="9"/>
        <v>1912689</v>
      </c>
      <c r="S387" s="20"/>
      <c r="T387" s="22">
        <f t="shared" si="10"/>
        <v>-5065</v>
      </c>
      <c r="U387" s="38">
        <f t="shared" si="11"/>
        <v>17.96099291</v>
      </c>
      <c r="V387" s="22">
        <f t="shared" si="12"/>
        <v>25654225</v>
      </c>
    </row>
    <row r="388">
      <c r="A388" s="2">
        <v>41099.0</v>
      </c>
      <c r="B388" s="5">
        <v>618.0</v>
      </c>
      <c r="C388" s="22">
        <f t="shared" si="2"/>
        <v>2443</v>
      </c>
      <c r="D388" s="22">
        <f t="shared" si="3"/>
        <v>1662</v>
      </c>
      <c r="E388" s="22">
        <f t="shared" si="1"/>
        <v>2308</v>
      </c>
      <c r="F388" s="20"/>
      <c r="G388" s="20"/>
      <c r="H388" s="20"/>
      <c r="I388" s="20"/>
      <c r="J388" s="20"/>
      <c r="K388" s="20"/>
      <c r="L388" s="22">
        <f t="shared" si="4"/>
        <v>-1825</v>
      </c>
      <c r="M388" s="38">
        <f t="shared" si="5"/>
        <v>2.953074434</v>
      </c>
      <c r="N388" s="22">
        <f t="shared" si="6"/>
        <v>3330625</v>
      </c>
      <c r="O388" s="20"/>
      <c r="P388" s="22">
        <f t="shared" si="7"/>
        <v>-1044</v>
      </c>
      <c r="Q388" s="38">
        <f t="shared" si="8"/>
        <v>1.689320388</v>
      </c>
      <c r="R388" s="22">
        <f t="shared" si="9"/>
        <v>1089936</v>
      </c>
      <c r="S388" s="20"/>
      <c r="T388" s="22">
        <f t="shared" si="10"/>
        <v>-1690</v>
      </c>
      <c r="U388" s="38">
        <f t="shared" si="11"/>
        <v>2.734627832</v>
      </c>
      <c r="V388" s="22">
        <f t="shared" si="12"/>
        <v>2856100</v>
      </c>
    </row>
    <row r="389">
      <c r="A389" s="2">
        <v>41100.0</v>
      </c>
      <c r="B389" s="5">
        <v>330.0</v>
      </c>
      <c r="C389" s="22">
        <f t="shared" si="2"/>
        <v>2556</v>
      </c>
      <c r="D389" s="22">
        <f t="shared" si="3"/>
        <v>1659</v>
      </c>
      <c r="E389" s="22">
        <f t="shared" si="1"/>
        <v>1294</v>
      </c>
      <c r="F389" s="20"/>
      <c r="G389" s="20"/>
      <c r="H389" s="20"/>
      <c r="I389" s="20"/>
      <c r="J389" s="20"/>
      <c r="K389" s="20"/>
      <c r="L389" s="22">
        <f t="shared" si="4"/>
        <v>-2226</v>
      </c>
      <c r="M389" s="38">
        <f t="shared" si="5"/>
        <v>6.745454545</v>
      </c>
      <c r="N389" s="22">
        <f t="shared" si="6"/>
        <v>4955076</v>
      </c>
      <c r="O389" s="20"/>
      <c r="P389" s="22">
        <f t="shared" si="7"/>
        <v>-1329</v>
      </c>
      <c r="Q389" s="38">
        <f t="shared" si="8"/>
        <v>4.027272727</v>
      </c>
      <c r="R389" s="22">
        <f t="shared" si="9"/>
        <v>1766241</v>
      </c>
      <c r="S389" s="20"/>
      <c r="T389" s="22">
        <f t="shared" si="10"/>
        <v>-964</v>
      </c>
      <c r="U389" s="38">
        <f t="shared" si="11"/>
        <v>2.921212121</v>
      </c>
      <c r="V389" s="22">
        <f t="shared" si="12"/>
        <v>929296</v>
      </c>
    </row>
    <row r="390">
      <c r="A390" s="2">
        <v>41101.0</v>
      </c>
      <c r="B390" s="5">
        <v>6384.0</v>
      </c>
      <c r="C390" s="22">
        <f t="shared" si="2"/>
        <v>2537</v>
      </c>
      <c r="D390" s="22">
        <f t="shared" si="3"/>
        <v>1655</v>
      </c>
      <c r="E390" s="22">
        <f t="shared" si="1"/>
        <v>716</v>
      </c>
      <c r="F390" s="20"/>
      <c r="G390" s="20"/>
      <c r="H390" s="20"/>
      <c r="I390" s="20"/>
      <c r="J390" s="20"/>
      <c r="K390" s="20"/>
      <c r="L390" s="22">
        <f t="shared" si="4"/>
        <v>3847</v>
      </c>
      <c r="M390" s="38">
        <f t="shared" si="5"/>
        <v>0.6026002506</v>
      </c>
      <c r="N390" s="22">
        <f t="shared" si="6"/>
        <v>14799409</v>
      </c>
      <c r="O390" s="20"/>
      <c r="P390" s="22">
        <f t="shared" si="7"/>
        <v>4729</v>
      </c>
      <c r="Q390" s="38">
        <f t="shared" si="8"/>
        <v>0.7407581454</v>
      </c>
      <c r="R390" s="22">
        <f t="shared" si="9"/>
        <v>22363441</v>
      </c>
      <c r="S390" s="20"/>
      <c r="T390" s="22">
        <f t="shared" si="10"/>
        <v>5668</v>
      </c>
      <c r="U390" s="38">
        <f t="shared" si="11"/>
        <v>0.8878446115</v>
      </c>
      <c r="V390" s="22">
        <f t="shared" si="12"/>
        <v>32126224</v>
      </c>
    </row>
    <row r="391">
      <c r="A391" s="2">
        <v>41102.0</v>
      </c>
      <c r="B391" s="5">
        <v>996.0</v>
      </c>
      <c r="C391" s="22">
        <f t="shared" si="2"/>
        <v>2902</v>
      </c>
      <c r="D391" s="22">
        <f t="shared" si="3"/>
        <v>1668</v>
      </c>
      <c r="E391" s="22">
        <f t="shared" si="1"/>
        <v>4117</v>
      </c>
      <c r="F391" s="20"/>
      <c r="G391" s="20"/>
      <c r="H391" s="20"/>
      <c r="I391" s="20"/>
      <c r="J391" s="20"/>
      <c r="K391" s="20"/>
      <c r="L391" s="22">
        <f t="shared" si="4"/>
        <v>-1906</v>
      </c>
      <c r="M391" s="38">
        <f t="shared" si="5"/>
        <v>1.913654618</v>
      </c>
      <c r="N391" s="22">
        <f t="shared" si="6"/>
        <v>3632836</v>
      </c>
      <c r="O391" s="20"/>
      <c r="P391" s="22">
        <f t="shared" si="7"/>
        <v>-672</v>
      </c>
      <c r="Q391" s="38">
        <f t="shared" si="8"/>
        <v>0.6746987952</v>
      </c>
      <c r="R391" s="22">
        <f t="shared" si="9"/>
        <v>451584</v>
      </c>
      <c r="S391" s="20"/>
      <c r="T391" s="22">
        <f t="shared" si="10"/>
        <v>-3121</v>
      </c>
      <c r="U391" s="38">
        <f t="shared" si="11"/>
        <v>3.133534137</v>
      </c>
      <c r="V391" s="22">
        <f t="shared" si="12"/>
        <v>9740641</v>
      </c>
    </row>
    <row r="392">
      <c r="A392" s="2">
        <v>41103.0</v>
      </c>
      <c r="B392" s="5">
        <v>162.0</v>
      </c>
      <c r="C392" s="22">
        <f t="shared" si="2"/>
        <v>1722</v>
      </c>
      <c r="D392" s="22">
        <f t="shared" si="3"/>
        <v>1666</v>
      </c>
      <c r="E392" s="22">
        <f t="shared" si="1"/>
        <v>2244</v>
      </c>
      <c r="F392" s="20"/>
      <c r="G392" s="20"/>
      <c r="H392" s="20"/>
      <c r="I392" s="20"/>
      <c r="J392" s="20"/>
      <c r="K392" s="20"/>
      <c r="L392" s="22">
        <f t="shared" si="4"/>
        <v>-1560</v>
      </c>
      <c r="M392" s="38">
        <f t="shared" si="5"/>
        <v>9.62962963</v>
      </c>
      <c r="N392" s="22">
        <f t="shared" si="6"/>
        <v>2433600</v>
      </c>
      <c r="O392" s="20"/>
      <c r="P392" s="22">
        <f t="shared" si="7"/>
        <v>-1504</v>
      </c>
      <c r="Q392" s="38">
        <f t="shared" si="8"/>
        <v>9.283950617</v>
      </c>
      <c r="R392" s="22">
        <f t="shared" si="9"/>
        <v>2262016</v>
      </c>
      <c r="S392" s="20"/>
      <c r="T392" s="22">
        <f t="shared" si="10"/>
        <v>-2082</v>
      </c>
      <c r="U392" s="38">
        <f t="shared" si="11"/>
        <v>12.85185185</v>
      </c>
      <c r="V392" s="22">
        <f t="shared" si="12"/>
        <v>4334724</v>
      </c>
    </row>
    <row r="393">
      <c r="A393" s="2">
        <v>41106.0</v>
      </c>
      <c r="B393" s="5">
        <v>570.0</v>
      </c>
      <c r="C393" s="22">
        <f t="shared" si="2"/>
        <v>1698</v>
      </c>
      <c r="D393" s="22">
        <f t="shared" si="3"/>
        <v>1662</v>
      </c>
      <c r="E393" s="22">
        <f t="shared" si="1"/>
        <v>995</v>
      </c>
      <c r="F393" s="20"/>
      <c r="G393" s="20"/>
      <c r="H393" s="20"/>
      <c r="I393" s="20"/>
      <c r="J393" s="20"/>
      <c r="K393" s="20"/>
      <c r="L393" s="22">
        <f t="shared" si="4"/>
        <v>-1128</v>
      </c>
      <c r="M393" s="38">
        <f t="shared" si="5"/>
        <v>1.978947368</v>
      </c>
      <c r="N393" s="22">
        <f t="shared" si="6"/>
        <v>1272384</v>
      </c>
      <c r="O393" s="20"/>
      <c r="P393" s="22">
        <f t="shared" si="7"/>
        <v>-1092</v>
      </c>
      <c r="Q393" s="38">
        <f t="shared" si="8"/>
        <v>1.915789474</v>
      </c>
      <c r="R393" s="22">
        <f t="shared" si="9"/>
        <v>1192464</v>
      </c>
      <c r="S393" s="20"/>
      <c r="T393" s="22">
        <f t="shared" si="10"/>
        <v>-425</v>
      </c>
      <c r="U393" s="38">
        <f t="shared" si="11"/>
        <v>0.7456140351</v>
      </c>
      <c r="V393" s="22">
        <f t="shared" si="12"/>
        <v>180625</v>
      </c>
    </row>
    <row r="394">
      <c r="A394" s="2">
        <v>41107.0</v>
      </c>
      <c r="B394" s="5">
        <v>48.0</v>
      </c>
      <c r="C394" s="22">
        <f t="shared" si="2"/>
        <v>1688</v>
      </c>
      <c r="D394" s="22">
        <f t="shared" si="3"/>
        <v>1659</v>
      </c>
      <c r="E394" s="22">
        <f t="shared" si="1"/>
        <v>740</v>
      </c>
      <c r="F394" s="20"/>
      <c r="G394" s="20"/>
      <c r="H394" s="20"/>
      <c r="I394" s="20"/>
      <c r="J394" s="20"/>
      <c r="K394" s="20"/>
      <c r="L394" s="22">
        <f t="shared" si="4"/>
        <v>-1640</v>
      </c>
      <c r="M394" s="38">
        <f t="shared" si="5"/>
        <v>34.16666667</v>
      </c>
      <c r="N394" s="22">
        <f t="shared" si="6"/>
        <v>2689600</v>
      </c>
      <c r="O394" s="20"/>
      <c r="P394" s="22">
        <f t="shared" si="7"/>
        <v>-1611</v>
      </c>
      <c r="Q394" s="38">
        <f t="shared" si="8"/>
        <v>33.5625</v>
      </c>
      <c r="R394" s="22">
        <f t="shared" si="9"/>
        <v>2595321</v>
      </c>
      <c r="S394" s="20"/>
      <c r="T394" s="22">
        <f t="shared" si="10"/>
        <v>-692</v>
      </c>
      <c r="U394" s="38">
        <f t="shared" si="11"/>
        <v>14.41666667</v>
      </c>
      <c r="V394" s="22">
        <f t="shared" si="12"/>
        <v>478864</v>
      </c>
    </row>
    <row r="395">
      <c r="A395" s="2">
        <v>41108.0</v>
      </c>
      <c r="B395" s="5">
        <v>4872.0</v>
      </c>
      <c r="C395" s="22">
        <f t="shared" si="2"/>
        <v>1632</v>
      </c>
      <c r="D395" s="22">
        <f t="shared" si="3"/>
        <v>1655</v>
      </c>
      <c r="E395" s="22">
        <f t="shared" si="1"/>
        <v>325</v>
      </c>
      <c r="F395" s="20"/>
      <c r="G395" s="20"/>
      <c r="H395" s="20"/>
      <c r="I395" s="20"/>
      <c r="J395" s="20"/>
      <c r="K395" s="20"/>
      <c r="L395" s="22">
        <f t="shared" si="4"/>
        <v>3240</v>
      </c>
      <c r="M395" s="38">
        <f t="shared" si="5"/>
        <v>0.6650246305</v>
      </c>
      <c r="N395" s="22">
        <f t="shared" si="6"/>
        <v>10497600</v>
      </c>
      <c r="O395" s="20"/>
      <c r="P395" s="22">
        <f t="shared" si="7"/>
        <v>3217</v>
      </c>
      <c r="Q395" s="38">
        <f t="shared" si="8"/>
        <v>0.6603037767</v>
      </c>
      <c r="R395" s="22">
        <f t="shared" si="9"/>
        <v>10349089</v>
      </c>
      <c r="S395" s="20"/>
      <c r="T395" s="22">
        <f t="shared" si="10"/>
        <v>4547</v>
      </c>
      <c r="U395" s="38">
        <f t="shared" si="11"/>
        <v>0.9332922824</v>
      </c>
      <c r="V395" s="22">
        <f t="shared" si="12"/>
        <v>20675209</v>
      </c>
    </row>
    <row r="396">
      <c r="A396" s="2">
        <v>41109.0</v>
      </c>
      <c r="B396" s="5">
        <v>3942.0</v>
      </c>
      <c r="C396" s="22">
        <f t="shared" si="2"/>
        <v>1330</v>
      </c>
      <c r="D396" s="22">
        <f t="shared" si="3"/>
        <v>1663</v>
      </c>
      <c r="E396" s="22">
        <f t="shared" si="1"/>
        <v>3053</v>
      </c>
      <c r="F396" s="20"/>
      <c r="G396" s="20"/>
      <c r="H396" s="20"/>
      <c r="I396" s="20"/>
      <c r="J396" s="20"/>
      <c r="K396" s="20"/>
      <c r="L396" s="22">
        <f t="shared" si="4"/>
        <v>2612</v>
      </c>
      <c r="M396" s="38">
        <f t="shared" si="5"/>
        <v>0.6626078133</v>
      </c>
      <c r="N396" s="22">
        <f t="shared" si="6"/>
        <v>6822544</v>
      </c>
      <c r="O396" s="20"/>
      <c r="P396" s="22">
        <f t="shared" si="7"/>
        <v>2279</v>
      </c>
      <c r="Q396" s="38">
        <f t="shared" si="8"/>
        <v>0.5781329274</v>
      </c>
      <c r="R396" s="22">
        <f t="shared" si="9"/>
        <v>5193841</v>
      </c>
      <c r="S396" s="20"/>
      <c r="T396" s="22">
        <f t="shared" si="10"/>
        <v>889</v>
      </c>
      <c r="U396" s="38">
        <f t="shared" si="11"/>
        <v>0.2255200406</v>
      </c>
      <c r="V396" s="22">
        <f t="shared" si="12"/>
        <v>790321</v>
      </c>
    </row>
    <row r="397">
      <c r="A397" s="2">
        <v>41110.0</v>
      </c>
      <c r="B397" s="5">
        <v>2220.0</v>
      </c>
      <c r="C397" s="22">
        <f t="shared" si="2"/>
        <v>1919</v>
      </c>
      <c r="D397" s="22">
        <f t="shared" si="3"/>
        <v>1669</v>
      </c>
      <c r="E397" s="22">
        <f t="shared" si="1"/>
        <v>3586</v>
      </c>
      <c r="F397" s="20"/>
      <c r="G397" s="20"/>
      <c r="H397" s="20"/>
      <c r="I397" s="20"/>
      <c r="J397" s="20"/>
      <c r="K397" s="20"/>
      <c r="L397" s="22">
        <f t="shared" si="4"/>
        <v>301</v>
      </c>
      <c r="M397" s="38">
        <f t="shared" si="5"/>
        <v>0.1355855856</v>
      </c>
      <c r="N397" s="22">
        <f t="shared" si="6"/>
        <v>90601</v>
      </c>
      <c r="O397" s="20"/>
      <c r="P397" s="22">
        <f t="shared" si="7"/>
        <v>551</v>
      </c>
      <c r="Q397" s="38">
        <f t="shared" si="8"/>
        <v>0.2481981982</v>
      </c>
      <c r="R397" s="22">
        <f t="shared" si="9"/>
        <v>303601</v>
      </c>
      <c r="S397" s="20"/>
      <c r="T397" s="22">
        <f t="shared" si="10"/>
        <v>-1366</v>
      </c>
      <c r="U397" s="38">
        <f t="shared" si="11"/>
        <v>0.6153153153</v>
      </c>
      <c r="V397" s="22">
        <f t="shared" si="12"/>
        <v>1865956</v>
      </c>
    </row>
    <row r="398">
      <c r="A398" s="2">
        <v>41113.0</v>
      </c>
      <c r="B398" s="5">
        <v>588.0</v>
      </c>
      <c r="C398" s="22">
        <f t="shared" si="2"/>
        <v>2330</v>
      </c>
      <c r="D398" s="22">
        <f t="shared" si="3"/>
        <v>1670</v>
      </c>
      <c r="E398" s="22">
        <f t="shared" si="1"/>
        <v>2766</v>
      </c>
      <c r="F398" s="20"/>
      <c r="G398" s="20"/>
      <c r="H398" s="20"/>
      <c r="I398" s="20"/>
      <c r="J398" s="20"/>
      <c r="K398" s="20"/>
      <c r="L398" s="22">
        <f t="shared" si="4"/>
        <v>-1742</v>
      </c>
      <c r="M398" s="38">
        <f t="shared" si="5"/>
        <v>2.962585034</v>
      </c>
      <c r="N398" s="22">
        <f t="shared" si="6"/>
        <v>3034564</v>
      </c>
      <c r="O398" s="20"/>
      <c r="P398" s="22">
        <f t="shared" si="7"/>
        <v>-1082</v>
      </c>
      <c r="Q398" s="38">
        <f t="shared" si="8"/>
        <v>1.840136054</v>
      </c>
      <c r="R398" s="22">
        <f t="shared" si="9"/>
        <v>1170724</v>
      </c>
      <c r="S398" s="20"/>
      <c r="T398" s="22">
        <f t="shared" si="10"/>
        <v>-2178</v>
      </c>
      <c r="U398" s="38">
        <f t="shared" si="11"/>
        <v>3.704081633</v>
      </c>
      <c r="V398" s="22">
        <f t="shared" si="12"/>
        <v>4743684</v>
      </c>
    </row>
    <row r="399">
      <c r="A399" s="2">
        <v>41114.0</v>
      </c>
      <c r="B399" s="5">
        <v>3654.0</v>
      </c>
      <c r="C399" s="22">
        <f t="shared" si="2"/>
        <v>2334</v>
      </c>
      <c r="D399" s="22">
        <f t="shared" si="3"/>
        <v>1668</v>
      </c>
      <c r="E399" s="22">
        <f t="shared" si="1"/>
        <v>1459</v>
      </c>
      <c r="F399" s="20"/>
      <c r="G399" s="20"/>
      <c r="H399" s="20"/>
      <c r="I399" s="20"/>
      <c r="J399" s="20"/>
      <c r="K399" s="20"/>
      <c r="L399" s="22">
        <f t="shared" si="4"/>
        <v>1320</v>
      </c>
      <c r="M399" s="38">
        <f t="shared" si="5"/>
        <v>0.3612479475</v>
      </c>
      <c r="N399" s="22">
        <f t="shared" si="6"/>
        <v>1742400</v>
      </c>
      <c r="O399" s="20"/>
      <c r="P399" s="22">
        <f t="shared" si="7"/>
        <v>1986</v>
      </c>
      <c r="Q399" s="38">
        <f t="shared" si="8"/>
        <v>0.5435139573</v>
      </c>
      <c r="R399" s="22">
        <f t="shared" si="9"/>
        <v>3944196</v>
      </c>
      <c r="S399" s="20"/>
      <c r="T399" s="22">
        <f t="shared" si="10"/>
        <v>2195</v>
      </c>
      <c r="U399" s="38">
        <f t="shared" si="11"/>
        <v>0.600711549</v>
      </c>
      <c r="V399" s="22">
        <f t="shared" si="12"/>
        <v>4818025</v>
      </c>
    </row>
    <row r="400">
      <c r="A400" s="2">
        <v>41115.0</v>
      </c>
      <c r="B400" s="5">
        <v>6432.0</v>
      </c>
      <c r="C400" s="22">
        <f t="shared" si="2"/>
        <v>3055</v>
      </c>
      <c r="D400" s="22">
        <f t="shared" si="3"/>
        <v>1673</v>
      </c>
      <c r="E400" s="22">
        <f t="shared" si="1"/>
        <v>2776</v>
      </c>
      <c r="F400" s="20"/>
      <c r="G400" s="20"/>
      <c r="H400" s="20"/>
      <c r="I400" s="20"/>
      <c r="J400" s="20"/>
      <c r="K400" s="20"/>
      <c r="L400" s="22">
        <f t="shared" si="4"/>
        <v>3377</v>
      </c>
      <c r="M400" s="38">
        <f t="shared" si="5"/>
        <v>0.5250310945</v>
      </c>
      <c r="N400" s="22">
        <f t="shared" si="6"/>
        <v>11404129</v>
      </c>
      <c r="O400" s="20"/>
      <c r="P400" s="22">
        <f t="shared" si="7"/>
        <v>4759</v>
      </c>
      <c r="Q400" s="38">
        <f t="shared" si="8"/>
        <v>0.7398942786</v>
      </c>
      <c r="R400" s="22">
        <f t="shared" si="9"/>
        <v>22648081</v>
      </c>
      <c r="S400" s="20"/>
      <c r="T400" s="22">
        <f t="shared" si="10"/>
        <v>3656</v>
      </c>
      <c r="U400" s="38">
        <f t="shared" si="11"/>
        <v>0.5684079602</v>
      </c>
      <c r="V400" s="22">
        <f t="shared" si="12"/>
        <v>13366336</v>
      </c>
    </row>
    <row r="401">
      <c r="A401" s="2">
        <v>41116.0</v>
      </c>
      <c r="B401" s="5">
        <v>3018.0</v>
      </c>
      <c r="C401" s="22">
        <f t="shared" si="2"/>
        <v>3367</v>
      </c>
      <c r="D401" s="22">
        <f t="shared" si="3"/>
        <v>1685</v>
      </c>
      <c r="E401" s="22">
        <f t="shared" si="1"/>
        <v>4970</v>
      </c>
      <c r="F401" s="20"/>
      <c r="G401" s="20"/>
      <c r="H401" s="20"/>
      <c r="I401" s="20"/>
      <c r="J401" s="20"/>
      <c r="K401" s="20"/>
      <c r="L401" s="22">
        <f t="shared" si="4"/>
        <v>-349</v>
      </c>
      <c r="M401" s="38">
        <f t="shared" si="5"/>
        <v>0.1156394964</v>
      </c>
      <c r="N401" s="22">
        <f t="shared" si="6"/>
        <v>121801</v>
      </c>
      <c r="O401" s="20"/>
      <c r="P401" s="22">
        <f t="shared" si="7"/>
        <v>1333</v>
      </c>
      <c r="Q401" s="38">
        <f t="shared" si="8"/>
        <v>0.4416832339</v>
      </c>
      <c r="R401" s="22">
        <f t="shared" si="9"/>
        <v>1776889</v>
      </c>
      <c r="S401" s="20"/>
      <c r="T401" s="22">
        <f t="shared" si="10"/>
        <v>-1952</v>
      </c>
      <c r="U401" s="38">
        <f t="shared" si="11"/>
        <v>0.646785951</v>
      </c>
      <c r="V401" s="22">
        <f t="shared" si="12"/>
        <v>3810304</v>
      </c>
    </row>
    <row r="402">
      <c r="A402" s="2">
        <v>41117.0</v>
      </c>
      <c r="B402" s="5">
        <v>42.0</v>
      </c>
      <c r="C402" s="22">
        <f t="shared" si="2"/>
        <v>3182</v>
      </c>
      <c r="D402" s="22">
        <f t="shared" si="3"/>
        <v>1688</v>
      </c>
      <c r="E402" s="22">
        <f t="shared" si="1"/>
        <v>3799</v>
      </c>
      <c r="F402" s="20"/>
      <c r="G402" s="20"/>
      <c r="H402" s="20"/>
      <c r="I402" s="20"/>
      <c r="J402" s="20"/>
      <c r="K402" s="20"/>
      <c r="L402" s="22">
        <f t="shared" si="4"/>
        <v>-3140</v>
      </c>
      <c r="M402" s="38">
        <f t="shared" si="5"/>
        <v>74.76190476</v>
      </c>
      <c r="N402" s="22">
        <f t="shared" si="6"/>
        <v>9859600</v>
      </c>
      <c r="O402" s="20"/>
      <c r="P402" s="22">
        <f t="shared" si="7"/>
        <v>-1646</v>
      </c>
      <c r="Q402" s="38">
        <f t="shared" si="8"/>
        <v>39.19047619</v>
      </c>
      <c r="R402" s="22">
        <f t="shared" si="9"/>
        <v>2709316</v>
      </c>
      <c r="S402" s="20"/>
      <c r="T402" s="22">
        <f t="shared" si="10"/>
        <v>-3757</v>
      </c>
      <c r="U402" s="38">
        <f t="shared" si="11"/>
        <v>89.45238095</v>
      </c>
      <c r="V402" s="22">
        <f t="shared" si="12"/>
        <v>14115049</v>
      </c>
    </row>
    <row r="403">
      <c r="A403" s="2">
        <v>41120.0</v>
      </c>
      <c r="B403" s="5">
        <v>960.0</v>
      </c>
      <c r="C403" s="22">
        <f t="shared" si="2"/>
        <v>2747</v>
      </c>
      <c r="D403" s="22">
        <f t="shared" si="3"/>
        <v>1684</v>
      </c>
      <c r="E403" s="22">
        <f t="shared" si="1"/>
        <v>1545</v>
      </c>
      <c r="F403" s="20"/>
      <c r="G403" s="20"/>
      <c r="H403" s="20"/>
      <c r="I403" s="20"/>
      <c r="J403" s="20"/>
      <c r="K403" s="20"/>
      <c r="L403" s="22">
        <f t="shared" si="4"/>
        <v>-1787</v>
      </c>
      <c r="M403" s="38">
        <f t="shared" si="5"/>
        <v>1.861458333</v>
      </c>
      <c r="N403" s="22">
        <f t="shared" si="6"/>
        <v>3193369</v>
      </c>
      <c r="O403" s="20"/>
      <c r="P403" s="22">
        <f t="shared" si="7"/>
        <v>-724</v>
      </c>
      <c r="Q403" s="38">
        <f t="shared" si="8"/>
        <v>0.7541666667</v>
      </c>
      <c r="R403" s="22">
        <f t="shared" si="9"/>
        <v>524176</v>
      </c>
      <c r="S403" s="20"/>
      <c r="T403" s="22">
        <f t="shared" si="10"/>
        <v>-585</v>
      </c>
      <c r="U403" s="38">
        <f t="shared" si="11"/>
        <v>0.609375</v>
      </c>
      <c r="V403" s="22">
        <f t="shared" si="12"/>
        <v>342225</v>
      </c>
    </row>
    <row r="404">
      <c r="A404" s="2">
        <v>41121.0</v>
      </c>
      <c r="B404" s="5">
        <v>564.0</v>
      </c>
      <c r="C404" s="22">
        <f t="shared" si="2"/>
        <v>2821</v>
      </c>
      <c r="D404" s="22">
        <f t="shared" si="3"/>
        <v>1682</v>
      </c>
      <c r="E404" s="22">
        <f t="shared" si="1"/>
        <v>1194</v>
      </c>
      <c r="F404" s="20"/>
      <c r="G404" s="20"/>
      <c r="H404" s="20"/>
      <c r="I404" s="20"/>
      <c r="J404" s="20"/>
      <c r="K404" s="20"/>
      <c r="L404" s="22">
        <f t="shared" si="4"/>
        <v>-2257</v>
      </c>
      <c r="M404" s="38">
        <f t="shared" si="5"/>
        <v>4.00177305</v>
      </c>
      <c r="N404" s="22">
        <f t="shared" si="6"/>
        <v>5094049</v>
      </c>
      <c r="O404" s="20"/>
      <c r="P404" s="22">
        <f t="shared" si="7"/>
        <v>-1118</v>
      </c>
      <c r="Q404" s="38">
        <f t="shared" si="8"/>
        <v>1.982269504</v>
      </c>
      <c r="R404" s="22">
        <f t="shared" si="9"/>
        <v>1249924</v>
      </c>
      <c r="S404" s="20"/>
      <c r="T404" s="22">
        <f t="shared" si="10"/>
        <v>-630</v>
      </c>
      <c r="U404" s="38">
        <f t="shared" si="11"/>
        <v>1.117021277</v>
      </c>
      <c r="V404" s="22">
        <f t="shared" si="12"/>
        <v>396900</v>
      </c>
    </row>
    <row r="405">
      <c r="A405" s="2">
        <v>41122.0</v>
      </c>
      <c r="B405" s="5">
        <v>2532.0</v>
      </c>
      <c r="C405" s="22">
        <f t="shared" si="2"/>
        <v>2203</v>
      </c>
      <c r="D405" s="22">
        <f t="shared" si="3"/>
        <v>1679</v>
      </c>
      <c r="E405" s="22">
        <f t="shared" si="1"/>
        <v>816</v>
      </c>
      <c r="F405" s="20"/>
      <c r="G405" s="20"/>
      <c r="H405" s="20"/>
      <c r="I405" s="20"/>
      <c r="J405" s="20"/>
      <c r="K405" s="20"/>
      <c r="L405" s="22">
        <f t="shared" si="4"/>
        <v>329</v>
      </c>
      <c r="M405" s="38">
        <f t="shared" si="5"/>
        <v>0.1299368088</v>
      </c>
      <c r="N405" s="22">
        <f t="shared" si="6"/>
        <v>108241</v>
      </c>
      <c r="O405" s="20"/>
      <c r="P405" s="22">
        <f t="shared" si="7"/>
        <v>853</v>
      </c>
      <c r="Q405" s="38">
        <f t="shared" si="8"/>
        <v>0.3368878357</v>
      </c>
      <c r="R405" s="22">
        <f t="shared" si="9"/>
        <v>727609</v>
      </c>
      <c r="S405" s="20"/>
      <c r="T405" s="22">
        <f t="shared" si="10"/>
        <v>1716</v>
      </c>
      <c r="U405" s="38">
        <f t="shared" si="11"/>
        <v>0.6777251185</v>
      </c>
      <c r="V405" s="22">
        <f t="shared" si="12"/>
        <v>2944656</v>
      </c>
    </row>
    <row r="406">
      <c r="A406" s="2">
        <v>41123.0</v>
      </c>
      <c r="B406" s="5">
        <v>6276.0</v>
      </c>
      <c r="C406" s="22">
        <f t="shared" si="2"/>
        <v>1423</v>
      </c>
      <c r="D406" s="22">
        <f t="shared" si="3"/>
        <v>1681</v>
      </c>
      <c r="E406" s="22">
        <f t="shared" si="1"/>
        <v>1846</v>
      </c>
      <c r="F406" s="20"/>
      <c r="G406" s="20"/>
      <c r="H406" s="20"/>
      <c r="I406" s="20"/>
      <c r="J406" s="20"/>
      <c r="K406" s="20"/>
      <c r="L406" s="22">
        <f t="shared" si="4"/>
        <v>4853</v>
      </c>
      <c r="M406" s="38">
        <f t="shared" si="5"/>
        <v>0.773263225</v>
      </c>
      <c r="N406" s="22">
        <f t="shared" si="6"/>
        <v>23551609</v>
      </c>
      <c r="O406" s="20"/>
      <c r="P406" s="22">
        <f t="shared" si="7"/>
        <v>4595</v>
      </c>
      <c r="Q406" s="38">
        <f t="shared" si="8"/>
        <v>0.7321542384</v>
      </c>
      <c r="R406" s="22">
        <f t="shared" si="9"/>
        <v>21114025</v>
      </c>
      <c r="S406" s="20"/>
      <c r="T406" s="22">
        <f t="shared" si="10"/>
        <v>4430</v>
      </c>
      <c r="U406" s="38">
        <f t="shared" si="11"/>
        <v>0.7058636074</v>
      </c>
      <c r="V406" s="22">
        <f t="shared" si="12"/>
        <v>19624900</v>
      </c>
    </row>
    <row r="407">
      <c r="A407" s="2">
        <v>41124.0</v>
      </c>
      <c r="B407" s="5">
        <v>144.0</v>
      </c>
      <c r="C407" s="22">
        <f t="shared" si="2"/>
        <v>2075</v>
      </c>
      <c r="D407" s="22">
        <f t="shared" si="3"/>
        <v>1693</v>
      </c>
      <c r="E407" s="22">
        <f t="shared" si="1"/>
        <v>4504</v>
      </c>
      <c r="F407" s="20"/>
      <c r="G407" s="20"/>
      <c r="H407" s="20"/>
      <c r="I407" s="20"/>
      <c r="J407" s="20"/>
      <c r="K407" s="20"/>
      <c r="L407" s="22">
        <f t="shared" si="4"/>
        <v>-1931</v>
      </c>
      <c r="M407" s="38">
        <f t="shared" si="5"/>
        <v>13.40972222</v>
      </c>
      <c r="N407" s="22">
        <f t="shared" si="6"/>
        <v>3728761</v>
      </c>
      <c r="O407" s="20"/>
      <c r="P407" s="22">
        <f t="shared" si="7"/>
        <v>-1549</v>
      </c>
      <c r="Q407" s="38">
        <f t="shared" si="8"/>
        <v>10.75694444</v>
      </c>
      <c r="R407" s="22">
        <f t="shared" si="9"/>
        <v>2399401</v>
      </c>
      <c r="S407" s="20"/>
      <c r="T407" s="22">
        <f t="shared" si="10"/>
        <v>-4360</v>
      </c>
      <c r="U407" s="38">
        <f t="shared" si="11"/>
        <v>30.27777778</v>
      </c>
      <c r="V407" s="22">
        <f t="shared" si="12"/>
        <v>19009600</v>
      </c>
    </row>
    <row r="408">
      <c r="A408" s="2">
        <v>41127.0</v>
      </c>
      <c r="B408" s="5">
        <v>222.0</v>
      </c>
      <c r="C408" s="22">
        <f t="shared" si="2"/>
        <v>2095</v>
      </c>
      <c r="D408" s="22">
        <f t="shared" si="3"/>
        <v>1689</v>
      </c>
      <c r="E408" s="22">
        <f t="shared" si="1"/>
        <v>1888</v>
      </c>
      <c r="F408" s="20"/>
      <c r="G408" s="20"/>
      <c r="H408" s="20"/>
      <c r="I408" s="20"/>
      <c r="J408" s="20"/>
      <c r="K408" s="20"/>
      <c r="L408" s="22">
        <f t="shared" si="4"/>
        <v>-1873</v>
      </c>
      <c r="M408" s="38">
        <f t="shared" si="5"/>
        <v>8.436936937</v>
      </c>
      <c r="N408" s="22">
        <f t="shared" si="6"/>
        <v>3508129</v>
      </c>
      <c r="O408" s="20"/>
      <c r="P408" s="22">
        <f t="shared" si="7"/>
        <v>-1467</v>
      </c>
      <c r="Q408" s="38">
        <f t="shared" si="8"/>
        <v>6.608108108</v>
      </c>
      <c r="R408" s="22">
        <f t="shared" si="9"/>
        <v>2152089</v>
      </c>
      <c r="S408" s="20"/>
      <c r="T408" s="22">
        <f t="shared" si="10"/>
        <v>-1666</v>
      </c>
      <c r="U408" s="38">
        <f t="shared" si="11"/>
        <v>7.504504505</v>
      </c>
      <c r="V408" s="22">
        <f t="shared" si="12"/>
        <v>2775556</v>
      </c>
    </row>
    <row r="409">
      <c r="A409" s="2">
        <v>41128.0</v>
      </c>
      <c r="B409" s="5">
        <v>426.0</v>
      </c>
      <c r="C409" s="22">
        <f t="shared" si="2"/>
        <v>1948</v>
      </c>
      <c r="D409" s="22">
        <f t="shared" si="3"/>
        <v>1685</v>
      </c>
      <c r="E409" s="22">
        <f t="shared" si="1"/>
        <v>888</v>
      </c>
      <c r="F409" s="20"/>
      <c r="G409" s="20"/>
      <c r="H409" s="20"/>
      <c r="I409" s="20"/>
      <c r="J409" s="20"/>
      <c r="K409" s="20"/>
      <c r="L409" s="22">
        <f t="shared" si="4"/>
        <v>-1522</v>
      </c>
      <c r="M409" s="38">
        <f t="shared" si="5"/>
        <v>3.572769953</v>
      </c>
      <c r="N409" s="22">
        <f t="shared" si="6"/>
        <v>2316484</v>
      </c>
      <c r="O409" s="20"/>
      <c r="P409" s="22">
        <f t="shared" si="7"/>
        <v>-1259</v>
      </c>
      <c r="Q409" s="38">
        <f t="shared" si="8"/>
        <v>2.955399061</v>
      </c>
      <c r="R409" s="22">
        <f t="shared" si="9"/>
        <v>1585081</v>
      </c>
      <c r="S409" s="20"/>
      <c r="T409" s="22">
        <f t="shared" si="10"/>
        <v>-462</v>
      </c>
      <c r="U409" s="38">
        <f t="shared" si="11"/>
        <v>1.084507042</v>
      </c>
      <c r="V409" s="22">
        <f t="shared" si="12"/>
        <v>213444</v>
      </c>
    </row>
    <row r="410">
      <c r="A410" s="2">
        <v>41129.0</v>
      </c>
      <c r="B410" s="5">
        <v>5478.0</v>
      </c>
      <c r="C410" s="22">
        <f t="shared" si="2"/>
        <v>1920</v>
      </c>
      <c r="D410" s="22">
        <f t="shared" si="3"/>
        <v>1682</v>
      </c>
      <c r="E410" s="22">
        <f t="shared" si="1"/>
        <v>611</v>
      </c>
      <c r="F410" s="20"/>
      <c r="G410" s="20"/>
      <c r="H410" s="20"/>
      <c r="I410" s="20"/>
      <c r="J410" s="20"/>
      <c r="K410" s="20"/>
      <c r="L410" s="22">
        <f t="shared" si="4"/>
        <v>3558</v>
      </c>
      <c r="M410" s="38">
        <f t="shared" si="5"/>
        <v>0.6495071194</v>
      </c>
      <c r="N410" s="22">
        <f t="shared" si="6"/>
        <v>12659364</v>
      </c>
      <c r="O410" s="20"/>
      <c r="P410" s="22">
        <f t="shared" si="7"/>
        <v>3796</v>
      </c>
      <c r="Q410" s="38">
        <f t="shared" si="8"/>
        <v>0.6929536327</v>
      </c>
      <c r="R410" s="22">
        <f t="shared" si="9"/>
        <v>14409616</v>
      </c>
      <c r="S410" s="20"/>
      <c r="T410" s="22">
        <f t="shared" si="10"/>
        <v>4867</v>
      </c>
      <c r="U410" s="38">
        <f t="shared" si="11"/>
        <v>0.8884629427</v>
      </c>
      <c r="V410" s="22">
        <f t="shared" si="12"/>
        <v>23687689</v>
      </c>
    </row>
    <row r="411">
      <c r="A411" s="2">
        <v>41130.0</v>
      </c>
      <c r="B411" s="5">
        <v>798.0</v>
      </c>
      <c r="C411" s="22">
        <f t="shared" si="2"/>
        <v>2509</v>
      </c>
      <c r="D411" s="22">
        <f t="shared" si="3"/>
        <v>1692</v>
      </c>
      <c r="E411" s="22">
        <f t="shared" si="1"/>
        <v>3531</v>
      </c>
      <c r="F411" s="20"/>
      <c r="G411" s="20"/>
      <c r="H411" s="20"/>
      <c r="I411" s="20"/>
      <c r="J411" s="20"/>
      <c r="K411" s="20"/>
      <c r="L411" s="22">
        <f t="shared" si="4"/>
        <v>-1711</v>
      </c>
      <c r="M411" s="38">
        <f t="shared" si="5"/>
        <v>2.144110276</v>
      </c>
      <c r="N411" s="22">
        <f t="shared" si="6"/>
        <v>2927521</v>
      </c>
      <c r="O411" s="20"/>
      <c r="P411" s="22">
        <f t="shared" si="7"/>
        <v>-894</v>
      </c>
      <c r="Q411" s="38">
        <f t="shared" si="8"/>
        <v>1.120300752</v>
      </c>
      <c r="R411" s="22">
        <f t="shared" si="9"/>
        <v>799236</v>
      </c>
      <c r="S411" s="20"/>
      <c r="T411" s="22">
        <f t="shared" si="10"/>
        <v>-2733</v>
      </c>
      <c r="U411" s="38">
        <f t="shared" si="11"/>
        <v>3.42481203</v>
      </c>
      <c r="V411" s="22">
        <f t="shared" si="12"/>
        <v>7469289</v>
      </c>
    </row>
    <row r="412">
      <c r="A412" s="2">
        <v>41131.0</v>
      </c>
      <c r="B412" s="5">
        <v>138.0</v>
      </c>
      <c r="C412" s="22">
        <f t="shared" si="2"/>
        <v>1414</v>
      </c>
      <c r="D412" s="22">
        <f t="shared" si="3"/>
        <v>1689</v>
      </c>
      <c r="E412" s="22">
        <f t="shared" si="1"/>
        <v>1891</v>
      </c>
      <c r="F412" s="20"/>
      <c r="G412" s="20"/>
      <c r="H412" s="20"/>
      <c r="I412" s="20"/>
      <c r="J412" s="20"/>
      <c r="K412" s="20"/>
      <c r="L412" s="22">
        <f t="shared" si="4"/>
        <v>-1276</v>
      </c>
      <c r="M412" s="38">
        <f t="shared" si="5"/>
        <v>9.246376812</v>
      </c>
      <c r="N412" s="22">
        <f t="shared" si="6"/>
        <v>1628176</v>
      </c>
      <c r="O412" s="20"/>
      <c r="P412" s="22">
        <f t="shared" si="7"/>
        <v>-1551</v>
      </c>
      <c r="Q412" s="38">
        <f t="shared" si="8"/>
        <v>11.23913043</v>
      </c>
      <c r="R412" s="22">
        <f t="shared" si="9"/>
        <v>2405601</v>
      </c>
      <c r="S412" s="20"/>
      <c r="T412" s="22">
        <f t="shared" si="10"/>
        <v>-1753</v>
      </c>
      <c r="U412" s="38">
        <f t="shared" si="11"/>
        <v>12.70289855</v>
      </c>
      <c r="V412" s="22">
        <f t="shared" si="12"/>
        <v>3073009</v>
      </c>
    </row>
    <row r="413">
      <c r="A413" s="2">
        <v>41134.0</v>
      </c>
      <c r="B413" s="5">
        <v>342.0</v>
      </c>
      <c r="C413" s="22">
        <f t="shared" si="2"/>
        <v>1412</v>
      </c>
      <c r="D413" s="22">
        <f t="shared" si="3"/>
        <v>1686</v>
      </c>
      <c r="E413" s="22">
        <f t="shared" si="1"/>
        <v>839</v>
      </c>
      <c r="F413" s="20"/>
      <c r="G413" s="20"/>
      <c r="H413" s="20"/>
      <c r="I413" s="20"/>
      <c r="J413" s="20"/>
      <c r="K413" s="20"/>
      <c r="L413" s="22">
        <f t="shared" si="4"/>
        <v>-1070</v>
      </c>
      <c r="M413" s="38">
        <f t="shared" si="5"/>
        <v>3.128654971</v>
      </c>
      <c r="N413" s="22">
        <f t="shared" si="6"/>
        <v>1144900</v>
      </c>
      <c r="O413" s="20"/>
      <c r="P413" s="22">
        <f t="shared" si="7"/>
        <v>-1344</v>
      </c>
      <c r="Q413" s="38">
        <f t="shared" si="8"/>
        <v>3.929824561</v>
      </c>
      <c r="R413" s="22">
        <f t="shared" si="9"/>
        <v>1806336</v>
      </c>
      <c r="S413" s="20"/>
      <c r="T413" s="22">
        <f t="shared" si="10"/>
        <v>-497</v>
      </c>
      <c r="U413" s="38">
        <f t="shared" si="11"/>
        <v>1.453216374</v>
      </c>
      <c r="V413" s="22">
        <f t="shared" si="12"/>
        <v>247009</v>
      </c>
    </row>
    <row r="414">
      <c r="A414" s="2">
        <v>41135.0</v>
      </c>
      <c r="B414" s="5">
        <v>648.0</v>
      </c>
      <c r="C414" s="22">
        <f t="shared" si="2"/>
        <v>1436</v>
      </c>
      <c r="D414" s="22">
        <f t="shared" si="3"/>
        <v>1682</v>
      </c>
      <c r="E414" s="22">
        <f t="shared" si="1"/>
        <v>541</v>
      </c>
      <c r="F414" s="20"/>
      <c r="G414" s="20"/>
      <c r="H414" s="20"/>
      <c r="I414" s="20"/>
      <c r="J414" s="20"/>
      <c r="K414" s="20"/>
      <c r="L414" s="22">
        <f t="shared" si="4"/>
        <v>-788</v>
      </c>
      <c r="M414" s="38">
        <f t="shared" si="5"/>
        <v>1.216049383</v>
      </c>
      <c r="N414" s="22">
        <f t="shared" si="6"/>
        <v>620944</v>
      </c>
      <c r="O414" s="20"/>
      <c r="P414" s="22">
        <f t="shared" si="7"/>
        <v>-1034</v>
      </c>
      <c r="Q414" s="38">
        <f t="shared" si="8"/>
        <v>1.595679012</v>
      </c>
      <c r="R414" s="22">
        <f t="shared" si="9"/>
        <v>1069156</v>
      </c>
      <c r="S414" s="20"/>
      <c r="T414" s="22">
        <f t="shared" si="10"/>
        <v>107</v>
      </c>
      <c r="U414" s="38">
        <f t="shared" si="11"/>
        <v>0.1651234568</v>
      </c>
      <c r="V414" s="22">
        <f t="shared" si="12"/>
        <v>11449</v>
      </c>
    </row>
    <row r="415">
      <c r="A415" s="2">
        <v>41136.0</v>
      </c>
      <c r="B415" s="5">
        <v>3666.0</v>
      </c>
      <c r="C415" s="22">
        <f t="shared" si="2"/>
        <v>1481</v>
      </c>
      <c r="D415" s="22">
        <f t="shared" si="3"/>
        <v>1680</v>
      </c>
      <c r="E415" s="22">
        <f t="shared" si="1"/>
        <v>605</v>
      </c>
      <c r="F415" s="20"/>
      <c r="G415" s="20"/>
      <c r="H415" s="20"/>
      <c r="I415" s="20"/>
      <c r="J415" s="20"/>
      <c r="K415" s="20"/>
      <c r="L415" s="22">
        <f t="shared" si="4"/>
        <v>2185</v>
      </c>
      <c r="M415" s="38">
        <f t="shared" si="5"/>
        <v>0.5960174577</v>
      </c>
      <c r="N415" s="22">
        <f t="shared" si="6"/>
        <v>4774225</v>
      </c>
      <c r="O415" s="20"/>
      <c r="P415" s="22">
        <f t="shared" si="7"/>
        <v>1986</v>
      </c>
      <c r="Q415" s="38">
        <f t="shared" si="8"/>
        <v>0.5417348609</v>
      </c>
      <c r="R415" s="22">
        <f t="shared" si="9"/>
        <v>3944196</v>
      </c>
      <c r="S415" s="20"/>
      <c r="T415" s="22">
        <f t="shared" si="10"/>
        <v>3061</v>
      </c>
      <c r="U415" s="38">
        <f t="shared" si="11"/>
        <v>0.8349699945</v>
      </c>
      <c r="V415" s="22">
        <f t="shared" si="12"/>
        <v>9369721</v>
      </c>
    </row>
    <row r="416">
      <c r="A416" s="2">
        <v>41137.0</v>
      </c>
      <c r="B416" s="5">
        <v>1206.0</v>
      </c>
      <c r="C416" s="22">
        <f t="shared" si="2"/>
        <v>1118</v>
      </c>
      <c r="D416" s="22">
        <f t="shared" si="3"/>
        <v>1685</v>
      </c>
      <c r="E416" s="22">
        <f t="shared" si="1"/>
        <v>2442</v>
      </c>
      <c r="F416" s="20"/>
      <c r="G416" s="20"/>
      <c r="H416" s="20"/>
      <c r="I416" s="20"/>
      <c r="J416" s="20"/>
      <c r="K416" s="20"/>
      <c r="L416" s="22">
        <f t="shared" si="4"/>
        <v>88</v>
      </c>
      <c r="M416" s="38">
        <f t="shared" si="5"/>
        <v>0.07296849088</v>
      </c>
      <c r="N416" s="22">
        <f t="shared" si="6"/>
        <v>7744</v>
      </c>
      <c r="O416" s="20"/>
      <c r="P416" s="22">
        <f t="shared" si="7"/>
        <v>-479</v>
      </c>
      <c r="Q416" s="38">
        <f t="shared" si="8"/>
        <v>0.3971807629</v>
      </c>
      <c r="R416" s="22">
        <f t="shared" si="9"/>
        <v>229441</v>
      </c>
      <c r="S416" s="20"/>
      <c r="T416" s="22">
        <f t="shared" si="10"/>
        <v>-1236</v>
      </c>
      <c r="U416" s="38">
        <f t="shared" si="11"/>
        <v>1.024875622</v>
      </c>
      <c r="V416" s="22">
        <f t="shared" si="12"/>
        <v>1527696</v>
      </c>
    </row>
    <row r="417">
      <c r="A417" s="2">
        <v>41138.0</v>
      </c>
      <c r="B417" s="5">
        <v>192.0</v>
      </c>
      <c r="C417" s="22">
        <f t="shared" si="2"/>
        <v>1200</v>
      </c>
      <c r="D417" s="22">
        <f t="shared" si="3"/>
        <v>1683</v>
      </c>
      <c r="E417" s="22">
        <f t="shared" si="1"/>
        <v>1700</v>
      </c>
      <c r="F417" s="20"/>
      <c r="G417" s="20"/>
      <c r="H417" s="20"/>
      <c r="I417" s="20"/>
      <c r="J417" s="20"/>
      <c r="K417" s="20"/>
      <c r="L417" s="22">
        <f t="shared" si="4"/>
        <v>-1008</v>
      </c>
      <c r="M417" s="38">
        <f t="shared" si="5"/>
        <v>5.25</v>
      </c>
      <c r="N417" s="22">
        <f t="shared" si="6"/>
        <v>1016064</v>
      </c>
      <c r="O417" s="20"/>
      <c r="P417" s="22">
        <f t="shared" si="7"/>
        <v>-1491</v>
      </c>
      <c r="Q417" s="38">
        <f t="shared" si="8"/>
        <v>7.765625</v>
      </c>
      <c r="R417" s="22">
        <f t="shared" si="9"/>
        <v>2223081</v>
      </c>
      <c r="S417" s="20"/>
      <c r="T417" s="22">
        <f t="shared" si="10"/>
        <v>-1508</v>
      </c>
      <c r="U417" s="38">
        <f t="shared" si="11"/>
        <v>7.854166667</v>
      </c>
      <c r="V417" s="22">
        <f t="shared" si="12"/>
        <v>2274064</v>
      </c>
    </row>
    <row r="418">
      <c r="A418" s="2">
        <v>41141.0</v>
      </c>
      <c r="B418" s="5">
        <v>750.0</v>
      </c>
      <c r="C418" s="22">
        <f t="shared" si="2"/>
        <v>1211</v>
      </c>
      <c r="D418" s="22">
        <f t="shared" si="3"/>
        <v>1680</v>
      </c>
      <c r="E418" s="22">
        <f t="shared" si="1"/>
        <v>795</v>
      </c>
      <c r="F418" s="20"/>
      <c r="G418" s="20"/>
      <c r="H418" s="20"/>
      <c r="I418" s="20"/>
      <c r="J418" s="20"/>
      <c r="K418" s="20"/>
      <c r="L418" s="22">
        <f t="shared" si="4"/>
        <v>-461</v>
      </c>
      <c r="M418" s="38">
        <f t="shared" si="5"/>
        <v>0.6146666667</v>
      </c>
      <c r="N418" s="22">
        <f t="shared" si="6"/>
        <v>212521</v>
      </c>
      <c r="O418" s="20"/>
      <c r="P418" s="22">
        <f t="shared" si="7"/>
        <v>-930</v>
      </c>
      <c r="Q418" s="38">
        <f t="shared" si="8"/>
        <v>1.24</v>
      </c>
      <c r="R418" s="22">
        <f t="shared" si="9"/>
        <v>864900</v>
      </c>
      <c r="S418" s="20"/>
      <c r="T418" s="22">
        <f t="shared" si="10"/>
        <v>-45</v>
      </c>
      <c r="U418" s="38">
        <f t="shared" si="11"/>
        <v>0.06</v>
      </c>
      <c r="V418" s="22">
        <f t="shared" si="12"/>
        <v>2025</v>
      </c>
    </row>
    <row r="419">
      <c r="A419" s="2">
        <v>41142.0</v>
      </c>
      <c r="B419" s="5">
        <v>2556.0</v>
      </c>
      <c r="C419" s="22">
        <f t="shared" si="2"/>
        <v>1292</v>
      </c>
      <c r="D419" s="22">
        <f t="shared" si="3"/>
        <v>1678</v>
      </c>
      <c r="E419" s="22">
        <f t="shared" si="1"/>
        <v>768</v>
      </c>
      <c r="F419" s="20"/>
      <c r="G419" s="20"/>
      <c r="H419" s="20"/>
      <c r="I419" s="20"/>
      <c r="J419" s="20"/>
      <c r="K419" s="20"/>
      <c r="L419" s="22">
        <f t="shared" si="4"/>
        <v>1264</v>
      </c>
      <c r="M419" s="38">
        <f t="shared" si="5"/>
        <v>0.4945226917</v>
      </c>
      <c r="N419" s="22">
        <f t="shared" si="6"/>
        <v>1597696</v>
      </c>
      <c r="O419" s="20"/>
      <c r="P419" s="22">
        <f t="shared" si="7"/>
        <v>878</v>
      </c>
      <c r="Q419" s="38">
        <f t="shared" si="8"/>
        <v>0.3435054773</v>
      </c>
      <c r="R419" s="22">
        <f t="shared" si="9"/>
        <v>770884</v>
      </c>
      <c r="S419" s="20"/>
      <c r="T419" s="22">
        <f t="shared" si="10"/>
        <v>1788</v>
      </c>
      <c r="U419" s="38">
        <f t="shared" si="11"/>
        <v>0.6995305164</v>
      </c>
      <c r="V419" s="22">
        <f t="shared" si="12"/>
        <v>3196944</v>
      </c>
    </row>
    <row r="420">
      <c r="A420" s="2">
        <v>41143.0</v>
      </c>
      <c r="B420" s="5">
        <v>6978.0</v>
      </c>
      <c r="C420" s="22">
        <f t="shared" si="2"/>
        <v>1674</v>
      </c>
      <c r="D420" s="22">
        <f t="shared" si="3"/>
        <v>1680</v>
      </c>
      <c r="E420" s="22">
        <f t="shared" si="1"/>
        <v>1841</v>
      </c>
      <c r="F420" s="20"/>
      <c r="G420" s="20"/>
      <c r="H420" s="20"/>
      <c r="I420" s="20"/>
      <c r="J420" s="20"/>
      <c r="K420" s="20"/>
      <c r="L420" s="22">
        <f t="shared" si="4"/>
        <v>5304</v>
      </c>
      <c r="M420" s="38">
        <f t="shared" si="5"/>
        <v>0.7601031814</v>
      </c>
      <c r="N420" s="22">
        <f t="shared" si="6"/>
        <v>28132416</v>
      </c>
      <c r="O420" s="20"/>
      <c r="P420" s="22">
        <f t="shared" si="7"/>
        <v>5298</v>
      </c>
      <c r="Q420" s="38">
        <f t="shared" si="8"/>
        <v>0.7592433362</v>
      </c>
      <c r="R420" s="22">
        <f t="shared" si="9"/>
        <v>28068804</v>
      </c>
      <c r="S420" s="20"/>
      <c r="T420" s="22">
        <f t="shared" si="10"/>
        <v>5137</v>
      </c>
      <c r="U420" s="38">
        <f t="shared" si="11"/>
        <v>0.7361708226</v>
      </c>
      <c r="V420" s="22">
        <f t="shared" si="12"/>
        <v>26388769</v>
      </c>
    </row>
    <row r="421">
      <c r="A421" s="2">
        <v>41144.0</v>
      </c>
      <c r="B421" s="5">
        <v>1542.0</v>
      </c>
      <c r="C421" s="22">
        <f t="shared" si="2"/>
        <v>2336</v>
      </c>
      <c r="D421" s="22">
        <f t="shared" si="3"/>
        <v>1692</v>
      </c>
      <c r="E421" s="22">
        <f t="shared" si="1"/>
        <v>4923</v>
      </c>
      <c r="F421" s="20"/>
      <c r="G421" s="20"/>
      <c r="H421" s="20"/>
      <c r="I421" s="20"/>
      <c r="J421" s="20"/>
      <c r="K421" s="20"/>
      <c r="L421" s="22">
        <f t="shared" si="4"/>
        <v>-794</v>
      </c>
      <c r="M421" s="38">
        <f t="shared" si="5"/>
        <v>0.5149156939</v>
      </c>
      <c r="N421" s="22">
        <f t="shared" si="6"/>
        <v>630436</v>
      </c>
      <c r="O421" s="20"/>
      <c r="P421" s="22">
        <f t="shared" si="7"/>
        <v>-150</v>
      </c>
      <c r="Q421" s="38">
        <f t="shared" si="8"/>
        <v>0.09727626459</v>
      </c>
      <c r="R421" s="22">
        <f t="shared" si="9"/>
        <v>22500</v>
      </c>
      <c r="S421" s="20"/>
      <c r="T421" s="22">
        <f t="shared" si="10"/>
        <v>-3381</v>
      </c>
      <c r="U421" s="38">
        <f t="shared" si="11"/>
        <v>2.192607004</v>
      </c>
      <c r="V421" s="22">
        <f t="shared" si="12"/>
        <v>11431161</v>
      </c>
    </row>
    <row r="422">
      <c r="A422" s="2">
        <v>41145.0</v>
      </c>
      <c r="B422" s="5">
        <v>1722.0</v>
      </c>
      <c r="C422" s="22">
        <f t="shared" si="2"/>
        <v>2404</v>
      </c>
      <c r="D422" s="22">
        <f t="shared" si="3"/>
        <v>1692</v>
      </c>
      <c r="E422" s="22">
        <f t="shared" si="1"/>
        <v>2894</v>
      </c>
      <c r="F422" s="20"/>
      <c r="G422" s="20"/>
      <c r="H422" s="20"/>
      <c r="I422" s="20"/>
      <c r="J422" s="20"/>
      <c r="K422" s="20"/>
      <c r="L422" s="22">
        <f t="shared" si="4"/>
        <v>-682</v>
      </c>
      <c r="M422" s="38">
        <f t="shared" si="5"/>
        <v>0.3960511034</v>
      </c>
      <c r="N422" s="22">
        <f t="shared" si="6"/>
        <v>465124</v>
      </c>
      <c r="O422" s="20"/>
      <c r="P422" s="22">
        <f t="shared" si="7"/>
        <v>30</v>
      </c>
      <c r="Q422" s="38">
        <f t="shared" si="8"/>
        <v>0.01742160279</v>
      </c>
      <c r="R422" s="22">
        <f t="shared" si="9"/>
        <v>900</v>
      </c>
      <c r="S422" s="20"/>
      <c r="T422" s="22">
        <f t="shared" si="10"/>
        <v>-1172</v>
      </c>
      <c r="U422" s="38">
        <f t="shared" si="11"/>
        <v>0.6806039489</v>
      </c>
      <c r="V422" s="22">
        <f t="shared" si="12"/>
        <v>1373584</v>
      </c>
    </row>
    <row r="423">
      <c r="A423" s="2">
        <v>41148.0</v>
      </c>
      <c r="B423" s="5">
        <v>1338.0</v>
      </c>
      <c r="C423" s="22">
        <f t="shared" si="2"/>
        <v>2710</v>
      </c>
      <c r="D423" s="22">
        <f t="shared" si="3"/>
        <v>1692</v>
      </c>
      <c r="E423" s="22">
        <f t="shared" si="1"/>
        <v>2191</v>
      </c>
      <c r="F423" s="20"/>
      <c r="G423" s="20"/>
      <c r="H423" s="20"/>
      <c r="I423" s="20"/>
      <c r="J423" s="20"/>
      <c r="K423" s="20"/>
      <c r="L423" s="22">
        <f t="shared" si="4"/>
        <v>-1372</v>
      </c>
      <c r="M423" s="38">
        <f t="shared" si="5"/>
        <v>1.025411061</v>
      </c>
      <c r="N423" s="22">
        <f t="shared" si="6"/>
        <v>1882384</v>
      </c>
      <c r="O423" s="20"/>
      <c r="P423" s="22">
        <f t="shared" si="7"/>
        <v>-354</v>
      </c>
      <c r="Q423" s="38">
        <f t="shared" si="8"/>
        <v>0.264573991</v>
      </c>
      <c r="R423" s="22">
        <f t="shared" si="9"/>
        <v>125316</v>
      </c>
      <c r="S423" s="20"/>
      <c r="T423" s="22">
        <f t="shared" si="10"/>
        <v>-853</v>
      </c>
      <c r="U423" s="38">
        <f t="shared" si="11"/>
        <v>0.6375186846</v>
      </c>
      <c r="V423" s="22">
        <f t="shared" si="12"/>
        <v>727609</v>
      </c>
    </row>
    <row r="424">
      <c r="A424" s="2">
        <v>41149.0</v>
      </c>
      <c r="B424" s="5">
        <v>516.0</v>
      </c>
      <c r="C424" s="22">
        <f t="shared" si="2"/>
        <v>2827</v>
      </c>
      <c r="D424" s="22">
        <f t="shared" si="3"/>
        <v>1691</v>
      </c>
      <c r="E424" s="22">
        <f t="shared" si="1"/>
        <v>1679</v>
      </c>
      <c r="F424" s="20"/>
      <c r="G424" s="20"/>
      <c r="H424" s="20"/>
      <c r="I424" s="20"/>
      <c r="J424" s="20"/>
      <c r="K424" s="20"/>
      <c r="L424" s="22">
        <f t="shared" si="4"/>
        <v>-2311</v>
      </c>
      <c r="M424" s="38">
        <f t="shared" si="5"/>
        <v>4.478682171</v>
      </c>
      <c r="N424" s="22">
        <f t="shared" si="6"/>
        <v>5340721</v>
      </c>
      <c r="O424" s="20"/>
      <c r="P424" s="22">
        <f t="shared" si="7"/>
        <v>-1175</v>
      </c>
      <c r="Q424" s="38">
        <f t="shared" si="8"/>
        <v>2.277131783</v>
      </c>
      <c r="R424" s="22">
        <f t="shared" si="9"/>
        <v>1380625</v>
      </c>
      <c r="S424" s="20"/>
      <c r="T424" s="22">
        <f t="shared" si="10"/>
        <v>-1163</v>
      </c>
      <c r="U424" s="38">
        <f t="shared" si="11"/>
        <v>2.253875969</v>
      </c>
      <c r="V424" s="22">
        <f t="shared" si="12"/>
        <v>1352569</v>
      </c>
    </row>
    <row r="425">
      <c r="A425" s="2">
        <v>41150.0</v>
      </c>
      <c r="B425" s="5">
        <v>3720.0</v>
      </c>
      <c r="C425" s="22">
        <f t="shared" si="2"/>
        <v>2419</v>
      </c>
      <c r="D425" s="22">
        <f t="shared" si="3"/>
        <v>1689</v>
      </c>
      <c r="E425" s="22">
        <f t="shared" si="1"/>
        <v>981</v>
      </c>
      <c r="F425" s="20"/>
      <c r="G425" s="20"/>
      <c r="H425" s="20"/>
      <c r="I425" s="20"/>
      <c r="J425" s="20"/>
      <c r="K425" s="20"/>
      <c r="L425" s="22">
        <f t="shared" si="4"/>
        <v>1301</v>
      </c>
      <c r="M425" s="38">
        <f t="shared" si="5"/>
        <v>0.3497311828</v>
      </c>
      <c r="N425" s="22">
        <f t="shared" si="6"/>
        <v>1692601</v>
      </c>
      <c r="O425" s="20"/>
      <c r="P425" s="22">
        <f t="shared" si="7"/>
        <v>2031</v>
      </c>
      <c r="Q425" s="38">
        <f t="shared" si="8"/>
        <v>0.5459677419</v>
      </c>
      <c r="R425" s="22">
        <f t="shared" si="9"/>
        <v>4124961</v>
      </c>
      <c r="S425" s="20"/>
      <c r="T425" s="22">
        <f t="shared" si="10"/>
        <v>2739</v>
      </c>
      <c r="U425" s="38">
        <f t="shared" si="11"/>
        <v>0.7362903226</v>
      </c>
      <c r="V425" s="22">
        <f t="shared" si="12"/>
        <v>7502121</v>
      </c>
    </row>
    <row r="426">
      <c r="A426" s="2">
        <v>41151.0</v>
      </c>
      <c r="B426" s="5">
        <v>1470.0</v>
      </c>
      <c r="C426" s="22">
        <f t="shared" si="2"/>
        <v>1768</v>
      </c>
      <c r="D426" s="22">
        <f t="shared" si="3"/>
        <v>1693</v>
      </c>
      <c r="E426" s="22">
        <f t="shared" si="1"/>
        <v>2624</v>
      </c>
      <c r="F426" s="20"/>
      <c r="G426" s="20"/>
      <c r="H426" s="20"/>
      <c r="I426" s="20"/>
      <c r="J426" s="20"/>
      <c r="K426" s="20"/>
      <c r="L426" s="22">
        <f t="shared" si="4"/>
        <v>-298</v>
      </c>
      <c r="M426" s="38">
        <f t="shared" si="5"/>
        <v>0.2027210884</v>
      </c>
      <c r="N426" s="22">
        <f t="shared" si="6"/>
        <v>88804</v>
      </c>
      <c r="O426" s="20"/>
      <c r="P426" s="22">
        <f t="shared" si="7"/>
        <v>-223</v>
      </c>
      <c r="Q426" s="38">
        <f t="shared" si="8"/>
        <v>0.1517006803</v>
      </c>
      <c r="R426" s="22">
        <f t="shared" si="9"/>
        <v>49729</v>
      </c>
      <c r="S426" s="20"/>
      <c r="T426" s="22">
        <f t="shared" si="10"/>
        <v>-1154</v>
      </c>
      <c r="U426" s="38">
        <f t="shared" si="11"/>
        <v>0.7850340136</v>
      </c>
      <c r="V426" s="22">
        <f t="shared" si="12"/>
        <v>1331716</v>
      </c>
    </row>
    <row r="427">
      <c r="A427" s="2">
        <v>41152.0</v>
      </c>
      <c r="B427" s="5">
        <v>78.0</v>
      </c>
      <c r="C427" s="22">
        <f t="shared" si="2"/>
        <v>1753</v>
      </c>
      <c r="D427" s="22">
        <f t="shared" si="3"/>
        <v>1693</v>
      </c>
      <c r="E427" s="22">
        <f t="shared" si="1"/>
        <v>1932</v>
      </c>
      <c r="F427" s="20"/>
      <c r="G427" s="20"/>
      <c r="H427" s="20"/>
      <c r="I427" s="20"/>
      <c r="J427" s="20"/>
      <c r="K427" s="20"/>
      <c r="L427" s="22">
        <f t="shared" si="4"/>
        <v>-1675</v>
      </c>
      <c r="M427" s="38">
        <f t="shared" si="5"/>
        <v>21.47435897</v>
      </c>
      <c r="N427" s="22">
        <f t="shared" si="6"/>
        <v>2805625</v>
      </c>
      <c r="O427" s="20"/>
      <c r="P427" s="22">
        <f t="shared" si="7"/>
        <v>-1615</v>
      </c>
      <c r="Q427" s="38">
        <f t="shared" si="8"/>
        <v>20.70512821</v>
      </c>
      <c r="R427" s="22">
        <f t="shared" si="9"/>
        <v>2608225</v>
      </c>
      <c r="S427" s="20"/>
      <c r="T427" s="22">
        <f t="shared" si="10"/>
        <v>-1854</v>
      </c>
      <c r="U427" s="38">
        <f t="shared" si="11"/>
        <v>23.76923077</v>
      </c>
      <c r="V427" s="22">
        <f t="shared" si="12"/>
        <v>3437316</v>
      </c>
    </row>
    <row r="428">
      <c r="A428" s="2">
        <v>41156.0</v>
      </c>
      <c r="B428" s="5">
        <v>2856.0</v>
      </c>
      <c r="C428" s="22">
        <f t="shared" si="2"/>
        <v>1424</v>
      </c>
      <c r="D428" s="22">
        <f t="shared" si="3"/>
        <v>1689</v>
      </c>
      <c r="E428" s="22">
        <f t="shared" si="1"/>
        <v>820</v>
      </c>
      <c r="F428" s="20"/>
      <c r="G428" s="20"/>
      <c r="H428" s="20"/>
      <c r="I428" s="20"/>
      <c r="J428" s="20"/>
      <c r="K428" s="20"/>
      <c r="L428" s="22">
        <f t="shared" si="4"/>
        <v>1432</v>
      </c>
      <c r="M428" s="38">
        <f t="shared" si="5"/>
        <v>0.5014005602</v>
      </c>
      <c r="N428" s="22">
        <f t="shared" si="6"/>
        <v>2050624</v>
      </c>
      <c r="O428" s="20"/>
      <c r="P428" s="22">
        <f t="shared" si="7"/>
        <v>1167</v>
      </c>
      <c r="Q428" s="38">
        <f t="shared" si="8"/>
        <v>0.4086134454</v>
      </c>
      <c r="R428" s="22">
        <f t="shared" si="9"/>
        <v>1361889</v>
      </c>
      <c r="S428" s="20"/>
      <c r="T428" s="22">
        <f t="shared" si="10"/>
        <v>2036</v>
      </c>
      <c r="U428" s="38">
        <f t="shared" si="11"/>
        <v>0.7128851541</v>
      </c>
      <c r="V428" s="22">
        <f t="shared" si="12"/>
        <v>4145296</v>
      </c>
    </row>
    <row r="429">
      <c r="A429" s="2">
        <v>41157.0</v>
      </c>
      <c r="B429" s="5">
        <v>3708.0</v>
      </c>
      <c r="C429" s="22">
        <f t="shared" si="2"/>
        <v>1728</v>
      </c>
      <c r="D429" s="22">
        <f t="shared" si="3"/>
        <v>1692</v>
      </c>
      <c r="E429" s="22">
        <f t="shared" si="1"/>
        <v>2042</v>
      </c>
      <c r="F429" s="20"/>
      <c r="G429" s="20"/>
      <c r="H429" s="20"/>
      <c r="I429" s="20"/>
      <c r="J429" s="20"/>
      <c r="K429" s="20"/>
      <c r="L429" s="22">
        <f t="shared" si="4"/>
        <v>1980</v>
      </c>
      <c r="M429" s="38">
        <f t="shared" si="5"/>
        <v>0.5339805825</v>
      </c>
      <c r="N429" s="22">
        <f t="shared" si="6"/>
        <v>3920400</v>
      </c>
      <c r="O429" s="20"/>
      <c r="P429" s="22">
        <f t="shared" si="7"/>
        <v>2016</v>
      </c>
      <c r="Q429" s="38">
        <f t="shared" si="8"/>
        <v>0.5436893204</v>
      </c>
      <c r="R429" s="22">
        <f t="shared" si="9"/>
        <v>4064256</v>
      </c>
      <c r="S429" s="20"/>
      <c r="T429" s="22">
        <f t="shared" si="10"/>
        <v>1666</v>
      </c>
      <c r="U429" s="38">
        <f t="shared" si="11"/>
        <v>0.4492988134</v>
      </c>
      <c r="V429" s="22">
        <f t="shared" si="12"/>
        <v>2775556</v>
      </c>
    </row>
    <row r="430">
      <c r="A430" s="2">
        <v>41158.0</v>
      </c>
      <c r="B430" s="5">
        <v>378.0</v>
      </c>
      <c r="C430" s="22">
        <f t="shared" si="2"/>
        <v>2366</v>
      </c>
      <c r="D430" s="22">
        <f t="shared" si="3"/>
        <v>1696</v>
      </c>
      <c r="E430" s="22">
        <f t="shared" si="1"/>
        <v>3042</v>
      </c>
      <c r="F430" s="20"/>
      <c r="G430" s="20"/>
      <c r="H430" s="20"/>
      <c r="I430" s="20"/>
      <c r="J430" s="20"/>
      <c r="K430" s="20"/>
      <c r="L430" s="22">
        <f t="shared" si="4"/>
        <v>-1988</v>
      </c>
      <c r="M430" s="38">
        <f t="shared" si="5"/>
        <v>5.259259259</v>
      </c>
      <c r="N430" s="22">
        <f t="shared" si="6"/>
        <v>3952144</v>
      </c>
      <c r="O430" s="20"/>
      <c r="P430" s="22">
        <f t="shared" si="7"/>
        <v>-1318</v>
      </c>
      <c r="Q430" s="38">
        <f t="shared" si="8"/>
        <v>3.486772487</v>
      </c>
      <c r="R430" s="22">
        <f t="shared" si="9"/>
        <v>1737124</v>
      </c>
      <c r="S430" s="20"/>
      <c r="T430" s="22">
        <f t="shared" si="10"/>
        <v>-2664</v>
      </c>
      <c r="U430" s="38">
        <f t="shared" si="11"/>
        <v>7.047619048</v>
      </c>
      <c r="V430" s="22">
        <f t="shared" si="12"/>
        <v>7096896</v>
      </c>
    </row>
    <row r="431">
      <c r="A431" s="2">
        <v>41159.0</v>
      </c>
      <c r="B431" s="5">
        <v>162.0</v>
      </c>
      <c r="C431" s="22">
        <f t="shared" si="2"/>
        <v>1698</v>
      </c>
      <c r="D431" s="22">
        <f t="shared" si="3"/>
        <v>1693</v>
      </c>
      <c r="E431" s="22">
        <f t="shared" si="1"/>
        <v>1444</v>
      </c>
      <c r="F431" s="20"/>
      <c r="G431" s="20"/>
      <c r="H431" s="20"/>
      <c r="I431" s="20"/>
      <c r="J431" s="20"/>
      <c r="K431" s="20"/>
      <c r="L431" s="22">
        <f t="shared" si="4"/>
        <v>-1536</v>
      </c>
      <c r="M431" s="38">
        <f t="shared" si="5"/>
        <v>9.481481481</v>
      </c>
      <c r="N431" s="22">
        <f t="shared" si="6"/>
        <v>2359296</v>
      </c>
      <c r="O431" s="20"/>
      <c r="P431" s="22">
        <f t="shared" si="7"/>
        <v>-1531</v>
      </c>
      <c r="Q431" s="38">
        <f t="shared" si="8"/>
        <v>9.450617284</v>
      </c>
      <c r="R431" s="22">
        <f t="shared" si="9"/>
        <v>2343961</v>
      </c>
      <c r="S431" s="20"/>
      <c r="T431" s="22">
        <f t="shared" si="10"/>
        <v>-1282</v>
      </c>
      <c r="U431" s="38">
        <f t="shared" si="11"/>
        <v>7.913580247</v>
      </c>
      <c r="V431" s="22">
        <f t="shared" si="12"/>
        <v>1643524</v>
      </c>
    </row>
    <row r="432">
      <c r="A432" s="2">
        <v>41162.0</v>
      </c>
      <c r="B432" s="5">
        <v>810.0</v>
      </c>
      <c r="C432" s="22">
        <f t="shared" si="2"/>
        <v>1436</v>
      </c>
      <c r="D432" s="22">
        <f t="shared" si="3"/>
        <v>1690</v>
      </c>
      <c r="E432" s="22">
        <f t="shared" si="1"/>
        <v>675</v>
      </c>
      <c r="F432" s="20"/>
      <c r="G432" s="20"/>
      <c r="H432" s="20"/>
      <c r="I432" s="20"/>
      <c r="J432" s="20"/>
      <c r="K432" s="20"/>
      <c r="L432" s="22">
        <f t="shared" si="4"/>
        <v>-626</v>
      </c>
      <c r="M432" s="38">
        <f t="shared" si="5"/>
        <v>0.7728395062</v>
      </c>
      <c r="N432" s="22">
        <f t="shared" si="6"/>
        <v>391876</v>
      </c>
      <c r="O432" s="20"/>
      <c r="P432" s="22">
        <f t="shared" si="7"/>
        <v>-880</v>
      </c>
      <c r="Q432" s="38">
        <f t="shared" si="8"/>
        <v>1.086419753</v>
      </c>
      <c r="R432" s="22">
        <f t="shared" si="9"/>
        <v>774400</v>
      </c>
      <c r="S432" s="20"/>
      <c r="T432" s="22">
        <f t="shared" si="10"/>
        <v>135</v>
      </c>
      <c r="U432" s="38">
        <f t="shared" si="11"/>
        <v>0.1666666667</v>
      </c>
      <c r="V432" s="22">
        <f t="shared" si="12"/>
        <v>18225</v>
      </c>
    </row>
    <row r="433">
      <c r="A433" s="2">
        <v>41163.0</v>
      </c>
      <c r="B433" s="5">
        <v>3600.0</v>
      </c>
      <c r="C433" s="22">
        <f t="shared" si="2"/>
        <v>1583</v>
      </c>
      <c r="D433" s="22">
        <f t="shared" si="3"/>
        <v>1688</v>
      </c>
      <c r="E433" s="22">
        <f t="shared" si="1"/>
        <v>756</v>
      </c>
      <c r="F433" s="20"/>
      <c r="G433" s="20"/>
      <c r="H433" s="20"/>
      <c r="I433" s="20"/>
      <c r="J433" s="20"/>
      <c r="K433" s="20"/>
      <c r="L433" s="22">
        <f t="shared" si="4"/>
        <v>2017</v>
      </c>
      <c r="M433" s="38">
        <f t="shared" si="5"/>
        <v>0.5602777778</v>
      </c>
      <c r="N433" s="22">
        <f t="shared" si="6"/>
        <v>4068289</v>
      </c>
      <c r="O433" s="20"/>
      <c r="P433" s="22">
        <f t="shared" si="7"/>
        <v>1912</v>
      </c>
      <c r="Q433" s="38">
        <f t="shared" si="8"/>
        <v>0.5311111111</v>
      </c>
      <c r="R433" s="22">
        <f t="shared" si="9"/>
        <v>3655744</v>
      </c>
      <c r="S433" s="20"/>
      <c r="T433" s="22">
        <f t="shared" si="10"/>
        <v>2844</v>
      </c>
      <c r="U433" s="38">
        <f t="shared" si="11"/>
        <v>0.79</v>
      </c>
      <c r="V433" s="22">
        <f t="shared" si="12"/>
        <v>8088336</v>
      </c>
    </row>
    <row r="434">
      <c r="A434" s="2">
        <v>41164.0</v>
      </c>
      <c r="B434" s="5">
        <v>6528.0</v>
      </c>
      <c r="C434" s="22">
        <f t="shared" si="2"/>
        <v>1732</v>
      </c>
      <c r="D434" s="22">
        <f t="shared" si="3"/>
        <v>1692</v>
      </c>
      <c r="E434" s="22">
        <f t="shared" si="1"/>
        <v>2462</v>
      </c>
      <c r="F434" s="20"/>
      <c r="G434" s="20"/>
      <c r="H434" s="20"/>
      <c r="I434" s="20"/>
      <c r="J434" s="20"/>
      <c r="K434" s="20"/>
      <c r="L434" s="22">
        <f t="shared" si="4"/>
        <v>4796</v>
      </c>
      <c r="M434" s="38">
        <f t="shared" si="5"/>
        <v>0.7346813725</v>
      </c>
      <c r="N434" s="22">
        <f t="shared" si="6"/>
        <v>23001616</v>
      </c>
      <c r="O434" s="20"/>
      <c r="P434" s="22">
        <f t="shared" si="7"/>
        <v>4836</v>
      </c>
      <c r="Q434" s="38">
        <f t="shared" si="8"/>
        <v>0.7408088235</v>
      </c>
      <c r="R434" s="22">
        <f t="shared" si="9"/>
        <v>23386896</v>
      </c>
      <c r="S434" s="20"/>
      <c r="T434" s="22">
        <f t="shared" si="10"/>
        <v>4066</v>
      </c>
      <c r="U434" s="38">
        <f t="shared" si="11"/>
        <v>0.6228553922</v>
      </c>
      <c r="V434" s="22">
        <f t="shared" si="12"/>
        <v>16532356</v>
      </c>
    </row>
    <row r="435">
      <c r="A435" s="2">
        <v>41165.0</v>
      </c>
      <c r="B435" s="5">
        <v>732.0</v>
      </c>
      <c r="C435" s="22">
        <f t="shared" si="2"/>
        <v>2296</v>
      </c>
      <c r="D435" s="22">
        <f t="shared" si="3"/>
        <v>1703</v>
      </c>
      <c r="E435" s="22">
        <f t="shared" si="1"/>
        <v>4902</v>
      </c>
      <c r="F435" s="20"/>
      <c r="G435" s="20"/>
      <c r="H435" s="20"/>
      <c r="I435" s="20"/>
      <c r="J435" s="20"/>
      <c r="K435" s="20"/>
      <c r="L435" s="22">
        <f t="shared" si="4"/>
        <v>-1564</v>
      </c>
      <c r="M435" s="38">
        <f t="shared" si="5"/>
        <v>2.136612022</v>
      </c>
      <c r="N435" s="22">
        <f t="shared" si="6"/>
        <v>2446096</v>
      </c>
      <c r="O435" s="20"/>
      <c r="P435" s="22">
        <f t="shared" si="7"/>
        <v>-971</v>
      </c>
      <c r="Q435" s="38">
        <f t="shared" si="8"/>
        <v>1.326502732</v>
      </c>
      <c r="R435" s="22">
        <f t="shared" si="9"/>
        <v>942841</v>
      </c>
      <c r="S435" s="20"/>
      <c r="T435" s="22">
        <f t="shared" si="10"/>
        <v>-4170</v>
      </c>
      <c r="U435" s="38">
        <f t="shared" si="11"/>
        <v>5.696721311</v>
      </c>
      <c r="V435" s="22">
        <f t="shared" si="12"/>
        <v>17388900</v>
      </c>
    </row>
    <row r="436">
      <c r="A436" s="2">
        <v>41166.0</v>
      </c>
      <c r="B436" s="5">
        <v>126.0</v>
      </c>
      <c r="C436" s="22">
        <f t="shared" si="2"/>
        <v>2366</v>
      </c>
      <c r="D436" s="22">
        <f t="shared" si="3"/>
        <v>1701</v>
      </c>
      <c r="E436" s="22">
        <f t="shared" si="1"/>
        <v>2400</v>
      </c>
      <c r="F436" s="20"/>
      <c r="G436" s="20"/>
      <c r="H436" s="20"/>
      <c r="I436" s="20"/>
      <c r="J436" s="20"/>
      <c r="K436" s="20"/>
      <c r="L436" s="22">
        <f t="shared" si="4"/>
        <v>-2240</v>
      </c>
      <c r="M436" s="38">
        <f t="shared" si="5"/>
        <v>17.77777778</v>
      </c>
      <c r="N436" s="22">
        <f t="shared" si="6"/>
        <v>5017600</v>
      </c>
      <c r="O436" s="20"/>
      <c r="P436" s="22">
        <f t="shared" si="7"/>
        <v>-1575</v>
      </c>
      <c r="Q436" s="38">
        <f t="shared" si="8"/>
        <v>12.5</v>
      </c>
      <c r="R436" s="22">
        <f t="shared" si="9"/>
        <v>2480625</v>
      </c>
      <c r="S436" s="20"/>
      <c r="T436" s="22">
        <f t="shared" si="10"/>
        <v>-2274</v>
      </c>
      <c r="U436" s="38">
        <f t="shared" si="11"/>
        <v>18.04761905</v>
      </c>
      <c r="V436" s="22">
        <f t="shared" si="12"/>
        <v>5171076</v>
      </c>
    </row>
    <row r="437">
      <c r="A437" s="2">
        <v>41169.0</v>
      </c>
      <c r="B437" s="5">
        <v>648.0</v>
      </c>
      <c r="C437" s="22">
        <f t="shared" si="2"/>
        <v>2359</v>
      </c>
      <c r="D437" s="22">
        <f t="shared" si="3"/>
        <v>1698</v>
      </c>
      <c r="E437" s="22">
        <f t="shared" si="1"/>
        <v>1036</v>
      </c>
      <c r="F437" s="20"/>
      <c r="G437" s="20"/>
      <c r="H437" s="20"/>
      <c r="I437" s="20"/>
      <c r="J437" s="20"/>
      <c r="K437" s="20"/>
      <c r="L437" s="22">
        <f t="shared" si="4"/>
        <v>-1711</v>
      </c>
      <c r="M437" s="38">
        <f t="shared" si="5"/>
        <v>2.640432099</v>
      </c>
      <c r="N437" s="22">
        <f t="shared" si="6"/>
        <v>2927521</v>
      </c>
      <c r="O437" s="20"/>
      <c r="P437" s="22">
        <f t="shared" si="7"/>
        <v>-1050</v>
      </c>
      <c r="Q437" s="38">
        <f t="shared" si="8"/>
        <v>1.62037037</v>
      </c>
      <c r="R437" s="22">
        <f t="shared" si="9"/>
        <v>1102500</v>
      </c>
      <c r="S437" s="20"/>
      <c r="T437" s="22">
        <f t="shared" si="10"/>
        <v>-388</v>
      </c>
      <c r="U437" s="38">
        <f t="shared" si="11"/>
        <v>0.5987654321</v>
      </c>
      <c r="V437" s="22">
        <f t="shared" si="12"/>
        <v>150544</v>
      </c>
    </row>
    <row r="438">
      <c r="A438" s="2">
        <v>41170.0</v>
      </c>
      <c r="B438" s="5">
        <v>246.0</v>
      </c>
      <c r="C438" s="22">
        <f t="shared" si="2"/>
        <v>2327</v>
      </c>
      <c r="D438" s="22">
        <f t="shared" si="3"/>
        <v>1695</v>
      </c>
      <c r="E438" s="22">
        <f t="shared" si="1"/>
        <v>803</v>
      </c>
      <c r="F438" s="20"/>
      <c r="G438" s="20"/>
      <c r="H438" s="20"/>
      <c r="I438" s="20"/>
      <c r="J438" s="20"/>
      <c r="K438" s="20"/>
      <c r="L438" s="22">
        <f t="shared" si="4"/>
        <v>-2081</v>
      </c>
      <c r="M438" s="38">
        <f t="shared" si="5"/>
        <v>8.459349593</v>
      </c>
      <c r="N438" s="22">
        <f t="shared" si="6"/>
        <v>4330561</v>
      </c>
      <c r="O438" s="20"/>
      <c r="P438" s="22">
        <f t="shared" si="7"/>
        <v>-1449</v>
      </c>
      <c r="Q438" s="38">
        <f t="shared" si="8"/>
        <v>5.890243902</v>
      </c>
      <c r="R438" s="22">
        <f t="shared" si="9"/>
        <v>2099601</v>
      </c>
      <c r="S438" s="20"/>
      <c r="T438" s="22">
        <f t="shared" si="10"/>
        <v>-557</v>
      </c>
      <c r="U438" s="38">
        <f t="shared" si="11"/>
        <v>2.264227642</v>
      </c>
      <c r="V438" s="22">
        <f t="shared" si="12"/>
        <v>310249</v>
      </c>
    </row>
    <row r="439">
      <c r="A439" s="2">
        <v>41171.0</v>
      </c>
      <c r="B439" s="5">
        <v>3888.0</v>
      </c>
      <c r="C439" s="22">
        <f t="shared" si="2"/>
        <v>1656</v>
      </c>
      <c r="D439" s="22">
        <f t="shared" si="3"/>
        <v>1692</v>
      </c>
      <c r="E439" s="22">
        <f t="shared" si="1"/>
        <v>469</v>
      </c>
      <c r="F439" s="20"/>
      <c r="G439" s="20"/>
      <c r="H439" s="20"/>
      <c r="I439" s="20"/>
      <c r="J439" s="20"/>
      <c r="K439" s="20"/>
      <c r="L439" s="22">
        <f t="shared" si="4"/>
        <v>2232</v>
      </c>
      <c r="M439" s="38">
        <f t="shared" si="5"/>
        <v>0.5740740741</v>
      </c>
      <c r="N439" s="22">
        <f t="shared" si="6"/>
        <v>4981824</v>
      </c>
      <c r="O439" s="20"/>
      <c r="P439" s="22">
        <f t="shared" si="7"/>
        <v>2196</v>
      </c>
      <c r="Q439" s="38">
        <f t="shared" si="8"/>
        <v>0.5648148148</v>
      </c>
      <c r="R439" s="22">
        <f t="shared" si="9"/>
        <v>4822416</v>
      </c>
      <c r="S439" s="20"/>
      <c r="T439" s="22">
        <f t="shared" si="10"/>
        <v>3419</v>
      </c>
      <c r="U439" s="38">
        <f t="shared" si="11"/>
        <v>0.879372428</v>
      </c>
      <c r="V439" s="22">
        <f t="shared" si="12"/>
        <v>11689561</v>
      </c>
    </row>
    <row r="440">
      <c r="A440" s="2">
        <v>41172.0</v>
      </c>
      <c r="B440" s="5">
        <v>660.0</v>
      </c>
      <c r="C440" s="22">
        <f t="shared" si="2"/>
        <v>1128</v>
      </c>
      <c r="D440" s="22">
        <f t="shared" si="3"/>
        <v>1697</v>
      </c>
      <c r="E440" s="22">
        <f t="shared" si="1"/>
        <v>2520</v>
      </c>
      <c r="F440" s="20"/>
      <c r="G440" s="20"/>
      <c r="H440" s="20"/>
      <c r="I440" s="20"/>
      <c r="J440" s="20"/>
      <c r="K440" s="20"/>
      <c r="L440" s="22">
        <f t="shared" si="4"/>
        <v>-468</v>
      </c>
      <c r="M440" s="38">
        <f t="shared" si="5"/>
        <v>0.7090909091</v>
      </c>
      <c r="N440" s="22">
        <f t="shared" si="6"/>
        <v>219024</v>
      </c>
      <c r="O440" s="20"/>
      <c r="P440" s="22">
        <f t="shared" si="7"/>
        <v>-1037</v>
      </c>
      <c r="Q440" s="38">
        <f t="shared" si="8"/>
        <v>1.571212121</v>
      </c>
      <c r="R440" s="22">
        <f t="shared" si="9"/>
        <v>1075369</v>
      </c>
      <c r="S440" s="20"/>
      <c r="T440" s="22">
        <f t="shared" si="10"/>
        <v>-1860</v>
      </c>
      <c r="U440" s="38">
        <f t="shared" si="11"/>
        <v>2.818181818</v>
      </c>
      <c r="V440" s="22">
        <f t="shared" si="12"/>
        <v>3459600</v>
      </c>
    </row>
    <row r="441">
      <c r="A441" s="2">
        <v>41173.0</v>
      </c>
      <c r="B441" s="5">
        <v>126.0</v>
      </c>
      <c r="C441" s="22">
        <f t="shared" si="2"/>
        <v>1114</v>
      </c>
      <c r="D441" s="22">
        <f t="shared" si="3"/>
        <v>1694</v>
      </c>
      <c r="E441" s="22">
        <f t="shared" si="1"/>
        <v>1404</v>
      </c>
      <c r="F441" s="20"/>
      <c r="G441" s="20"/>
      <c r="H441" s="20"/>
      <c r="I441" s="20"/>
      <c r="J441" s="20"/>
      <c r="K441" s="20"/>
      <c r="L441" s="22">
        <f t="shared" si="4"/>
        <v>-988</v>
      </c>
      <c r="M441" s="38">
        <f t="shared" si="5"/>
        <v>7.841269841</v>
      </c>
      <c r="N441" s="22">
        <f t="shared" si="6"/>
        <v>976144</v>
      </c>
      <c r="O441" s="20"/>
      <c r="P441" s="22">
        <f t="shared" si="7"/>
        <v>-1568</v>
      </c>
      <c r="Q441" s="38">
        <f t="shared" si="8"/>
        <v>12.44444444</v>
      </c>
      <c r="R441" s="22">
        <f t="shared" si="9"/>
        <v>2458624</v>
      </c>
      <c r="S441" s="20"/>
      <c r="T441" s="22">
        <f t="shared" si="10"/>
        <v>-1278</v>
      </c>
      <c r="U441" s="38">
        <f t="shared" si="11"/>
        <v>10.14285714</v>
      </c>
      <c r="V441" s="22">
        <f t="shared" si="12"/>
        <v>1633284</v>
      </c>
    </row>
    <row r="442">
      <c r="A442" s="2">
        <v>41176.0</v>
      </c>
      <c r="B442" s="5">
        <v>354.0</v>
      </c>
      <c r="C442" s="22">
        <f t="shared" si="2"/>
        <v>1114</v>
      </c>
      <c r="D442" s="22">
        <f t="shared" si="3"/>
        <v>1691</v>
      </c>
      <c r="E442" s="22">
        <f t="shared" si="1"/>
        <v>637</v>
      </c>
      <c r="F442" s="20"/>
      <c r="G442" s="20"/>
      <c r="H442" s="20"/>
      <c r="I442" s="20"/>
      <c r="J442" s="20"/>
      <c r="K442" s="20"/>
      <c r="L442" s="22">
        <f t="shared" si="4"/>
        <v>-760</v>
      </c>
      <c r="M442" s="38">
        <f t="shared" si="5"/>
        <v>2.146892655</v>
      </c>
      <c r="N442" s="22">
        <f t="shared" si="6"/>
        <v>577600</v>
      </c>
      <c r="O442" s="20"/>
      <c r="P442" s="22">
        <f t="shared" si="7"/>
        <v>-1337</v>
      </c>
      <c r="Q442" s="38">
        <f t="shared" si="8"/>
        <v>3.776836158</v>
      </c>
      <c r="R442" s="22">
        <f t="shared" si="9"/>
        <v>1787569</v>
      </c>
      <c r="S442" s="20"/>
      <c r="T442" s="22">
        <f t="shared" si="10"/>
        <v>-283</v>
      </c>
      <c r="U442" s="38">
        <f t="shared" si="11"/>
        <v>0.7994350282</v>
      </c>
      <c r="V442" s="22">
        <f t="shared" si="12"/>
        <v>80089</v>
      </c>
    </row>
    <row r="443">
      <c r="A443" s="2">
        <v>41177.0</v>
      </c>
      <c r="B443" s="5">
        <v>552.0</v>
      </c>
      <c r="C443" s="22">
        <f t="shared" si="2"/>
        <v>1055</v>
      </c>
      <c r="D443" s="22">
        <f t="shared" si="3"/>
        <v>1688</v>
      </c>
      <c r="E443" s="22">
        <f t="shared" si="1"/>
        <v>467</v>
      </c>
      <c r="F443" s="20"/>
      <c r="G443" s="20"/>
      <c r="H443" s="20"/>
      <c r="I443" s="20"/>
      <c r="J443" s="20"/>
      <c r="K443" s="20"/>
      <c r="L443" s="22">
        <f t="shared" si="4"/>
        <v>-503</v>
      </c>
      <c r="M443" s="38">
        <f t="shared" si="5"/>
        <v>0.9112318841</v>
      </c>
      <c r="N443" s="22">
        <f t="shared" si="6"/>
        <v>253009</v>
      </c>
      <c r="O443" s="20"/>
      <c r="P443" s="22">
        <f t="shared" si="7"/>
        <v>-1136</v>
      </c>
      <c r="Q443" s="38">
        <f t="shared" si="8"/>
        <v>2.057971014</v>
      </c>
      <c r="R443" s="22">
        <f t="shared" si="9"/>
        <v>1290496</v>
      </c>
      <c r="S443" s="20"/>
      <c r="T443" s="22">
        <f t="shared" si="10"/>
        <v>85</v>
      </c>
      <c r="U443" s="38">
        <f t="shared" si="11"/>
        <v>0.1539855072</v>
      </c>
      <c r="V443" s="22">
        <f t="shared" si="12"/>
        <v>7225</v>
      </c>
    </row>
    <row r="444">
      <c r="A444" s="2">
        <v>41178.0</v>
      </c>
      <c r="B444" s="5">
        <v>2724.0</v>
      </c>
      <c r="C444" s="22">
        <f t="shared" si="2"/>
        <v>1116</v>
      </c>
      <c r="D444" s="22">
        <f t="shared" si="3"/>
        <v>1685</v>
      </c>
      <c r="E444" s="22">
        <f t="shared" si="1"/>
        <v>518</v>
      </c>
      <c r="F444" s="20"/>
      <c r="G444" s="20"/>
      <c r="H444" s="20"/>
      <c r="I444" s="20"/>
      <c r="J444" s="20"/>
      <c r="K444" s="20"/>
      <c r="L444" s="22">
        <f t="shared" si="4"/>
        <v>1608</v>
      </c>
      <c r="M444" s="38">
        <f t="shared" si="5"/>
        <v>0.59030837</v>
      </c>
      <c r="N444" s="22">
        <f t="shared" si="6"/>
        <v>2585664</v>
      </c>
      <c r="O444" s="20"/>
      <c r="P444" s="22">
        <f t="shared" si="7"/>
        <v>1039</v>
      </c>
      <c r="Q444" s="38">
        <f t="shared" si="8"/>
        <v>0.3814243759</v>
      </c>
      <c r="R444" s="22">
        <f t="shared" si="9"/>
        <v>1079521</v>
      </c>
      <c r="S444" s="20"/>
      <c r="T444" s="22">
        <f t="shared" si="10"/>
        <v>2206</v>
      </c>
      <c r="U444" s="38">
        <f t="shared" si="11"/>
        <v>0.8098384728</v>
      </c>
      <c r="V444" s="22">
        <f t="shared" si="12"/>
        <v>4866436</v>
      </c>
    </row>
    <row r="445">
      <c r="A445" s="2">
        <v>41179.0</v>
      </c>
      <c r="B445" s="5">
        <v>576.0</v>
      </c>
      <c r="C445" s="22">
        <f t="shared" si="2"/>
        <v>883</v>
      </c>
      <c r="D445" s="22">
        <f t="shared" si="3"/>
        <v>1688</v>
      </c>
      <c r="E445" s="22">
        <f t="shared" si="1"/>
        <v>1842</v>
      </c>
      <c r="F445" s="20"/>
      <c r="G445" s="20"/>
      <c r="H445" s="20"/>
      <c r="I445" s="20"/>
      <c r="J445" s="20"/>
      <c r="K445" s="20"/>
      <c r="L445" s="22">
        <f t="shared" si="4"/>
        <v>-307</v>
      </c>
      <c r="M445" s="38">
        <f t="shared" si="5"/>
        <v>0.5329861111</v>
      </c>
      <c r="N445" s="22">
        <f t="shared" si="6"/>
        <v>94249</v>
      </c>
      <c r="O445" s="20"/>
      <c r="P445" s="22">
        <f t="shared" si="7"/>
        <v>-1112</v>
      </c>
      <c r="Q445" s="38">
        <f t="shared" si="8"/>
        <v>1.930555556</v>
      </c>
      <c r="R445" s="22">
        <f t="shared" si="9"/>
        <v>1236544</v>
      </c>
      <c r="S445" s="20"/>
      <c r="T445" s="22">
        <f t="shared" si="10"/>
        <v>-1266</v>
      </c>
      <c r="U445" s="38">
        <f t="shared" si="11"/>
        <v>2.197916667</v>
      </c>
      <c r="V445" s="22">
        <f t="shared" si="12"/>
        <v>1602756</v>
      </c>
    </row>
    <row r="446">
      <c r="A446" s="2">
        <v>41180.0</v>
      </c>
      <c r="B446" s="5">
        <v>102.0</v>
      </c>
      <c r="C446" s="22">
        <f t="shared" si="2"/>
        <v>866</v>
      </c>
      <c r="D446" s="22">
        <f t="shared" si="3"/>
        <v>1685</v>
      </c>
      <c r="E446" s="22">
        <f t="shared" si="1"/>
        <v>1082</v>
      </c>
      <c r="F446" s="20"/>
      <c r="G446" s="20"/>
      <c r="H446" s="20"/>
      <c r="I446" s="20"/>
      <c r="J446" s="20"/>
      <c r="K446" s="20"/>
      <c r="L446" s="22">
        <f t="shared" si="4"/>
        <v>-764</v>
      </c>
      <c r="M446" s="38">
        <f t="shared" si="5"/>
        <v>7.490196078</v>
      </c>
      <c r="N446" s="22">
        <f t="shared" si="6"/>
        <v>583696</v>
      </c>
      <c r="O446" s="20"/>
      <c r="P446" s="22">
        <f t="shared" si="7"/>
        <v>-1583</v>
      </c>
      <c r="Q446" s="38">
        <f t="shared" si="8"/>
        <v>15.51960784</v>
      </c>
      <c r="R446" s="22">
        <f t="shared" si="9"/>
        <v>2505889</v>
      </c>
      <c r="S446" s="20"/>
      <c r="T446" s="22">
        <f t="shared" si="10"/>
        <v>-980</v>
      </c>
      <c r="U446" s="38">
        <f t="shared" si="11"/>
        <v>9.607843137</v>
      </c>
      <c r="V446" s="22">
        <f t="shared" si="12"/>
        <v>960400</v>
      </c>
    </row>
    <row r="447">
      <c r="A447" s="2">
        <v>41183.0</v>
      </c>
      <c r="B447" s="5">
        <v>474.0</v>
      </c>
      <c r="C447" s="22">
        <f t="shared" si="2"/>
        <v>862</v>
      </c>
      <c r="D447" s="22">
        <f t="shared" si="3"/>
        <v>1682</v>
      </c>
      <c r="E447" s="22">
        <f t="shared" si="1"/>
        <v>494</v>
      </c>
      <c r="F447" s="20"/>
      <c r="G447" s="20"/>
      <c r="H447" s="20"/>
      <c r="I447" s="20"/>
      <c r="J447" s="20"/>
      <c r="K447" s="20"/>
      <c r="L447" s="22">
        <f t="shared" si="4"/>
        <v>-388</v>
      </c>
      <c r="M447" s="38">
        <f t="shared" si="5"/>
        <v>0.8185654008</v>
      </c>
      <c r="N447" s="22">
        <f t="shared" si="6"/>
        <v>150544</v>
      </c>
      <c r="O447" s="20"/>
      <c r="P447" s="22">
        <f t="shared" si="7"/>
        <v>-1208</v>
      </c>
      <c r="Q447" s="38">
        <f t="shared" si="8"/>
        <v>2.548523207</v>
      </c>
      <c r="R447" s="22">
        <f t="shared" si="9"/>
        <v>1459264</v>
      </c>
      <c r="S447" s="20"/>
      <c r="T447" s="22">
        <f t="shared" si="10"/>
        <v>-20</v>
      </c>
      <c r="U447" s="38">
        <f t="shared" si="11"/>
        <v>0.04219409283</v>
      </c>
      <c r="V447" s="22">
        <f t="shared" si="12"/>
        <v>400</v>
      </c>
    </row>
    <row r="448">
      <c r="A448" s="2">
        <v>41184.0</v>
      </c>
      <c r="B448" s="5">
        <v>234.0</v>
      </c>
      <c r="C448" s="22">
        <f t="shared" si="2"/>
        <v>886</v>
      </c>
      <c r="D448" s="22">
        <f t="shared" si="3"/>
        <v>1679</v>
      </c>
      <c r="E448" s="22">
        <f t="shared" si="1"/>
        <v>482</v>
      </c>
      <c r="F448" s="20"/>
      <c r="G448" s="20"/>
      <c r="H448" s="20"/>
      <c r="I448" s="20"/>
      <c r="J448" s="20"/>
      <c r="K448" s="20"/>
      <c r="L448" s="22">
        <f t="shared" si="4"/>
        <v>-652</v>
      </c>
      <c r="M448" s="38">
        <f t="shared" si="5"/>
        <v>2.786324786</v>
      </c>
      <c r="N448" s="22">
        <f t="shared" si="6"/>
        <v>425104</v>
      </c>
      <c r="O448" s="20"/>
      <c r="P448" s="22">
        <f t="shared" si="7"/>
        <v>-1445</v>
      </c>
      <c r="Q448" s="38">
        <f t="shared" si="8"/>
        <v>6.175213675</v>
      </c>
      <c r="R448" s="22">
        <f t="shared" si="9"/>
        <v>2088025</v>
      </c>
      <c r="S448" s="20"/>
      <c r="T448" s="22">
        <f t="shared" si="10"/>
        <v>-248</v>
      </c>
      <c r="U448" s="38">
        <f t="shared" si="11"/>
        <v>1.05982906</v>
      </c>
      <c r="V448" s="22">
        <f t="shared" si="12"/>
        <v>61504</v>
      </c>
    </row>
    <row r="449">
      <c r="A449" s="2">
        <v>41185.0</v>
      </c>
      <c r="B449" s="5">
        <v>2856.0</v>
      </c>
      <c r="C449" s="22">
        <f t="shared" si="2"/>
        <v>822</v>
      </c>
      <c r="D449" s="22">
        <f t="shared" si="3"/>
        <v>1676</v>
      </c>
      <c r="E449" s="22">
        <f t="shared" si="1"/>
        <v>333</v>
      </c>
      <c r="F449" s="20"/>
      <c r="G449" s="20"/>
      <c r="H449" s="20"/>
      <c r="I449" s="20"/>
      <c r="J449" s="20"/>
      <c r="K449" s="20"/>
      <c r="L449" s="22">
        <f t="shared" si="4"/>
        <v>2034</v>
      </c>
      <c r="M449" s="38">
        <f t="shared" si="5"/>
        <v>0.7121848739</v>
      </c>
      <c r="N449" s="22">
        <f t="shared" si="6"/>
        <v>4137156</v>
      </c>
      <c r="O449" s="20"/>
      <c r="P449" s="22">
        <f t="shared" si="7"/>
        <v>1180</v>
      </c>
      <c r="Q449" s="38">
        <f t="shared" si="8"/>
        <v>0.4131652661</v>
      </c>
      <c r="R449" s="22">
        <f t="shared" si="9"/>
        <v>1392400</v>
      </c>
      <c r="S449" s="20"/>
      <c r="T449" s="22">
        <f t="shared" si="10"/>
        <v>2523</v>
      </c>
      <c r="U449" s="38">
        <f t="shared" si="11"/>
        <v>0.8834033613</v>
      </c>
      <c r="V449" s="22">
        <f t="shared" si="12"/>
        <v>6365529</v>
      </c>
    </row>
    <row r="450">
      <c r="A450" s="2">
        <v>41186.0</v>
      </c>
      <c r="B450" s="5">
        <v>828.0</v>
      </c>
      <c r="C450" s="22">
        <f t="shared" si="2"/>
        <v>848</v>
      </c>
      <c r="D450" s="22">
        <f t="shared" si="3"/>
        <v>1678</v>
      </c>
      <c r="E450" s="22">
        <f t="shared" si="1"/>
        <v>1847</v>
      </c>
      <c r="F450" s="20"/>
      <c r="G450" s="20"/>
      <c r="H450" s="20"/>
      <c r="I450" s="20"/>
      <c r="J450" s="20"/>
      <c r="K450" s="20"/>
      <c r="L450" s="22">
        <f t="shared" si="4"/>
        <v>-20</v>
      </c>
      <c r="M450" s="38">
        <f t="shared" si="5"/>
        <v>0.02415458937</v>
      </c>
      <c r="N450" s="22">
        <f t="shared" si="6"/>
        <v>400</v>
      </c>
      <c r="O450" s="20"/>
      <c r="P450" s="22">
        <f t="shared" si="7"/>
        <v>-850</v>
      </c>
      <c r="Q450" s="38">
        <f t="shared" si="8"/>
        <v>1.026570048</v>
      </c>
      <c r="R450" s="22">
        <f t="shared" si="9"/>
        <v>722500</v>
      </c>
      <c r="S450" s="20"/>
      <c r="T450" s="22">
        <f t="shared" si="10"/>
        <v>-1019</v>
      </c>
      <c r="U450" s="38">
        <f t="shared" si="11"/>
        <v>1.230676329</v>
      </c>
      <c r="V450" s="22">
        <f t="shared" si="12"/>
        <v>1038361</v>
      </c>
    </row>
    <row r="451">
      <c r="A451" s="2">
        <v>41187.0</v>
      </c>
      <c r="B451" s="5">
        <v>84.0</v>
      </c>
      <c r="C451" s="22">
        <f t="shared" si="2"/>
        <v>899</v>
      </c>
      <c r="D451" s="22">
        <f t="shared" si="3"/>
        <v>1676</v>
      </c>
      <c r="E451" s="22">
        <f t="shared" si="1"/>
        <v>1236</v>
      </c>
      <c r="F451" s="20"/>
      <c r="G451" s="20"/>
      <c r="H451" s="20"/>
      <c r="I451" s="20"/>
      <c r="J451" s="20"/>
      <c r="K451" s="20"/>
      <c r="L451" s="22">
        <f t="shared" si="4"/>
        <v>-815</v>
      </c>
      <c r="M451" s="38">
        <f t="shared" si="5"/>
        <v>9.702380952</v>
      </c>
      <c r="N451" s="22">
        <f t="shared" si="6"/>
        <v>664225</v>
      </c>
      <c r="O451" s="20"/>
      <c r="P451" s="22">
        <f t="shared" si="7"/>
        <v>-1592</v>
      </c>
      <c r="Q451" s="38">
        <f t="shared" si="8"/>
        <v>18.95238095</v>
      </c>
      <c r="R451" s="22">
        <f t="shared" si="9"/>
        <v>2534464</v>
      </c>
      <c r="S451" s="20"/>
      <c r="T451" s="22">
        <f t="shared" si="10"/>
        <v>-1152</v>
      </c>
      <c r="U451" s="38">
        <f t="shared" si="11"/>
        <v>13.71428571</v>
      </c>
      <c r="V451" s="22">
        <f t="shared" si="12"/>
        <v>1327104</v>
      </c>
    </row>
    <row r="452">
      <c r="A452" s="2">
        <v>41190.0</v>
      </c>
      <c r="B452" s="5">
        <v>264.0</v>
      </c>
      <c r="C452" s="22">
        <f t="shared" si="2"/>
        <v>895</v>
      </c>
      <c r="D452" s="22">
        <f t="shared" si="3"/>
        <v>1673</v>
      </c>
      <c r="E452" s="22">
        <f t="shared" si="1"/>
        <v>545</v>
      </c>
      <c r="F452" s="20"/>
      <c r="G452" s="20"/>
      <c r="H452" s="20"/>
      <c r="I452" s="20"/>
      <c r="J452" s="20"/>
      <c r="K452" s="20"/>
      <c r="L452" s="22">
        <f t="shared" si="4"/>
        <v>-631</v>
      </c>
      <c r="M452" s="38">
        <f t="shared" si="5"/>
        <v>2.390151515</v>
      </c>
      <c r="N452" s="22">
        <f t="shared" si="6"/>
        <v>398161</v>
      </c>
      <c r="O452" s="20"/>
      <c r="P452" s="22">
        <f t="shared" si="7"/>
        <v>-1409</v>
      </c>
      <c r="Q452" s="38">
        <f t="shared" si="8"/>
        <v>5.337121212</v>
      </c>
      <c r="R452" s="22">
        <f t="shared" si="9"/>
        <v>1985281</v>
      </c>
      <c r="S452" s="20"/>
      <c r="T452" s="22">
        <f t="shared" si="10"/>
        <v>-281</v>
      </c>
      <c r="U452" s="38">
        <f t="shared" si="11"/>
        <v>1.064393939</v>
      </c>
      <c r="V452" s="22">
        <f t="shared" si="12"/>
        <v>78961</v>
      </c>
    </row>
    <row r="453">
      <c r="A453" s="2">
        <v>41191.0</v>
      </c>
      <c r="B453" s="5">
        <v>2316.0</v>
      </c>
      <c r="C453" s="22">
        <f t="shared" si="2"/>
        <v>853</v>
      </c>
      <c r="D453" s="22">
        <f t="shared" si="3"/>
        <v>1670</v>
      </c>
      <c r="E453" s="22">
        <f t="shared" si="1"/>
        <v>376</v>
      </c>
      <c r="F453" s="20"/>
      <c r="G453" s="20"/>
      <c r="H453" s="20"/>
      <c r="I453" s="20"/>
      <c r="J453" s="20"/>
      <c r="K453" s="20"/>
      <c r="L453" s="22">
        <f t="shared" si="4"/>
        <v>1463</v>
      </c>
      <c r="M453" s="38">
        <f t="shared" si="5"/>
        <v>0.6316925734</v>
      </c>
      <c r="N453" s="22">
        <f t="shared" si="6"/>
        <v>2140369</v>
      </c>
      <c r="O453" s="20"/>
      <c r="P453" s="22">
        <f t="shared" si="7"/>
        <v>646</v>
      </c>
      <c r="Q453" s="38">
        <f t="shared" si="8"/>
        <v>0.2789291883</v>
      </c>
      <c r="R453" s="22">
        <f t="shared" si="9"/>
        <v>417316</v>
      </c>
      <c r="S453" s="20"/>
      <c r="T453" s="22">
        <f t="shared" si="10"/>
        <v>1940</v>
      </c>
      <c r="U453" s="38">
        <f t="shared" si="11"/>
        <v>0.8376511226</v>
      </c>
      <c r="V453" s="22">
        <f t="shared" si="12"/>
        <v>3763600</v>
      </c>
    </row>
    <row r="454">
      <c r="A454" s="2">
        <v>41192.0</v>
      </c>
      <c r="B454" s="5">
        <v>2790.0</v>
      </c>
      <c r="C454" s="22">
        <f t="shared" si="2"/>
        <v>1270</v>
      </c>
      <c r="D454" s="22">
        <f t="shared" si="3"/>
        <v>1671</v>
      </c>
      <c r="E454" s="22">
        <f t="shared" si="1"/>
        <v>1540</v>
      </c>
      <c r="F454" s="20"/>
      <c r="G454" s="20"/>
      <c r="H454" s="20"/>
      <c r="I454" s="20"/>
      <c r="J454" s="20"/>
      <c r="K454" s="20"/>
      <c r="L454" s="22">
        <f t="shared" si="4"/>
        <v>1520</v>
      </c>
      <c r="M454" s="38">
        <f t="shared" si="5"/>
        <v>0.5448028674</v>
      </c>
      <c r="N454" s="22">
        <f t="shared" si="6"/>
        <v>2310400</v>
      </c>
      <c r="O454" s="20"/>
      <c r="P454" s="22">
        <f t="shared" si="7"/>
        <v>1119</v>
      </c>
      <c r="Q454" s="38">
        <f t="shared" si="8"/>
        <v>0.4010752688</v>
      </c>
      <c r="R454" s="22">
        <f t="shared" si="9"/>
        <v>1252161</v>
      </c>
      <c r="S454" s="20"/>
      <c r="T454" s="22">
        <f t="shared" si="10"/>
        <v>1250</v>
      </c>
      <c r="U454" s="38">
        <f t="shared" si="11"/>
        <v>0.4480286738</v>
      </c>
      <c r="V454" s="22">
        <f t="shared" si="12"/>
        <v>1562500</v>
      </c>
    </row>
    <row r="455">
      <c r="A455" s="2">
        <v>41193.0</v>
      </c>
      <c r="B455" s="5">
        <v>708.0</v>
      </c>
      <c r="C455" s="22">
        <f t="shared" si="2"/>
        <v>1256</v>
      </c>
      <c r="D455" s="22">
        <f t="shared" si="3"/>
        <v>1674</v>
      </c>
      <c r="E455" s="22">
        <f t="shared" si="1"/>
        <v>2290</v>
      </c>
      <c r="F455" s="20"/>
      <c r="G455" s="20"/>
      <c r="H455" s="20"/>
      <c r="I455" s="20"/>
      <c r="J455" s="20"/>
      <c r="K455" s="20"/>
      <c r="L455" s="22">
        <f t="shared" si="4"/>
        <v>-548</v>
      </c>
      <c r="M455" s="38">
        <f t="shared" si="5"/>
        <v>0.7740112994</v>
      </c>
      <c r="N455" s="22">
        <f t="shared" si="6"/>
        <v>300304</v>
      </c>
      <c r="O455" s="20"/>
      <c r="P455" s="22">
        <f t="shared" si="7"/>
        <v>-966</v>
      </c>
      <c r="Q455" s="38">
        <f t="shared" si="8"/>
        <v>1.36440678</v>
      </c>
      <c r="R455" s="22">
        <f t="shared" si="9"/>
        <v>933156</v>
      </c>
      <c r="S455" s="20"/>
      <c r="T455" s="22">
        <f t="shared" si="10"/>
        <v>-1582</v>
      </c>
      <c r="U455" s="38">
        <f t="shared" si="11"/>
        <v>2.234463277</v>
      </c>
      <c r="V455" s="22">
        <f t="shared" si="12"/>
        <v>2502724</v>
      </c>
    </row>
    <row r="456">
      <c r="A456" s="2">
        <v>41194.0</v>
      </c>
      <c r="B456" s="5">
        <v>252.0</v>
      </c>
      <c r="C456" s="22">
        <f t="shared" si="2"/>
        <v>1232</v>
      </c>
      <c r="D456" s="22">
        <f t="shared" si="3"/>
        <v>1671</v>
      </c>
      <c r="E456" s="22">
        <f t="shared" si="1"/>
        <v>1341</v>
      </c>
      <c r="F456" s="20"/>
      <c r="G456" s="20"/>
      <c r="H456" s="20"/>
      <c r="I456" s="20"/>
      <c r="J456" s="20"/>
      <c r="K456" s="20"/>
      <c r="L456" s="22">
        <f t="shared" si="4"/>
        <v>-980</v>
      </c>
      <c r="M456" s="38">
        <f t="shared" si="5"/>
        <v>3.888888889</v>
      </c>
      <c r="N456" s="22">
        <f t="shared" si="6"/>
        <v>960400</v>
      </c>
      <c r="O456" s="20"/>
      <c r="P456" s="22">
        <f t="shared" si="7"/>
        <v>-1419</v>
      </c>
      <c r="Q456" s="38">
        <f t="shared" si="8"/>
        <v>5.630952381</v>
      </c>
      <c r="R456" s="22">
        <f t="shared" si="9"/>
        <v>2013561</v>
      </c>
      <c r="S456" s="20"/>
      <c r="T456" s="22">
        <f t="shared" si="10"/>
        <v>-1089</v>
      </c>
      <c r="U456" s="38">
        <f t="shared" si="11"/>
        <v>4.321428571</v>
      </c>
      <c r="V456" s="22">
        <f t="shared" si="12"/>
        <v>1185921</v>
      </c>
    </row>
    <row r="457">
      <c r="A457" s="2">
        <v>41197.0</v>
      </c>
      <c r="B457" s="5">
        <v>474.0</v>
      </c>
      <c r="C457" s="22">
        <f t="shared" si="2"/>
        <v>1266</v>
      </c>
      <c r="D457" s="22">
        <f t="shared" si="3"/>
        <v>1668</v>
      </c>
      <c r="E457" s="22">
        <f t="shared" si="1"/>
        <v>688</v>
      </c>
      <c r="F457" s="20"/>
      <c r="G457" s="20"/>
      <c r="H457" s="20"/>
      <c r="I457" s="20"/>
      <c r="J457" s="20"/>
      <c r="K457" s="20"/>
      <c r="L457" s="22">
        <f t="shared" si="4"/>
        <v>-792</v>
      </c>
      <c r="M457" s="38">
        <f t="shared" si="5"/>
        <v>1.670886076</v>
      </c>
      <c r="N457" s="22">
        <f t="shared" si="6"/>
        <v>627264</v>
      </c>
      <c r="O457" s="20"/>
      <c r="P457" s="22">
        <f t="shared" si="7"/>
        <v>-1194</v>
      </c>
      <c r="Q457" s="38">
        <f t="shared" si="8"/>
        <v>2.518987342</v>
      </c>
      <c r="R457" s="22">
        <f t="shared" si="9"/>
        <v>1425636</v>
      </c>
      <c r="S457" s="20"/>
      <c r="T457" s="22">
        <f t="shared" si="10"/>
        <v>-214</v>
      </c>
      <c r="U457" s="38">
        <f t="shared" si="11"/>
        <v>0.4514767932</v>
      </c>
      <c r="V457" s="22">
        <f t="shared" si="12"/>
        <v>45796</v>
      </c>
    </row>
    <row r="458">
      <c r="A458" s="2">
        <v>41198.0</v>
      </c>
      <c r="B458" s="5">
        <v>426.0</v>
      </c>
      <c r="C458" s="22">
        <f t="shared" si="2"/>
        <v>1308</v>
      </c>
      <c r="D458" s="22">
        <f t="shared" si="3"/>
        <v>1666</v>
      </c>
      <c r="E458" s="22">
        <f t="shared" si="1"/>
        <v>560</v>
      </c>
      <c r="F458" s="20"/>
      <c r="G458" s="20"/>
      <c r="H458" s="20"/>
      <c r="I458" s="20"/>
      <c r="J458" s="20"/>
      <c r="K458" s="20"/>
      <c r="L458" s="22">
        <f t="shared" si="4"/>
        <v>-882</v>
      </c>
      <c r="M458" s="38">
        <f t="shared" si="5"/>
        <v>2.070422535</v>
      </c>
      <c r="N458" s="22">
        <f t="shared" si="6"/>
        <v>777924</v>
      </c>
      <c r="O458" s="20"/>
      <c r="P458" s="22">
        <f t="shared" si="7"/>
        <v>-1240</v>
      </c>
      <c r="Q458" s="38">
        <f t="shared" si="8"/>
        <v>2.910798122</v>
      </c>
      <c r="R458" s="22">
        <f t="shared" si="9"/>
        <v>1537600</v>
      </c>
      <c r="S458" s="20"/>
      <c r="T458" s="22">
        <f t="shared" si="10"/>
        <v>-134</v>
      </c>
      <c r="U458" s="38">
        <f t="shared" si="11"/>
        <v>0.3145539906</v>
      </c>
      <c r="V458" s="22">
        <f t="shared" si="12"/>
        <v>17956</v>
      </c>
    </row>
    <row r="459">
      <c r="A459" s="2">
        <v>41199.0</v>
      </c>
      <c r="B459" s="5">
        <v>4848.0</v>
      </c>
      <c r="C459" s="22">
        <f t="shared" si="2"/>
        <v>930</v>
      </c>
      <c r="D459" s="22">
        <f t="shared" si="3"/>
        <v>1663</v>
      </c>
      <c r="E459" s="22">
        <f t="shared" si="1"/>
        <v>480</v>
      </c>
      <c r="F459" s="20"/>
      <c r="G459" s="20"/>
      <c r="H459" s="20"/>
      <c r="I459" s="20"/>
      <c r="J459" s="20"/>
      <c r="K459" s="20"/>
      <c r="L459" s="22">
        <f t="shared" si="4"/>
        <v>3918</v>
      </c>
      <c r="M459" s="38">
        <f t="shared" si="5"/>
        <v>0.8081683168</v>
      </c>
      <c r="N459" s="22">
        <f t="shared" si="6"/>
        <v>15350724</v>
      </c>
      <c r="O459" s="20"/>
      <c r="P459" s="22">
        <f t="shared" si="7"/>
        <v>3185</v>
      </c>
      <c r="Q459" s="38">
        <f t="shared" si="8"/>
        <v>0.6569719472</v>
      </c>
      <c r="R459" s="22">
        <f t="shared" si="9"/>
        <v>10144225</v>
      </c>
      <c r="S459" s="20"/>
      <c r="T459" s="22">
        <f t="shared" si="10"/>
        <v>4368</v>
      </c>
      <c r="U459" s="38">
        <f t="shared" si="11"/>
        <v>0.900990099</v>
      </c>
      <c r="V459" s="22">
        <f t="shared" si="12"/>
        <v>19079424</v>
      </c>
    </row>
    <row r="460">
      <c r="A460" s="2">
        <v>41200.0</v>
      </c>
      <c r="B460" s="5">
        <v>558.0</v>
      </c>
      <c r="C460" s="22">
        <f t="shared" si="2"/>
        <v>1342</v>
      </c>
      <c r="D460" s="22">
        <f t="shared" si="3"/>
        <v>1670</v>
      </c>
      <c r="E460" s="22">
        <f t="shared" si="1"/>
        <v>3101</v>
      </c>
      <c r="F460" s="20"/>
      <c r="G460" s="20"/>
      <c r="H460" s="20"/>
      <c r="I460" s="20"/>
      <c r="J460" s="20"/>
      <c r="K460" s="20"/>
      <c r="L460" s="22">
        <f t="shared" si="4"/>
        <v>-784</v>
      </c>
      <c r="M460" s="38">
        <f t="shared" si="5"/>
        <v>1.405017921</v>
      </c>
      <c r="N460" s="22">
        <f t="shared" si="6"/>
        <v>614656</v>
      </c>
      <c r="O460" s="20"/>
      <c r="P460" s="22">
        <f t="shared" si="7"/>
        <v>-1112</v>
      </c>
      <c r="Q460" s="38">
        <f t="shared" si="8"/>
        <v>1.992831541</v>
      </c>
      <c r="R460" s="22">
        <f t="shared" si="9"/>
        <v>1236544</v>
      </c>
      <c r="S460" s="20"/>
      <c r="T460" s="22">
        <f t="shared" si="10"/>
        <v>-2543</v>
      </c>
      <c r="U460" s="38">
        <f t="shared" si="11"/>
        <v>4.55734767</v>
      </c>
      <c r="V460" s="22">
        <f t="shared" si="12"/>
        <v>6466849</v>
      </c>
    </row>
    <row r="461">
      <c r="A461" s="2">
        <v>41201.0</v>
      </c>
      <c r="B461" s="5">
        <v>600.0</v>
      </c>
      <c r="C461" s="22">
        <f t="shared" si="2"/>
        <v>1312</v>
      </c>
      <c r="D461" s="22">
        <f t="shared" si="3"/>
        <v>1667</v>
      </c>
      <c r="E461" s="22">
        <f t="shared" si="1"/>
        <v>1575</v>
      </c>
      <c r="F461" s="20"/>
      <c r="G461" s="20"/>
      <c r="H461" s="20"/>
      <c r="I461" s="20"/>
      <c r="J461" s="20"/>
      <c r="K461" s="20"/>
      <c r="L461" s="22">
        <f t="shared" si="4"/>
        <v>-712</v>
      </c>
      <c r="M461" s="38">
        <f t="shared" si="5"/>
        <v>1.186666667</v>
      </c>
      <c r="N461" s="22">
        <f t="shared" si="6"/>
        <v>506944</v>
      </c>
      <c r="O461" s="20"/>
      <c r="P461" s="22">
        <f t="shared" si="7"/>
        <v>-1067</v>
      </c>
      <c r="Q461" s="38">
        <f t="shared" si="8"/>
        <v>1.778333333</v>
      </c>
      <c r="R461" s="22">
        <f t="shared" si="9"/>
        <v>1138489</v>
      </c>
      <c r="S461" s="20"/>
      <c r="T461" s="22">
        <f t="shared" si="10"/>
        <v>-975</v>
      </c>
      <c r="U461" s="38">
        <f t="shared" si="11"/>
        <v>1.625</v>
      </c>
      <c r="V461" s="22">
        <f t="shared" si="12"/>
        <v>950625</v>
      </c>
    </row>
    <row r="462">
      <c r="A462" s="2">
        <v>41204.0</v>
      </c>
      <c r="B462" s="5">
        <v>1542.0</v>
      </c>
      <c r="C462" s="22">
        <f t="shared" si="2"/>
        <v>1381</v>
      </c>
      <c r="D462" s="22">
        <f t="shared" si="3"/>
        <v>1665</v>
      </c>
      <c r="E462" s="22">
        <f t="shared" si="1"/>
        <v>990</v>
      </c>
      <c r="F462" s="20"/>
      <c r="G462" s="20"/>
      <c r="H462" s="20"/>
      <c r="I462" s="20"/>
      <c r="J462" s="20"/>
      <c r="K462" s="20"/>
      <c r="L462" s="22">
        <f t="shared" si="4"/>
        <v>161</v>
      </c>
      <c r="M462" s="38">
        <f t="shared" si="5"/>
        <v>0.1044098573</v>
      </c>
      <c r="N462" s="22">
        <f t="shared" si="6"/>
        <v>25921</v>
      </c>
      <c r="O462" s="20"/>
      <c r="P462" s="22">
        <f t="shared" si="7"/>
        <v>-123</v>
      </c>
      <c r="Q462" s="38">
        <f t="shared" si="8"/>
        <v>0.07976653696</v>
      </c>
      <c r="R462" s="22">
        <f t="shared" si="9"/>
        <v>15129</v>
      </c>
      <c r="S462" s="20"/>
      <c r="T462" s="22">
        <f t="shared" si="10"/>
        <v>552</v>
      </c>
      <c r="U462" s="38">
        <f t="shared" si="11"/>
        <v>0.3579766537</v>
      </c>
      <c r="V462" s="22">
        <f t="shared" si="12"/>
        <v>304704</v>
      </c>
    </row>
    <row r="463">
      <c r="A463" s="2">
        <v>41205.0</v>
      </c>
      <c r="B463" s="5">
        <v>2526.0</v>
      </c>
      <c r="C463" s="22">
        <f t="shared" si="2"/>
        <v>1595</v>
      </c>
      <c r="D463" s="22">
        <f t="shared" si="3"/>
        <v>1665</v>
      </c>
      <c r="E463" s="22">
        <f t="shared" si="1"/>
        <v>1321</v>
      </c>
      <c r="F463" s="20"/>
      <c r="G463" s="20"/>
      <c r="H463" s="20"/>
      <c r="I463" s="20"/>
      <c r="J463" s="20"/>
      <c r="K463" s="20"/>
      <c r="L463" s="22">
        <f t="shared" si="4"/>
        <v>931</v>
      </c>
      <c r="M463" s="38">
        <f t="shared" si="5"/>
        <v>0.3685669042</v>
      </c>
      <c r="N463" s="22">
        <f t="shared" si="6"/>
        <v>866761</v>
      </c>
      <c r="O463" s="20"/>
      <c r="P463" s="22">
        <f t="shared" si="7"/>
        <v>861</v>
      </c>
      <c r="Q463" s="38">
        <f t="shared" si="8"/>
        <v>0.3408551069</v>
      </c>
      <c r="R463" s="22">
        <f t="shared" si="9"/>
        <v>741321</v>
      </c>
      <c r="S463" s="20"/>
      <c r="T463" s="22">
        <f t="shared" si="10"/>
        <v>1205</v>
      </c>
      <c r="U463" s="38">
        <f t="shared" si="11"/>
        <v>0.4770387965</v>
      </c>
      <c r="V463" s="22">
        <f t="shared" si="12"/>
        <v>1452025</v>
      </c>
    </row>
    <row r="464">
      <c r="A464" s="2">
        <v>41206.0</v>
      </c>
      <c r="B464" s="5">
        <v>1152.0</v>
      </c>
      <c r="C464" s="22">
        <f t="shared" si="2"/>
        <v>2015</v>
      </c>
      <c r="D464" s="22">
        <f t="shared" si="3"/>
        <v>1667</v>
      </c>
      <c r="E464" s="22">
        <f t="shared" si="1"/>
        <v>2044</v>
      </c>
      <c r="F464" s="20"/>
      <c r="G464" s="20"/>
      <c r="H464" s="20"/>
      <c r="I464" s="20"/>
      <c r="J464" s="20"/>
      <c r="K464" s="20"/>
      <c r="L464" s="22">
        <f t="shared" si="4"/>
        <v>-863</v>
      </c>
      <c r="M464" s="38">
        <f t="shared" si="5"/>
        <v>0.7491319444</v>
      </c>
      <c r="N464" s="22">
        <f t="shared" si="6"/>
        <v>744769</v>
      </c>
      <c r="O464" s="20"/>
      <c r="P464" s="22">
        <f t="shared" si="7"/>
        <v>-515</v>
      </c>
      <c r="Q464" s="38">
        <f t="shared" si="8"/>
        <v>0.4470486111</v>
      </c>
      <c r="R464" s="22">
        <f t="shared" si="9"/>
        <v>265225</v>
      </c>
      <c r="S464" s="20"/>
      <c r="T464" s="22">
        <f t="shared" si="10"/>
        <v>-892</v>
      </c>
      <c r="U464" s="38">
        <f t="shared" si="11"/>
        <v>0.7743055556</v>
      </c>
      <c r="V464" s="22">
        <f t="shared" si="12"/>
        <v>795664</v>
      </c>
    </row>
    <row r="465">
      <c r="A465" s="2">
        <v>41207.0</v>
      </c>
      <c r="B465" s="5">
        <v>858.0</v>
      </c>
      <c r="C465" s="22">
        <f t="shared" si="2"/>
        <v>1276</v>
      </c>
      <c r="D465" s="22">
        <f t="shared" si="3"/>
        <v>1666</v>
      </c>
      <c r="E465" s="22">
        <f t="shared" si="1"/>
        <v>1509</v>
      </c>
      <c r="F465" s="20"/>
      <c r="G465" s="20"/>
      <c r="H465" s="20"/>
      <c r="I465" s="20"/>
      <c r="J465" s="20"/>
      <c r="K465" s="20"/>
      <c r="L465" s="22">
        <f t="shared" si="4"/>
        <v>-418</v>
      </c>
      <c r="M465" s="38">
        <f t="shared" si="5"/>
        <v>0.4871794872</v>
      </c>
      <c r="N465" s="22">
        <f t="shared" si="6"/>
        <v>174724</v>
      </c>
      <c r="O465" s="20"/>
      <c r="P465" s="22">
        <f t="shared" si="7"/>
        <v>-808</v>
      </c>
      <c r="Q465" s="38">
        <f t="shared" si="8"/>
        <v>0.9417249417</v>
      </c>
      <c r="R465" s="22">
        <f t="shared" si="9"/>
        <v>652864</v>
      </c>
      <c r="S465" s="20"/>
      <c r="T465" s="22">
        <f t="shared" si="10"/>
        <v>-651</v>
      </c>
      <c r="U465" s="38">
        <f t="shared" si="11"/>
        <v>0.7587412587</v>
      </c>
      <c r="V465" s="22">
        <f t="shared" si="12"/>
        <v>423801</v>
      </c>
    </row>
    <row r="466">
      <c r="A466" s="2">
        <v>41208.0</v>
      </c>
      <c r="B466" s="5">
        <v>78.0</v>
      </c>
      <c r="C466" s="22">
        <f t="shared" si="2"/>
        <v>1336</v>
      </c>
      <c r="D466" s="22">
        <f t="shared" si="3"/>
        <v>1664</v>
      </c>
      <c r="E466" s="22">
        <f t="shared" si="1"/>
        <v>1118</v>
      </c>
      <c r="F466" s="20"/>
      <c r="G466" s="20"/>
      <c r="H466" s="20"/>
      <c r="I466" s="20"/>
      <c r="J466" s="20"/>
      <c r="K466" s="20"/>
      <c r="L466" s="22">
        <f t="shared" si="4"/>
        <v>-1258</v>
      </c>
      <c r="M466" s="38">
        <f t="shared" si="5"/>
        <v>16.12820513</v>
      </c>
      <c r="N466" s="22">
        <f t="shared" si="6"/>
        <v>1582564</v>
      </c>
      <c r="O466" s="20"/>
      <c r="P466" s="22">
        <f t="shared" si="7"/>
        <v>-1586</v>
      </c>
      <c r="Q466" s="38">
        <f t="shared" si="8"/>
        <v>20.33333333</v>
      </c>
      <c r="R466" s="22">
        <f t="shared" si="9"/>
        <v>2515396</v>
      </c>
      <c r="S466" s="20"/>
      <c r="T466" s="22">
        <f t="shared" si="10"/>
        <v>-1040</v>
      </c>
      <c r="U466" s="38">
        <f t="shared" si="11"/>
        <v>13.33333333</v>
      </c>
      <c r="V466" s="22">
        <f t="shared" si="12"/>
        <v>1081600</v>
      </c>
    </row>
    <row r="467">
      <c r="A467" s="2">
        <v>41213.0</v>
      </c>
      <c r="B467" s="5">
        <v>8556.0</v>
      </c>
      <c r="C467" s="22">
        <f t="shared" si="2"/>
        <v>1231</v>
      </c>
      <c r="D467" s="22">
        <f t="shared" si="3"/>
        <v>1660</v>
      </c>
      <c r="E467" s="22">
        <f t="shared" si="1"/>
        <v>494</v>
      </c>
      <c r="F467" s="20"/>
      <c r="G467" s="20"/>
      <c r="H467" s="20"/>
      <c r="I467" s="20"/>
      <c r="J467" s="20"/>
      <c r="K467" s="20"/>
      <c r="L467" s="22">
        <f t="shared" si="4"/>
        <v>7325</v>
      </c>
      <c r="M467" s="38">
        <f t="shared" si="5"/>
        <v>0.8561243572</v>
      </c>
      <c r="N467" s="22">
        <f t="shared" si="6"/>
        <v>53655625</v>
      </c>
      <c r="O467" s="20"/>
      <c r="P467" s="22">
        <f t="shared" si="7"/>
        <v>6896</v>
      </c>
      <c r="Q467" s="38">
        <f t="shared" si="8"/>
        <v>0.8059841047</v>
      </c>
      <c r="R467" s="22">
        <f t="shared" si="9"/>
        <v>47554816</v>
      </c>
      <c r="S467" s="20"/>
      <c r="T467" s="22">
        <f t="shared" si="10"/>
        <v>8062</v>
      </c>
      <c r="U467" s="38">
        <f t="shared" si="11"/>
        <v>0.9422627396</v>
      </c>
      <c r="V467" s="22">
        <f t="shared" si="12"/>
        <v>64995844</v>
      </c>
    </row>
    <row r="468">
      <c r="A468" s="2">
        <v>41214.0</v>
      </c>
      <c r="B468" s="5">
        <v>612.0</v>
      </c>
      <c r="C468" s="22">
        <f t="shared" si="2"/>
        <v>2634</v>
      </c>
      <c r="D468" s="22">
        <f t="shared" si="3"/>
        <v>1675</v>
      </c>
      <c r="E468" s="22">
        <f t="shared" si="1"/>
        <v>5331</v>
      </c>
      <c r="F468" s="20"/>
      <c r="G468" s="20"/>
      <c r="H468" s="20"/>
      <c r="I468" s="20"/>
      <c r="J468" s="20"/>
      <c r="K468" s="20"/>
      <c r="L468" s="22">
        <f t="shared" si="4"/>
        <v>-2022</v>
      </c>
      <c r="M468" s="38">
        <f t="shared" si="5"/>
        <v>3.303921569</v>
      </c>
      <c r="N468" s="22">
        <f t="shared" si="6"/>
        <v>4088484</v>
      </c>
      <c r="O468" s="20"/>
      <c r="P468" s="22">
        <f t="shared" si="7"/>
        <v>-1063</v>
      </c>
      <c r="Q468" s="38">
        <f t="shared" si="8"/>
        <v>1.736928105</v>
      </c>
      <c r="R468" s="22">
        <f t="shared" si="9"/>
        <v>1129969</v>
      </c>
      <c r="S468" s="20"/>
      <c r="T468" s="22">
        <f t="shared" si="10"/>
        <v>-4719</v>
      </c>
      <c r="U468" s="38">
        <f t="shared" si="11"/>
        <v>7.710784314</v>
      </c>
      <c r="V468" s="22">
        <f t="shared" si="12"/>
        <v>22268961</v>
      </c>
    </row>
    <row r="469">
      <c r="A469" s="2">
        <v>41215.0</v>
      </c>
      <c r="B469" s="5">
        <v>138.0</v>
      </c>
      <c r="C469" s="22">
        <f t="shared" si="2"/>
        <v>2251</v>
      </c>
      <c r="D469" s="22">
        <f t="shared" si="3"/>
        <v>1673</v>
      </c>
      <c r="E469" s="22">
        <f t="shared" si="1"/>
        <v>2500</v>
      </c>
      <c r="F469" s="20"/>
      <c r="G469" s="20"/>
      <c r="H469" s="20"/>
      <c r="I469" s="20"/>
      <c r="J469" s="20"/>
      <c r="K469" s="20"/>
      <c r="L469" s="22">
        <f t="shared" si="4"/>
        <v>-2113</v>
      </c>
      <c r="M469" s="38">
        <f t="shared" si="5"/>
        <v>15.3115942</v>
      </c>
      <c r="N469" s="22">
        <f t="shared" si="6"/>
        <v>4464769</v>
      </c>
      <c r="O469" s="20"/>
      <c r="P469" s="22">
        <f t="shared" si="7"/>
        <v>-1535</v>
      </c>
      <c r="Q469" s="38">
        <f t="shared" si="8"/>
        <v>11.12318841</v>
      </c>
      <c r="R469" s="22">
        <f t="shared" si="9"/>
        <v>2356225</v>
      </c>
      <c r="S469" s="20"/>
      <c r="T469" s="22">
        <f t="shared" si="10"/>
        <v>-2362</v>
      </c>
      <c r="U469" s="38">
        <f t="shared" si="11"/>
        <v>17.11594203</v>
      </c>
      <c r="V469" s="22">
        <f t="shared" si="12"/>
        <v>5579044</v>
      </c>
    </row>
    <row r="470">
      <c r="A470" s="2">
        <v>41218.0</v>
      </c>
      <c r="B470" s="5">
        <v>408.0</v>
      </c>
      <c r="C470" s="22">
        <f t="shared" si="2"/>
        <v>2048</v>
      </c>
      <c r="D470" s="22">
        <f t="shared" si="3"/>
        <v>1670</v>
      </c>
      <c r="E470" s="22">
        <f t="shared" si="1"/>
        <v>1083</v>
      </c>
      <c r="F470" s="20"/>
      <c r="G470" s="20"/>
      <c r="H470" s="20"/>
      <c r="I470" s="20"/>
      <c r="J470" s="20"/>
      <c r="K470" s="20"/>
      <c r="L470" s="22">
        <f t="shared" si="4"/>
        <v>-1640</v>
      </c>
      <c r="M470" s="38">
        <f t="shared" si="5"/>
        <v>4.019607843</v>
      </c>
      <c r="N470" s="22">
        <f t="shared" si="6"/>
        <v>2689600</v>
      </c>
      <c r="O470" s="20"/>
      <c r="P470" s="22">
        <f t="shared" si="7"/>
        <v>-1262</v>
      </c>
      <c r="Q470" s="38">
        <f t="shared" si="8"/>
        <v>3.093137255</v>
      </c>
      <c r="R470" s="22">
        <f t="shared" si="9"/>
        <v>1592644</v>
      </c>
      <c r="S470" s="20"/>
      <c r="T470" s="22">
        <f t="shared" si="10"/>
        <v>-675</v>
      </c>
      <c r="U470" s="38">
        <f t="shared" si="11"/>
        <v>1.654411765</v>
      </c>
      <c r="V470" s="22">
        <f t="shared" si="12"/>
        <v>455625</v>
      </c>
    </row>
    <row r="471">
      <c r="A471" s="2">
        <v>41219.0</v>
      </c>
      <c r="B471" s="5">
        <v>3084.0</v>
      </c>
      <c r="C471" s="22">
        <f t="shared" si="2"/>
        <v>1958</v>
      </c>
      <c r="D471" s="22">
        <f t="shared" si="3"/>
        <v>1667</v>
      </c>
      <c r="E471" s="22">
        <f t="shared" si="1"/>
        <v>678</v>
      </c>
      <c r="F471" s="20"/>
      <c r="G471" s="20"/>
      <c r="H471" s="20"/>
      <c r="I471" s="20"/>
      <c r="J471" s="20"/>
      <c r="K471" s="20"/>
      <c r="L471" s="22">
        <f t="shared" si="4"/>
        <v>1126</v>
      </c>
      <c r="M471" s="38">
        <f t="shared" si="5"/>
        <v>0.3651102464</v>
      </c>
      <c r="N471" s="22">
        <f t="shared" si="6"/>
        <v>1267876</v>
      </c>
      <c r="O471" s="20"/>
      <c r="P471" s="22">
        <f t="shared" si="7"/>
        <v>1417</v>
      </c>
      <c r="Q471" s="38">
        <f t="shared" si="8"/>
        <v>0.4594682231</v>
      </c>
      <c r="R471" s="22">
        <f t="shared" si="9"/>
        <v>2007889</v>
      </c>
      <c r="S471" s="20"/>
      <c r="T471" s="22">
        <f t="shared" si="10"/>
        <v>2406</v>
      </c>
      <c r="U471" s="38">
        <f t="shared" si="11"/>
        <v>0.780155642</v>
      </c>
      <c r="V471" s="22">
        <f t="shared" si="12"/>
        <v>5788836</v>
      </c>
    </row>
    <row r="472">
      <c r="A472" s="2">
        <v>41220.0</v>
      </c>
      <c r="B472" s="5">
        <v>4494.0</v>
      </c>
      <c r="C472" s="22">
        <f t="shared" si="2"/>
        <v>2560</v>
      </c>
      <c r="D472" s="22">
        <f t="shared" si="3"/>
        <v>1670</v>
      </c>
      <c r="E472" s="22">
        <f t="shared" si="1"/>
        <v>2122</v>
      </c>
      <c r="F472" s="20"/>
      <c r="G472" s="20"/>
      <c r="H472" s="20"/>
      <c r="I472" s="20"/>
      <c r="J472" s="20"/>
      <c r="K472" s="20"/>
      <c r="L472" s="22">
        <f t="shared" si="4"/>
        <v>1934</v>
      </c>
      <c r="M472" s="38">
        <f t="shared" si="5"/>
        <v>0.4303515799</v>
      </c>
      <c r="N472" s="22">
        <f t="shared" si="6"/>
        <v>3740356</v>
      </c>
      <c r="O472" s="20"/>
      <c r="P472" s="22">
        <f t="shared" si="7"/>
        <v>2824</v>
      </c>
      <c r="Q472" s="38">
        <f t="shared" si="8"/>
        <v>0.6283934134</v>
      </c>
      <c r="R472" s="22">
        <f t="shared" si="9"/>
        <v>7974976</v>
      </c>
      <c r="S472" s="20"/>
      <c r="T472" s="22">
        <f t="shared" si="10"/>
        <v>2372</v>
      </c>
      <c r="U472" s="38">
        <f t="shared" si="11"/>
        <v>0.5278148643</v>
      </c>
      <c r="V472" s="22">
        <f t="shared" si="12"/>
        <v>5626384</v>
      </c>
    </row>
    <row r="473">
      <c r="A473" s="2">
        <v>41221.0</v>
      </c>
      <c r="B473" s="5">
        <v>594.0</v>
      </c>
      <c r="C473" s="22">
        <f t="shared" si="2"/>
        <v>1747</v>
      </c>
      <c r="D473" s="22">
        <f t="shared" si="3"/>
        <v>1676</v>
      </c>
      <c r="E473" s="22">
        <f t="shared" si="1"/>
        <v>3545</v>
      </c>
      <c r="F473" s="20"/>
      <c r="G473" s="20"/>
      <c r="H473" s="20"/>
      <c r="I473" s="20"/>
      <c r="J473" s="20"/>
      <c r="K473" s="20"/>
      <c r="L473" s="22">
        <f t="shared" si="4"/>
        <v>-1153</v>
      </c>
      <c r="M473" s="38">
        <f t="shared" si="5"/>
        <v>1.941077441</v>
      </c>
      <c r="N473" s="22">
        <f t="shared" si="6"/>
        <v>1329409</v>
      </c>
      <c r="O473" s="20"/>
      <c r="P473" s="22">
        <f t="shared" si="7"/>
        <v>-1082</v>
      </c>
      <c r="Q473" s="38">
        <f t="shared" si="8"/>
        <v>1.821548822</v>
      </c>
      <c r="R473" s="22">
        <f t="shared" si="9"/>
        <v>1170724</v>
      </c>
      <c r="S473" s="20"/>
      <c r="T473" s="22">
        <f t="shared" si="10"/>
        <v>-2951</v>
      </c>
      <c r="U473" s="38">
        <f t="shared" si="11"/>
        <v>4.968013468</v>
      </c>
      <c r="V473" s="22">
        <f t="shared" si="12"/>
        <v>8708401</v>
      </c>
    </row>
    <row r="474">
      <c r="A474" s="2">
        <v>41222.0</v>
      </c>
      <c r="B474" s="5">
        <v>84.0</v>
      </c>
      <c r="C474" s="22">
        <f t="shared" si="2"/>
        <v>1744</v>
      </c>
      <c r="D474" s="22">
        <f t="shared" si="3"/>
        <v>1674</v>
      </c>
      <c r="E474" s="22">
        <f t="shared" si="1"/>
        <v>1774</v>
      </c>
      <c r="F474" s="20"/>
      <c r="G474" s="20"/>
      <c r="H474" s="20"/>
      <c r="I474" s="20"/>
      <c r="J474" s="20"/>
      <c r="K474" s="20"/>
      <c r="L474" s="22">
        <f t="shared" si="4"/>
        <v>-1660</v>
      </c>
      <c r="M474" s="38">
        <f t="shared" si="5"/>
        <v>19.76190476</v>
      </c>
      <c r="N474" s="22">
        <f t="shared" si="6"/>
        <v>2755600</v>
      </c>
      <c r="O474" s="20"/>
      <c r="P474" s="22">
        <f t="shared" si="7"/>
        <v>-1590</v>
      </c>
      <c r="Q474" s="38">
        <f t="shared" si="8"/>
        <v>18.92857143</v>
      </c>
      <c r="R474" s="22">
        <f t="shared" si="9"/>
        <v>2528100</v>
      </c>
      <c r="S474" s="20"/>
      <c r="T474" s="22">
        <f t="shared" si="10"/>
        <v>-1690</v>
      </c>
      <c r="U474" s="38">
        <f t="shared" si="11"/>
        <v>20.11904762</v>
      </c>
      <c r="V474" s="22">
        <f t="shared" si="12"/>
        <v>2856100</v>
      </c>
    </row>
    <row r="475">
      <c r="A475" s="2">
        <v>41225.0</v>
      </c>
      <c r="B475" s="5">
        <v>234.0</v>
      </c>
      <c r="C475" s="22">
        <f t="shared" si="2"/>
        <v>1733</v>
      </c>
      <c r="D475" s="22">
        <f t="shared" si="3"/>
        <v>1670</v>
      </c>
      <c r="E475" s="22">
        <f t="shared" si="1"/>
        <v>760</v>
      </c>
      <c r="F475" s="20"/>
      <c r="G475" s="20"/>
      <c r="H475" s="20"/>
      <c r="I475" s="20"/>
      <c r="J475" s="20"/>
      <c r="K475" s="20"/>
      <c r="L475" s="22">
        <f t="shared" si="4"/>
        <v>-1499</v>
      </c>
      <c r="M475" s="38">
        <f t="shared" si="5"/>
        <v>6.405982906</v>
      </c>
      <c r="N475" s="22">
        <f t="shared" si="6"/>
        <v>2247001</v>
      </c>
      <c r="O475" s="20"/>
      <c r="P475" s="22">
        <f t="shared" si="7"/>
        <v>-1436</v>
      </c>
      <c r="Q475" s="38">
        <f t="shared" si="8"/>
        <v>6.136752137</v>
      </c>
      <c r="R475" s="22">
        <f t="shared" si="9"/>
        <v>2062096</v>
      </c>
      <c r="S475" s="20"/>
      <c r="T475" s="22">
        <f t="shared" si="10"/>
        <v>-526</v>
      </c>
      <c r="U475" s="38">
        <f t="shared" si="11"/>
        <v>2.247863248</v>
      </c>
      <c r="V475" s="22">
        <f t="shared" si="12"/>
        <v>276676</v>
      </c>
    </row>
    <row r="476">
      <c r="A476" s="2">
        <v>41226.0</v>
      </c>
      <c r="B476" s="5">
        <v>3234.0</v>
      </c>
      <c r="C476" s="22">
        <f t="shared" si="2"/>
        <v>1698</v>
      </c>
      <c r="D476" s="22">
        <f t="shared" si="3"/>
        <v>1667</v>
      </c>
      <c r="E476" s="22">
        <f t="shared" si="1"/>
        <v>444</v>
      </c>
      <c r="F476" s="20"/>
      <c r="G476" s="20"/>
      <c r="H476" s="20"/>
      <c r="I476" s="20"/>
      <c r="J476" s="20"/>
      <c r="K476" s="20"/>
      <c r="L476" s="22">
        <f t="shared" si="4"/>
        <v>1536</v>
      </c>
      <c r="M476" s="38">
        <f t="shared" si="5"/>
        <v>0.4749536178</v>
      </c>
      <c r="N476" s="22">
        <f t="shared" si="6"/>
        <v>2359296</v>
      </c>
      <c r="O476" s="20"/>
      <c r="P476" s="22">
        <f t="shared" si="7"/>
        <v>1567</v>
      </c>
      <c r="Q476" s="38">
        <f t="shared" si="8"/>
        <v>0.4845392703</v>
      </c>
      <c r="R476" s="22">
        <f t="shared" si="9"/>
        <v>2455489</v>
      </c>
      <c r="S476" s="20"/>
      <c r="T476" s="22">
        <f t="shared" si="10"/>
        <v>2790</v>
      </c>
      <c r="U476" s="38">
        <f t="shared" si="11"/>
        <v>0.8627087199</v>
      </c>
      <c r="V476" s="22">
        <f t="shared" si="12"/>
        <v>7784100</v>
      </c>
    </row>
    <row r="477">
      <c r="A477" s="2">
        <v>41227.0</v>
      </c>
      <c r="B477" s="5">
        <v>2946.0</v>
      </c>
      <c r="C477" s="22">
        <f t="shared" si="2"/>
        <v>1728</v>
      </c>
      <c r="D477" s="22">
        <f t="shared" si="3"/>
        <v>1671</v>
      </c>
      <c r="E477" s="22">
        <f t="shared" si="1"/>
        <v>2118</v>
      </c>
      <c r="F477" s="20"/>
      <c r="G477" s="20"/>
      <c r="H477" s="20"/>
      <c r="I477" s="20"/>
      <c r="J477" s="20"/>
      <c r="K477" s="20"/>
      <c r="L477" s="22">
        <f t="shared" si="4"/>
        <v>1218</v>
      </c>
      <c r="M477" s="38">
        <f t="shared" si="5"/>
        <v>0.4134419552</v>
      </c>
      <c r="N477" s="22">
        <f t="shared" si="6"/>
        <v>1483524</v>
      </c>
      <c r="O477" s="20"/>
      <c r="P477" s="22">
        <f t="shared" si="7"/>
        <v>1275</v>
      </c>
      <c r="Q477" s="38">
        <f t="shared" si="8"/>
        <v>0.432790224</v>
      </c>
      <c r="R477" s="22">
        <f t="shared" si="9"/>
        <v>1625625</v>
      </c>
      <c r="S477" s="20"/>
      <c r="T477" s="22">
        <f t="shared" si="10"/>
        <v>828</v>
      </c>
      <c r="U477" s="38">
        <f t="shared" si="11"/>
        <v>0.2810590631</v>
      </c>
      <c r="V477" s="22">
        <f t="shared" si="12"/>
        <v>685584</v>
      </c>
    </row>
    <row r="478">
      <c r="A478" s="2">
        <v>41228.0</v>
      </c>
      <c r="B478" s="5">
        <v>720.0</v>
      </c>
      <c r="C478" s="22">
        <f t="shared" si="2"/>
        <v>1418</v>
      </c>
      <c r="D478" s="22">
        <f t="shared" si="3"/>
        <v>1673</v>
      </c>
      <c r="E478" s="22">
        <f t="shared" si="1"/>
        <v>2615</v>
      </c>
      <c r="F478" s="20"/>
      <c r="G478" s="20"/>
      <c r="H478" s="20"/>
      <c r="I478" s="20"/>
      <c r="J478" s="20"/>
      <c r="K478" s="20"/>
      <c r="L478" s="22">
        <f t="shared" si="4"/>
        <v>-698</v>
      </c>
      <c r="M478" s="38">
        <f t="shared" si="5"/>
        <v>0.9694444444</v>
      </c>
      <c r="N478" s="22">
        <f t="shared" si="6"/>
        <v>487204</v>
      </c>
      <c r="O478" s="20"/>
      <c r="P478" s="22">
        <f t="shared" si="7"/>
        <v>-953</v>
      </c>
      <c r="Q478" s="38">
        <f t="shared" si="8"/>
        <v>1.323611111</v>
      </c>
      <c r="R478" s="22">
        <f t="shared" si="9"/>
        <v>908209</v>
      </c>
      <c r="S478" s="20"/>
      <c r="T478" s="22">
        <f t="shared" si="10"/>
        <v>-1895</v>
      </c>
      <c r="U478" s="38">
        <f t="shared" si="11"/>
        <v>2.631944444</v>
      </c>
      <c r="V478" s="22">
        <f t="shared" si="12"/>
        <v>3591025</v>
      </c>
    </row>
    <row r="479">
      <c r="A479" s="2">
        <v>41229.0</v>
      </c>
      <c r="B479" s="5">
        <v>114.0</v>
      </c>
      <c r="C479" s="22">
        <f t="shared" si="2"/>
        <v>1444</v>
      </c>
      <c r="D479" s="22">
        <f t="shared" si="3"/>
        <v>1671</v>
      </c>
      <c r="E479" s="22">
        <f t="shared" si="1"/>
        <v>1478</v>
      </c>
      <c r="F479" s="20"/>
      <c r="G479" s="20"/>
      <c r="H479" s="20"/>
      <c r="I479" s="20"/>
      <c r="J479" s="20"/>
      <c r="K479" s="20"/>
      <c r="L479" s="22">
        <f t="shared" si="4"/>
        <v>-1330</v>
      </c>
      <c r="M479" s="38">
        <f t="shared" si="5"/>
        <v>11.66666667</v>
      </c>
      <c r="N479" s="22">
        <f t="shared" si="6"/>
        <v>1768900</v>
      </c>
      <c r="O479" s="20"/>
      <c r="P479" s="22">
        <f t="shared" si="7"/>
        <v>-1557</v>
      </c>
      <c r="Q479" s="38">
        <f t="shared" si="8"/>
        <v>13.65789474</v>
      </c>
      <c r="R479" s="22">
        <f t="shared" si="9"/>
        <v>2424249</v>
      </c>
      <c r="S479" s="20"/>
      <c r="T479" s="22">
        <f t="shared" si="10"/>
        <v>-1364</v>
      </c>
      <c r="U479" s="38">
        <f t="shared" si="11"/>
        <v>11.96491228</v>
      </c>
      <c r="V479" s="22">
        <f t="shared" si="12"/>
        <v>1860496</v>
      </c>
    </row>
    <row r="480">
      <c r="A480" s="2">
        <v>41232.0</v>
      </c>
      <c r="B480" s="5">
        <v>768.0</v>
      </c>
      <c r="C480" s="22">
        <f t="shared" si="2"/>
        <v>1450</v>
      </c>
      <c r="D480" s="22">
        <f t="shared" si="3"/>
        <v>1668</v>
      </c>
      <c r="E480" s="22">
        <f t="shared" si="1"/>
        <v>660</v>
      </c>
      <c r="F480" s="20"/>
      <c r="G480" s="20"/>
      <c r="H480" s="20"/>
      <c r="I480" s="20"/>
      <c r="J480" s="20"/>
      <c r="K480" s="20"/>
      <c r="L480" s="22">
        <f t="shared" si="4"/>
        <v>-682</v>
      </c>
      <c r="M480" s="38">
        <f t="shared" si="5"/>
        <v>0.8880208333</v>
      </c>
      <c r="N480" s="22">
        <f t="shared" si="6"/>
        <v>465124</v>
      </c>
      <c r="O480" s="20"/>
      <c r="P480" s="22">
        <f t="shared" si="7"/>
        <v>-900</v>
      </c>
      <c r="Q480" s="38">
        <f t="shared" si="8"/>
        <v>1.171875</v>
      </c>
      <c r="R480" s="22">
        <f t="shared" si="9"/>
        <v>810000</v>
      </c>
      <c r="S480" s="20"/>
      <c r="T480" s="22">
        <f t="shared" si="10"/>
        <v>108</v>
      </c>
      <c r="U480" s="38">
        <f t="shared" si="11"/>
        <v>0.140625</v>
      </c>
      <c r="V480" s="22">
        <f t="shared" si="12"/>
        <v>11664</v>
      </c>
    </row>
    <row r="481">
      <c r="A481" s="2">
        <v>41233.0</v>
      </c>
      <c r="B481" s="5">
        <v>8664.0</v>
      </c>
      <c r="C481" s="22">
        <f t="shared" si="2"/>
        <v>1556</v>
      </c>
      <c r="D481" s="22">
        <f t="shared" si="3"/>
        <v>1666</v>
      </c>
      <c r="E481" s="22">
        <f t="shared" si="1"/>
        <v>725</v>
      </c>
      <c r="F481" s="20"/>
      <c r="G481" s="20"/>
      <c r="H481" s="20"/>
      <c r="I481" s="20"/>
      <c r="J481" s="20"/>
      <c r="K481" s="20"/>
      <c r="L481" s="22">
        <f t="shared" si="4"/>
        <v>7108</v>
      </c>
      <c r="M481" s="38">
        <f t="shared" si="5"/>
        <v>0.8204062789</v>
      </c>
      <c r="N481" s="22">
        <f t="shared" si="6"/>
        <v>50523664</v>
      </c>
      <c r="O481" s="20"/>
      <c r="P481" s="22">
        <f t="shared" si="7"/>
        <v>6998</v>
      </c>
      <c r="Q481" s="38">
        <f t="shared" si="8"/>
        <v>0.8077100646</v>
      </c>
      <c r="R481" s="22">
        <f t="shared" si="9"/>
        <v>48972004</v>
      </c>
      <c r="S481" s="20"/>
      <c r="T481" s="22">
        <f t="shared" si="10"/>
        <v>7939</v>
      </c>
      <c r="U481" s="38">
        <f t="shared" si="11"/>
        <v>0.9163204063</v>
      </c>
      <c r="V481" s="22">
        <f t="shared" si="12"/>
        <v>63027721</v>
      </c>
    </row>
    <row r="482">
      <c r="A482" s="2">
        <v>41234.0</v>
      </c>
      <c r="B482" s="5">
        <v>156.0</v>
      </c>
      <c r="C482" s="22">
        <f t="shared" si="2"/>
        <v>2642</v>
      </c>
      <c r="D482" s="22">
        <f t="shared" si="3"/>
        <v>1681</v>
      </c>
      <c r="E482" s="22">
        <f t="shared" si="1"/>
        <v>5488</v>
      </c>
      <c r="F482" s="20"/>
      <c r="G482" s="20"/>
      <c r="H482" s="20"/>
      <c r="I482" s="20"/>
      <c r="J482" s="20"/>
      <c r="K482" s="20"/>
      <c r="L482" s="22">
        <f t="shared" si="4"/>
        <v>-2486</v>
      </c>
      <c r="M482" s="38">
        <f t="shared" si="5"/>
        <v>15.93589744</v>
      </c>
      <c r="N482" s="22">
        <f t="shared" si="6"/>
        <v>6180196</v>
      </c>
      <c r="O482" s="20"/>
      <c r="P482" s="22">
        <f t="shared" si="7"/>
        <v>-1525</v>
      </c>
      <c r="Q482" s="38">
        <f t="shared" si="8"/>
        <v>9.775641026</v>
      </c>
      <c r="R482" s="22">
        <f t="shared" si="9"/>
        <v>2325625</v>
      </c>
      <c r="S482" s="20"/>
      <c r="T482" s="22">
        <f t="shared" si="10"/>
        <v>-5332</v>
      </c>
      <c r="U482" s="38">
        <f t="shared" si="11"/>
        <v>34.17948718</v>
      </c>
      <c r="V482" s="22">
        <f t="shared" si="12"/>
        <v>28430224</v>
      </c>
    </row>
    <row r="483">
      <c r="A483" s="2">
        <v>41239.0</v>
      </c>
      <c r="B483" s="5">
        <v>90.0</v>
      </c>
      <c r="C483" s="22">
        <f t="shared" si="2"/>
        <v>2084</v>
      </c>
      <c r="D483" s="22">
        <f t="shared" si="3"/>
        <v>1678</v>
      </c>
      <c r="E483" s="22">
        <f t="shared" si="1"/>
        <v>2289</v>
      </c>
      <c r="F483" s="20"/>
      <c r="G483" s="20"/>
      <c r="H483" s="20"/>
      <c r="I483" s="20"/>
      <c r="J483" s="20"/>
      <c r="K483" s="20"/>
      <c r="L483" s="22">
        <f t="shared" si="4"/>
        <v>-1994</v>
      </c>
      <c r="M483" s="38">
        <f t="shared" si="5"/>
        <v>22.15555556</v>
      </c>
      <c r="N483" s="22">
        <f t="shared" si="6"/>
        <v>3976036</v>
      </c>
      <c r="O483" s="20"/>
      <c r="P483" s="22">
        <f t="shared" si="7"/>
        <v>-1588</v>
      </c>
      <c r="Q483" s="38">
        <f t="shared" si="8"/>
        <v>17.64444444</v>
      </c>
      <c r="R483" s="22">
        <f t="shared" si="9"/>
        <v>2521744</v>
      </c>
      <c r="S483" s="20"/>
      <c r="T483" s="22">
        <f t="shared" si="10"/>
        <v>-2199</v>
      </c>
      <c r="U483" s="38">
        <f t="shared" si="11"/>
        <v>24.43333333</v>
      </c>
      <c r="V483" s="22">
        <f t="shared" si="12"/>
        <v>4835601</v>
      </c>
    </row>
    <row r="484">
      <c r="A484" s="2">
        <v>41240.0</v>
      </c>
      <c r="B484" s="5">
        <v>324.0</v>
      </c>
      <c r="C484" s="22">
        <f t="shared" si="2"/>
        <v>1958</v>
      </c>
      <c r="D484" s="22">
        <f t="shared" si="3"/>
        <v>1674</v>
      </c>
      <c r="E484" s="22">
        <f t="shared" si="1"/>
        <v>970</v>
      </c>
      <c r="F484" s="20"/>
      <c r="G484" s="20"/>
      <c r="H484" s="20"/>
      <c r="I484" s="20"/>
      <c r="J484" s="20"/>
      <c r="K484" s="20"/>
      <c r="L484" s="22">
        <f t="shared" si="4"/>
        <v>-1634</v>
      </c>
      <c r="M484" s="38">
        <f t="shared" si="5"/>
        <v>5.043209877</v>
      </c>
      <c r="N484" s="22">
        <f t="shared" si="6"/>
        <v>2669956</v>
      </c>
      <c r="O484" s="20"/>
      <c r="P484" s="22">
        <f t="shared" si="7"/>
        <v>-1350</v>
      </c>
      <c r="Q484" s="38">
        <f t="shared" si="8"/>
        <v>4.166666667</v>
      </c>
      <c r="R484" s="22">
        <f t="shared" si="9"/>
        <v>1822500</v>
      </c>
      <c r="S484" s="20"/>
      <c r="T484" s="22">
        <f t="shared" si="10"/>
        <v>-646</v>
      </c>
      <c r="U484" s="38">
        <f t="shared" si="11"/>
        <v>1.99382716</v>
      </c>
      <c r="V484" s="22">
        <f t="shared" si="12"/>
        <v>417316</v>
      </c>
    </row>
    <row r="485">
      <c r="A485" s="2">
        <v>41241.0</v>
      </c>
      <c r="B485" s="5">
        <v>2322.0</v>
      </c>
      <c r="C485" s="22">
        <f t="shared" si="2"/>
        <v>2000</v>
      </c>
      <c r="D485" s="22">
        <f t="shared" si="3"/>
        <v>1672</v>
      </c>
      <c r="E485" s="22">
        <f t="shared" si="1"/>
        <v>582</v>
      </c>
      <c r="F485" s="20"/>
      <c r="G485" s="20"/>
      <c r="H485" s="20"/>
      <c r="I485" s="20"/>
      <c r="J485" s="20"/>
      <c r="K485" s="20"/>
      <c r="L485" s="22">
        <f t="shared" si="4"/>
        <v>322</v>
      </c>
      <c r="M485" s="38">
        <f t="shared" si="5"/>
        <v>0.1386735573</v>
      </c>
      <c r="N485" s="22">
        <f t="shared" si="6"/>
        <v>103684</v>
      </c>
      <c r="O485" s="20"/>
      <c r="P485" s="22">
        <f t="shared" si="7"/>
        <v>650</v>
      </c>
      <c r="Q485" s="38">
        <f t="shared" si="8"/>
        <v>0.2799310939</v>
      </c>
      <c r="R485" s="22">
        <f t="shared" si="9"/>
        <v>422500</v>
      </c>
      <c r="S485" s="20"/>
      <c r="T485" s="22">
        <f t="shared" si="10"/>
        <v>1740</v>
      </c>
      <c r="U485" s="38">
        <f t="shared" si="11"/>
        <v>0.7493540052</v>
      </c>
      <c r="V485" s="22">
        <f t="shared" si="12"/>
        <v>3027600</v>
      </c>
    </row>
    <row r="486">
      <c r="A486" s="2">
        <v>41242.0</v>
      </c>
      <c r="B486" s="5">
        <v>564.0</v>
      </c>
      <c r="C486" s="22">
        <f t="shared" si="2"/>
        <v>2311</v>
      </c>
      <c r="D486" s="22">
        <f t="shared" si="3"/>
        <v>1673</v>
      </c>
      <c r="E486" s="22">
        <f t="shared" si="1"/>
        <v>1626</v>
      </c>
      <c r="F486" s="20"/>
      <c r="G486" s="20"/>
      <c r="H486" s="20"/>
      <c r="I486" s="20"/>
      <c r="J486" s="20"/>
      <c r="K486" s="20"/>
      <c r="L486" s="22">
        <f t="shared" si="4"/>
        <v>-1747</v>
      </c>
      <c r="M486" s="38">
        <f t="shared" si="5"/>
        <v>3.09751773</v>
      </c>
      <c r="N486" s="22">
        <f t="shared" si="6"/>
        <v>3052009</v>
      </c>
      <c r="O486" s="20"/>
      <c r="P486" s="22">
        <f t="shared" si="7"/>
        <v>-1109</v>
      </c>
      <c r="Q486" s="38">
        <f t="shared" si="8"/>
        <v>1.966312057</v>
      </c>
      <c r="R486" s="22">
        <f t="shared" si="9"/>
        <v>1229881</v>
      </c>
      <c r="S486" s="20"/>
      <c r="T486" s="22">
        <f t="shared" si="10"/>
        <v>-1062</v>
      </c>
      <c r="U486" s="38">
        <f t="shared" si="11"/>
        <v>1.882978723</v>
      </c>
      <c r="V486" s="22">
        <f t="shared" si="12"/>
        <v>1127844</v>
      </c>
    </row>
    <row r="487">
      <c r="A487" s="2">
        <v>41243.0</v>
      </c>
      <c r="B487" s="5">
        <v>162.0</v>
      </c>
      <c r="C487" s="22">
        <f t="shared" si="2"/>
        <v>691</v>
      </c>
      <c r="D487" s="22">
        <f t="shared" si="3"/>
        <v>1671</v>
      </c>
      <c r="E487" s="22">
        <f t="shared" si="1"/>
        <v>989</v>
      </c>
      <c r="F487" s="20"/>
      <c r="G487" s="20"/>
      <c r="H487" s="20"/>
      <c r="I487" s="20"/>
      <c r="J487" s="20"/>
      <c r="K487" s="20"/>
      <c r="L487" s="22">
        <f t="shared" si="4"/>
        <v>-529</v>
      </c>
      <c r="M487" s="38">
        <f t="shared" si="5"/>
        <v>3.265432099</v>
      </c>
      <c r="N487" s="22">
        <f t="shared" si="6"/>
        <v>279841</v>
      </c>
      <c r="O487" s="20"/>
      <c r="P487" s="22">
        <f t="shared" si="7"/>
        <v>-1509</v>
      </c>
      <c r="Q487" s="38">
        <f t="shared" si="8"/>
        <v>9.314814815</v>
      </c>
      <c r="R487" s="22">
        <f t="shared" si="9"/>
        <v>2277081</v>
      </c>
      <c r="S487" s="20"/>
      <c r="T487" s="22">
        <f t="shared" si="10"/>
        <v>-827</v>
      </c>
      <c r="U487" s="38">
        <f t="shared" si="11"/>
        <v>5.104938272</v>
      </c>
      <c r="V487" s="22">
        <f t="shared" si="12"/>
        <v>683929</v>
      </c>
    </row>
    <row r="488">
      <c r="A488" s="2">
        <v>41246.0</v>
      </c>
      <c r="B488" s="5">
        <v>222.0</v>
      </c>
      <c r="C488" s="22">
        <f t="shared" si="2"/>
        <v>692</v>
      </c>
      <c r="D488" s="22">
        <f t="shared" si="3"/>
        <v>1667</v>
      </c>
      <c r="E488" s="22">
        <f t="shared" si="1"/>
        <v>493</v>
      </c>
      <c r="F488" s="20"/>
      <c r="G488" s="20"/>
      <c r="H488" s="20"/>
      <c r="I488" s="20"/>
      <c r="J488" s="20"/>
      <c r="K488" s="20"/>
      <c r="L488" s="22">
        <f t="shared" si="4"/>
        <v>-470</v>
      </c>
      <c r="M488" s="38">
        <f t="shared" si="5"/>
        <v>2.117117117</v>
      </c>
      <c r="N488" s="22">
        <f t="shared" si="6"/>
        <v>220900</v>
      </c>
      <c r="O488" s="20"/>
      <c r="P488" s="22">
        <f t="shared" si="7"/>
        <v>-1445</v>
      </c>
      <c r="Q488" s="38">
        <f t="shared" si="8"/>
        <v>6.509009009</v>
      </c>
      <c r="R488" s="22">
        <f t="shared" si="9"/>
        <v>2088025</v>
      </c>
      <c r="S488" s="20"/>
      <c r="T488" s="22">
        <f t="shared" si="10"/>
        <v>-271</v>
      </c>
      <c r="U488" s="38">
        <f t="shared" si="11"/>
        <v>1.220720721</v>
      </c>
      <c r="V488" s="22">
        <f t="shared" si="12"/>
        <v>73441</v>
      </c>
    </row>
    <row r="489">
      <c r="A489" s="2">
        <v>41247.0</v>
      </c>
      <c r="B489" s="5">
        <v>2550.0</v>
      </c>
      <c r="C489" s="22">
        <f t="shared" si="2"/>
        <v>719</v>
      </c>
      <c r="D489" s="22">
        <f t="shared" si="3"/>
        <v>1665</v>
      </c>
      <c r="E489" s="22">
        <f t="shared" si="1"/>
        <v>330</v>
      </c>
      <c r="F489" s="20"/>
      <c r="G489" s="20"/>
      <c r="H489" s="20"/>
      <c r="I489" s="20"/>
      <c r="J489" s="20"/>
      <c r="K489" s="20"/>
      <c r="L489" s="22">
        <f t="shared" si="4"/>
        <v>1831</v>
      </c>
      <c r="M489" s="38">
        <f t="shared" si="5"/>
        <v>0.7180392157</v>
      </c>
      <c r="N489" s="22">
        <f t="shared" si="6"/>
        <v>3352561</v>
      </c>
      <c r="O489" s="20"/>
      <c r="P489" s="22">
        <f t="shared" si="7"/>
        <v>885</v>
      </c>
      <c r="Q489" s="38">
        <f t="shared" si="8"/>
        <v>0.3470588235</v>
      </c>
      <c r="R489" s="22">
        <f t="shared" si="9"/>
        <v>783225</v>
      </c>
      <c r="S489" s="20"/>
      <c r="T489" s="22">
        <f t="shared" si="10"/>
        <v>2220</v>
      </c>
      <c r="U489" s="38">
        <f t="shared" si="11"/>
        <v>0.8705882353</v>
      </c>
      <c r="V489" s="22">
        <f t="shared" si="12"/>
        <v>4928400</v>
      </c>
    </row>
    <row r="490">
      <c r="A490" s="2">
        <v>41248.0</v>
      </c>
      <c r="B490" s="5">
        <v>2946.0</v>
      </c>
      <c r="C490" s="22">
        <f t="shared" si="2"/>
        <v>1164</v>
      </c>
      <c r="D490" s="22">
        <f t="shared" si="3"/>
        <v>1666</v>
      </c>
      <c r="E490" s="22">
        <f t="shared" si="1"/>
        <v>1662</v>
      </c>
      <c r="F490" s="20"/>
      <c r="G490" s="20"/>
      <c r="H490" s="20"/>
      <c r="I490" s="20"/>
      <c r="J490" s="20"/>
      <c r="K490" s="20"/>
      <c r="L490" s="22">
        <f t="shared" si="4"/>
        <v>1782</v>
      </c>
      <c r="M490" s="38">
        <f t="shared" si="5"/>
        <v>0.6048879837</v>
      </c>
      <c r="N490" s="22">
        <f t="shared" si="6"/>
        <v>3175524</v>
      </c>
      <c r="O490" s="20"/>
      <c r="P490" s="22">
        <f t="shared" si="7"/>
        <v>1280</v>
      </c>
      <c r="Q490" s="38">
        <f t="shared" si="8"/>
        <v>0.4344874406</v>
      </c>
      <c r="R490" s="22">
        <f t="shared" si="9"/>
        <v>1638400</v>
      </c>
      <c r="S490" s="20"/>
      <c r="T490" s="22">
        <f t="shared" si="10"/>
        <v>1284</v>
      </c>
      <c r="U490" s="38">
        <f t="shared" si="11"/>
        <v>0.4358452138</v>
      </c>
      <c r="V490" s="22">
        <f t="shared" si="12"/>
        <v>1648656</v>
      </c>
    </row>
    <row r="491">
      <c r="A491" s="2">
        <v>41249.0</v>
      </c>
      <c r="B491" s="5">
        <v>654.0</v>
      </c>
      <c r="C491" s="22">
        <f t="shared" si="2"/>
        <v>1289</v>
      </c>
      <c r="D491" s="22">
        <f t="shared" si="3"/>
        <v>1669</v>
      </c>
      <c r="E491" s="22">
        <f t="shared" si="1"/>
        <v>2432</v>
      </c>
      <c r="F491" s="20"/>
      <c r="G491" s="20"/>
      <c r="H491" s="20"/>
      <c r="I491" s="20"/>
      <c r="J491" s="20"/>
      <c r="K491" s="20"/>
      <c r="L491" s="22">
        <f t="shared" si="4"/>
        <v>-635</v>
      </c>
      <c r="M491" s="38">
        <f t="shared" si="5"/>
        <v>0.9709480122</v>
      </c>
      <c r="N491" s="22">
        <f t="shared" si="6"/>
        <v>403225</v>
      </c>
      <c r="O491" s="20"/>
      <c r="P491" s="22">
        <f t="shared" si="7"/>
        <v>-1015</v>
      </c>
      <c r="Q491" s="38">
        <f t="shared" si="8"/>
        <v>1.551987768</v>
      </c>
      <c r="R491" s="22">
        <f t="shared" si="9"/>
        <v>1030225</v>
      </c>
      <c r="S491" s="20"/>
      <c r="T491" s="22">
        <f t="shared" si="10"/>
        <v>-1778</v>
      </c>
      <c r="U491" s="38">
        <f t="shared" si="11"/>
        <v>2.718654434</v>
      </c>
      <c r="V491" s="22">
        <f t="shared" si="12"/>
        <v>3161284</v>
      </c>
    </row>
    <row r="492">
      <c r="A492" s="2">
        <v>41250.0</v>
      </c>
      <c r="B492" s="5">
        <v>132.0</v>
      </c>
      <c r="C492" s="22">
        <f t="shared" si="2"/>
        <v>1307</v>
      </c>
      <c r="D492" s="22">
        <f t="shared" si="3"/>
        <v>1667</v>
      </c>
      <c r="E492" s="22">
        <f t="shared" si="1"/>
        <v>1365</v>
      </c>
      <c r="F492" s="20"/>
      <c r="G492" s="20"/>
      <c r="H492" s="20"/>
      <c r="I492" s="20"/>
      <c r="J492" s="20"/>
      <c r="K492" s="20"/>
      <c r="L492" s="22">
        <f t="shared" si="4"/>
        <v>-1175</v>
      </c>
      <c r="M492" s="38">
        <f t="shared" si="5"/>
        <v>8.901515152</v>
      </c>
      <c r="N492" s="22">
        <f t="shared" si="6"/>
        <v>1380625</v>
      </c>
      <c r="O492" s="20"/>
      <c r="P492" s="22">
        <f t="shared" si="7"/>
        <v>-1535</v>
      </c>
      <c r="Q492" s="38">
        <f t="shared" si="8"/>
        <v>11.62878788</v>
      </c>
      <c r="R492" s="22">
        <f t="shared" si="9"/>
        <v>2356225</v>
      </c>
      <c r="S492" s="20"/>
      <c r="T492" s="22">
        <f t="shared" si="10"/>
        <v>-1233</v>
      </c>
      <c r="U492" s="38">
        <f t="shared" si="11"/>
        <v>9.340909091</v>
      </c>
      <c r="V492" s="22">
        <f t="shared" si="12"/>
        <v>1520289</v>
      </c>
    </row>
    <row r="493">
      <c r="A493" s="2">
        <v>41253.0</v>
      </c>
      <c r="B493" s="5">
        <v>414.0</v>
      </c>
      <c r="C493" s="22">
        <f t="shared" si="2"/>
        <v>1301</v>
      </c>
      <c r="D493" s="22">
        <f t="shared" si="3"/>
        <v>1664</v>
      </c>
      <c r="E493" s="22">
        <f t="shared" si="1"/>
        <v>625</v>
      </c>
      <c r="F493" s="20"/>
      <c r="G493" s="20"/>
      <c r="H493" s="20"/>
      <c r="I493" s="20"/>
      <c r="J493" s="20"/>
      <c r="K493" s="20"/>
      <c r="L493" s="22">
        <f t="shared" si="4"/>
        <v>-887</v>
      </c>
      <c r="M493" s="38">
        <f t="shared" si="5"/>
        <v>2.142512077</v>
      </c>
      <c r="N493" s="22">
        <f t="shared" si="6"/>
        <v>786769</v>
      </c>
      <c r="O493" s="20"/>
      <c r="P493" s="22">
        <f t="shared" si="7"/>
        <v>-1250</v>
      </c>
      <c r="Q493" s="38">
        <f t="shared" si="8"/>
        <v>3.019323671</v>
      </c>
      <c r="R493" s="22">
        <f t="shared" si="9"/>
        <v>1562500</v>
      </c>
      <c r="S493" s="20"/>
      <c r="T493" s="22">
        <f t="shared" si="10"/>
        <v>-211</v>
      </c>
      <c r="U493" s="38">
        <f t="shared" si="11"/>
        <v>0.5096618357</v>
      </c>
      <c r="V493" s="22">
        <f t="shared" si="12"/>
        <v>44521</v>
      </c>
    </row>
    <row r="494">
      <c r="A494" s="2">
        <v>41254.0</v>
      </c>
      <c r="B494" s="5">
        <v>2616.0</v>
      </c>
      <c r="C494" s="22">
        <f t="shared" si="2"/>
        <v>1339</v>
      </c>
      <c r="D494" s="22">
        <f t="shared" si="3"/>
        <v>1661</v>
      </c>
      <c r="E494" s="22">
        <f t="shared" si="1"/>
        <v>498</v>
      </c>
      <c r="F494" s="20"/>
      <c r="G494" s="20"/>
      <c r="H494" s="20"/>
      <c r="I494" s="20"/>
      <c r="J494" s="20"/>
      <c r="K494" s="20"/>
      <c r="L494" s="22">
        <f t="shared" si="4"/>
        <v>1277</v>
      </c>
      <c r="M494" s="38">
        <f t="shared" si="5"/>
        <v>0.4881498471</v>
      </c>
      <c r="N494" s="22">
        <f t="shared" si="6"/>
        <v>1630729</v>
      </c>
      <c r="O494" s="20"/>
      <c r="P494" s="22">
        <f t="shared" si="7"/>
        <v>955</v>
      </c>
      <c r="Q494" s="38">
        <f t="shared" si="8"/>
        <v>0.3650611621</v>
      </c>
      <c r="R494" s="22">
        <f t="shared" si="9"/>
        <v>912025</v>
      </c>
      <c r="S494" s="20"/>
      <c r="T494" s="22">
        <f t="shared" si="10"/>
        <v>2118</v>
      </c>
      <c r="U494" s="38">
        <f t="shared" si="11"/>
        <v>0.8096330275</v>
      </c>
      <c r="V494" s="22">
        <f t="shared" si="12"/>
        <v>4485924</v>
      </c>
    </row>
    <row r="495">
      <c r="A495" s="2">
        <v>41255.0</v>
      </c>
      <c r="B495" s="5">
        <v>3924.0</v>
      </c>
      <c r="C495" s="22">
        <f t="shared" si="2"/>
        <v>1352</v>
      </c>
      <c r="D495" s="22">
        <f t="shared" si="3"/>
        <v>1663</v>
      </c>
      <c r="E495" s="22">
        <f t="shared" si="1"/>
        <v>1769</v>
      </c>
      <c r="F495" s="20"/>
      <c r="G495" s="20"/>
      <c r="H495" s="20"/>
      <c r="I495" s="20"/>
      <c r="J495" s="20"/>
      <c r="K495" s="20"/>
      <c r="L495" s="22">
        <f t="shared" si="4"/>
        <v>2572</v>
      </c>
      <c r="M495" s="38">
        <f t="shared" si="5"/>
        <v>0.6554536188</v>
      </c>
      <c r="N495" s="22">
        <f t="shared" si="6"/>
        <v>6615184</v>
      </c>
      <c r="O495" s="20"/>
      <c r="P495" s="22">
        <f t="shared" si="7"/>
        <v>2261</v>
      </c>
      <c r="Q495" s="38">
        <f t="shared" si="8"/>
        <v>0.5761977574</v>
      </c>
      <c r="R495" s="22">
        <f t="shared" si="9"/>
        <v>5112121</v>
      </c>
      <c r="S495" s="20"/>
      <c r="T495" s="22">
        <f t="shared" si="10"/>
        <v>2155</v>
      </c>
      <c r="U495" s="38">
        <f t="shared" si="11"/>
        <v>0.5491845056</v>
      </c>
      <c r="V495" s="22">
        <f t="shared" si="12"/>
        <v>4644025</v>
      </c>
    </row>
    <row r="496">
      <c r="A496" s="2">
        <v>41256.0</v>
      </c>
      <c r="B496" s="5">
        <v>294.0</v>
      </c>
      <c r="C496" s="22">
        <f t="shared" si="2"/>
        <v>1548</v>
      </c>
      <c r="D496" s="22">
        <f t="shared" si="3"/>
        <v>1668</v>
      </c>
      <c r="E496" s="22">
        <f t="shared" si="1"/>
        <v>3062</v>
      </c>
      <c r="F496" s="20"/>
      <c r="G496" s="20"/>
      <c r="H496" s="20"/>
      <c r="I496" s="20"/>
      <c r="J496" s="20"/>
      <c r="K496" s="20"/>
      <c r="L496" s="22">
        <f t="shared" si="4"/>
        <v>-1254</v>
      </c>
      <c r="M496" s="38">
        <f t="shared" si="5"/>
        <v>4.265306122</v>
      </c>
      <c r="N496" s="22">
        <f t="shared" si="6"/>
        <v>1572516</v>
      </c>
      <c r="O496" s="20"/>
      <c r="P496" s="22">
        <f t="shared" si="7"/>
        <v>-1374</v>
      </c>
      <c r="Q496" s="38">
        <f t="shared" si="8"/>
        <v>4.673469388</v>
      </c>
      <c r="R496" s="22">
        <f t="shared" si="9"/>
        <v>1887876</v>
      </c>
      <c r="S496" s="20"/>
      <c r="T496" s="22">
        <f t="shared" si="10"/>
        <v>-2768</v>
      </c>
      <c r="U496" s="38">
        <f t="shared" si="11"/>
        <v>9.414965986</v>
      </c>
      <c r="V496" s="22">
        <f t="shared" si="12"/>
        <v>7661824</v>
      </c>
    </row>
    <row r="497">
      <c r="A497" s="2">
        <v>41257.0</v>
      </c>
      <c r="B497" s="5">
        <v>42.0</v>
      </c>
      <c r="C497" s="22">
        <f t="shared" si="2"/>
        <v>1476</v>
      </c>
      <c r="D497" s="22">
        <f t="shared" si="3"/>
        <v>1665</v>
      </c>
      <c r="E497" s="22">
        <f t="shared" si="1"/>
        <v>1401</v>
      </c>
      <c r="F497" s="20"/>
      <c r="G497" s="20"/>
      <c r="H497" s="20"/>
      <c r="I497" s="20"/>
      <c r="J497" s="20"/>
      <c r="K497" s="20"/>
      <c r="L497" s="22">
        <f t="shared" si="4"/>
        <v>-1434</v>
      </c>
      <c r="M497" s="38">
        <f t="shared" si="5"/>
        <v>34.14285714</v>
      </c>
      <c r="N497" s="22">
        <f t="shared" si="6"/>
        <v>2056356</v>
      </c>
      <c r="O497" s="20"/>
      <c r="P497" s="22">
        <f t="shared" si="7"/>
        <v>-1623</v>
      </c>
      <c r="Q497" s="38">
        <f t="shared" si="8"/>
        <v>38.64285714</v>
      </c>
      <c r="R497" s="22">
        <f t="shared" si="9"/>
        <v>2634129</v>
      </c>
      <c r="S497" s="20"/>
      <c r="T497" s="22">
        <f t="shared" si="10"/>
        <v>-1359</v>
      </c>
      <c r="U497" s="38">
        <f t="shared" si="11"/>
        <v>32.35714286</v>
      </c>
      <c r="V497" s="22">
        <f t="shared" si="12"/>
        <v>1846881</v>
      </c>
    </row>
    <row r="498">
      <c r="A498" s="2">
        <v>41260.0</v>
      </c>
      <c r="B498" s="5">
        <v>468.0</v>
      </c>
      <c r="C498" s="22">
        <f t="shared" si="2"/>
        <v>1458</v>
      </c>
      <c r="D498" s="22">
        <f t="shared" si="3"/>
        <v>1662</v>
      </c>
      <c r="E498" s="22">
        <f t="shared" si="1"/>
        <v>586</v>
      </c>
      <c r="F498" s="20"/>
      <c r="G498" s="20"/>
      <c r="H498" s="20"/>
      <c r="I498" s="20"/>
      <c r="J498" s="20"/>
      <c r="K498" s="20"/>
      <c r="L498" s="22">
        <f t="shared" si="4"/>
        <v>-990</v>
      </c>
      <c r="M498" s="38">
        <f t="shared" si="5"/>
        <v>2.115384615</v>
      </c>
      <c r="N498" s="22">
        <f t="shared" si="6"/>
        <v>980100</v>
      </c>
      <c r="O498" s="20"/>
      <c r="P498" s="22">
        <f t="shared" si="7"/>
        <v>-1194</v>
      </c>
      <c r="Q498" s="38">
        <f t="shared" si="8"/>
        <v>2.551282051</v>
      </c>
      <c r="R498" s="22">
        <f t="shared" si="9"/>
        <v>1425636</v>
      </c>
      <c r="S498" s="20"/>
      <c r="T498" s="22">
        <f t="shared" si="10"/>
        <v>-118</v>
      </c>
      <c r="U498" s="38">
        <f t="shared" si="11"/>
        <v>0.2521367521</v>
      </c>
      <c r="V498" s="22">
        <f t="shared" si="12"/>
        <v>13924</v>
      </c>
    </row>
    <row r="499">
      <c r="A499" s="2">
        <v>41261.0</v>
      </c>
      <c r="B499" s="5">
        <v>2850.0</v>
      </c>
      <c r="C499" s="22">
        <f t="shared" si="2"/>
        <v>1469</v>
      </c>
      <c r="D499" s="22">
        <f t="shared" si="3"/>
        <v>1659</v>
      </c>
      <c r="E499" s="22">
        <f t="shared" si="1"/>
        <v>515</v>
      </c>
      <c r="F499" s="20"/>
      <c r="G499" s="20"/>
      <c r="H499" s="20"/>
      <c r="I499" s="20"/>
      <c r="J499" s="20"/>
      <c r="K499" s="20"/>
      <c r="L499" s="22">
        <f t="shared" si="4"/>
        <v>1381</v>
      </c>
      <c r="M499" s="38">
        <f t="shared" si="5"/>
        <v>0.4845614035</v>
      </c>
      <c r="N499" s="22">
        <f t="shared" si="6"/>
        <v>1907161</v>
      </c>
      <c r="O499" s="20"/>
      <c r="P499" s="22">
        <f t="shared" si="7"/>
        <v>1191</v>
      </c>
      <c r="Q499" s="38">
        <f t="shared" si="8"/>
        <v>0.4178947368</v>
      </c>
      <c r="R499" s="22">
        <f t="shared" si="9"/>
        <v>1418481</v>
      </c>
      <c r="S499" s="20"/>
      <c r="T499" s="22">
        <f t="shared" si="10"/>
        <v>2335</v>
      </c>
      <c r="U499" s="38">
        <f t="shared" si="11"/>
        <v>0.8192982456</v>
      </c>
      <c r="V499" s="22">
        <f t="shared" si="12"/>
        <v>5452225</v>
      </c>
    </row>
    <row r="500">
      <c r="A500" s="2">
        <v>41262.0</v>
      </c>
      <c r="B500" s="5">
        <v>6870.0</v>
      </c>
      <c r="C500" s="22">
        <f t="shared" si="2"/>
        <v>1516</v>
      </c>
      <c r="D500" s="22">
        <f t="shared" si="3"/>
        <v>1662</v>
      </c>
      <c r="E500" s="22">
        <f t="shared" si="1"/>
        <v>1916</v>
      </c>
      <c r="F500" s="20"/>
      <c r="G500" s="20"/>
      <c r="H500" s="20"/>
      <c r="I500" s="20"/>
      <c r="J500" s="20"/>
      <c r="K500" s="20"/>
      <c r="L500" s="22">
        <f t="shared" si="4"/>
        <v>5354</v>
      </c>
      <c r="M500" s="38">
        <f t="shared" si="5"/>
        <v>0.7793304221</v>
      </c>
      <c r="N500" s="22">
        <f t="shared" si="6"/>
        <v>28665316</v>
      </c>
      <c r="O500" s="20"/>
      <c r="P500" s="22">
        <f t="shared" si="7"/>
        <v>5208</v>
      </c>
      <c r="Q500" s="38">
        <f t="shared" si="8"/>
        <v>0.7580786026</v>
      </c>
      <c r="R500" s="22">
        <f t="shared" si="9"/>
        <v>27123264</v>
      </c>
      <c r="S500" s="20"/>
      <c r="T500" s="22">
        <f t="shared" si="10"/>
        <v>4954</v>
      </c>
      <c r="U500" s="38">
        <f t="shared" si="11"/>
        <v>0.7211062591</v>
      </c>
      <c r="V500" s="22">
        <f t="shared" si="12"/>
        <v>24542116</v>
      </c>
    </row>
    <row r="501">
      <c r="A501" s="2">
        <v>41263.0</v>
      </c>
      <c r="B501" s="5">
        <v>552.0</v>
      </c>
      <c r="C501" s="22">
        <f t="shared" si="2"/>
        <v>2105</v>
      </c>
      <c r="D501" s="22">
        <f t="shared" si="3"/>
        <v>1672</v>
      </c>
      <c r="E501" s="22">
        <f t="shared" si="1"/>
        <v>4888</v>
      </c>
      <c r="F501" s="20"/>
      <c r="G501" s="20"/>
      <c r="H501" s="20"/>
      <c r="I501" s="20"/>
      <c r="J501" s="20"/>
      <c r="K501" s="20"/>
      <c r="L501" s="22">
        <f t="shared" si="4"/>
        <v>-1553</v>
      </c>
      <c r="M501" s="38">
        <f t="shared" si="5"/>
        <v>2.813405797</v>
      </c>
      <c r="N501" s="22">
        <f t="shared" si="6"/>
        <v>2411809</v>
      </c>
      <c r="O501" s="20"/>
      <c r="P501" s="22">
        <f t="shared" si="7"/>
        <v>-1120</v>
      </c>
      <c r="Q501" s="38">
        <f t="shared" si="8"/>
        <v>2.028985507</v>
      </c>
      <c r="R501" s="22">
        <f t="shared" si="9"/>
        <v>1254400</v>
      </c>
      <c r="S501" s="20"/>
      <c r="T501" s="22">
        <f t="shared" si="10"/>
        <v>-4336</v>
      </c>
      <c r="U501" s="38">
        <f t="shared" si="11"/>
        <v>7.855072464</v>
      </c>
      <c r="V501" s="22">
        <f t="shared" si="12"/>
        <v>18800896</v>
      </c>
    </row>
    <row r="502">
      <c r="A502" s="2">
        <v>41264.0</v>
      </c>
      <c r="B502" s="5">
        <v>726.0</v>
      </c>
      <c r="C502" s="22">
        <f t="shared" si="2"/>
        <v>2156</v>
      </c>
      <c r="D502" s="22">
        <f t="shared" si="3"/>
        <v>1670</v>
      </c>
      <c r="E502" s="22">
        <f t="shared" si="1"/>
        <v>2286</v>
      </c>
      <c r="F502" s="20"/>
      <c r="G502" s="20"/>
      <c r="H502" s="20"/>
      <c r="I502" s="20"/>
      <c r="J502" s="20"/>
      <c r="K502" s="20"/>
      <c r="L502" s="22">
        <f t="shared" si="4"/>
        <v>-1430</v>
      </c>
      <c r="M502" s="38">
        <f t="shared" si="5"/>
        <v>1.96969697</v>
      </c>
      <c r="N502" s="22">
        <f t="shared" si="6"/>
        <v>2044900</v>
      </c>
      <c r="O502" s="20"/>
      <c r="P502" s="22">
        <f t="shared" si="7"/>
        <v>-944</v>
      </c>
      <c r="Q502" s="38">
        <f t="shared" si="8"/>
        <v>1.300275482</v>
      </c>
      <c r="R502" s="22">
        <f t="shared" si="9"/>
        <v>891136</v>
      </c>
      <c r="S502" s="20"/>
      <c r="T502" s="22">
        <f t="shared" si="10"/>
        <v>-1560</v>
      </c>
      <c r="U502" s="38">
        <f t="shared" si="11"/>
        <v>2.148760331</v>
      </c>
      <c r="V502" s="22">
        <f t="shared" si="12"/>
        <v>2433600</v>
      </c>
    </row>
    <row r="503">
      <c r="A503" s="2">
        <v>41267.0</v>
      </c>
      <c r="B503" s="5">
        <v>12.0</v>
      </c>
      <c r="C503" s="22">
        <f t="shared" si="2"/>
        <v>2293</v>
      </c>
      <c r="D503" s="22">
        <f t="shared" si="3"/>
        <v>1668</v>
      </c>
      <c r="E503" s="22">
        <f t="shared" si="1"/>
        <v>1350</v>
      </c>
      <c r="F503" s="20"/>
      <c r="G503" s="20"/>
      <c r="H503" s="20"/>
      <c r="I503" s="20"/>
      <c r="J503" s="20"/>
      <c r="K503" s="20"/>
      <c r="L503" s="22">
        <f t="shared" si="4"/>
        <v>-2281</v>
      </c>
      <c r="M503" s="38">
        <f t="shared" si="5"/>
        <v>190.0833333</v>
      </c>
      <c r="N503" s="22">
        <f t="shared" si="6"/>
        <v>5202961</v>
      </c>
      <c r="O503" s="20"/>
      <c r="P503" s="22">
        <f t="shared" si="7"/>
        <v>-1656</v>
      </c>
      <c r="Q503" s="38">
        <f t="shared" si="8"/>
        <v>138</v>
      </c>
      <c r="R503" s="22">
        <f t="shared" si="9"/>
        <v>2742336</v>
      </c>
      <c r="S503" s="20"/>
      <c r="T503" s="22">
        <f t="shared" si="10"/>
        <v>-1338</v>
      </c>
      <c r="U503" s="38">
        <f t="shared" si="11"/>
        <v>111.5</v>
      </c>
      <c r="V503" s="22">
        <f t="shared" si="12"/>
        <v>1790244</v>
      </c>
    </row>
    <row r="504">
      <c r="A504" s="2">
        <v>41269.0</v>
      </c>
      <c r="B504" s="5">
        <v>2304.0</v>
      </c>
      <c r="C504" s="22">
        <f t="shared" si="2"/>
        <v>2202</v>
      </c>
      <c r="D504" s="22">
        <f t="shared" si="3"/>
        <v>1665</v>
      </c>
      <c r="E504" s="22">
        <f t="shared" si="1"/>
        <v>547</v>
      </c>
      <c r="F504" s="20"/>
      <c r="G504" s="20"/>
      <c r="H504" s="20"/>
      <c r="I504" s="20"/>
      <c r="J504" s="20"/>
      <c r="K504" s="20"/>
      <c r="L504" s="22">
        <f t="shared" si="4"/>
        <v>102</v>
      </c>
      <c r="M504" s="38">
        <f t="shared" si="5"/>
        <v>0.04427083333</v>
      </c>
      <c r="N504" s="22">
        <f t="shared" si="6"/>
        <v>10404</v>
      </c>
      <c r="O504" s="20"/>
      <c r="P504" s="22">
        <f t="shared" si="7"/>
        <v>639</v>
      </c>
      <c r="Q504" s="38">
        <f t="shared" si="8"/>
        <v>0.27734375</v>
      </c>
      <c r="R504" s="22">
        <f t="shared" si="9"/>
        <v>408321</v>
      </c>
      <c r="S504" s="20"/>
      <c r="T504" s="22">
        <f t="shared" si="10"/>
        <v>1757</v>
      </c>
      <c r="U504" s="38">
        <f t="shared" si="11"/>
        <v>0.7625868056</v>
      </c>
      <c r="V504" s="22">
        <f t="shared" si="12"/>
        <v>3087049</v>
      </c>
    </row>
    <row r="505">
      <c r="A505" s="2">
        <v>41270.0</v>
      </c>
      <c r="B505" s="5">
        <v>510.0</v>
      </c>
      <c r="C505" s="22">
        <f t="shared" si="2"/>
        <v>2093</v>
      </c>
      <c r="D505" s="22">
        <f t="shared" si="3"/>
        <v>1666</v>
      </c>
      <c r="E505" s="22">
        <f t="shared" si="1"/>
        <v>1601</v>
      </c>
      <c r="F505" s="20"/>
      <c r="G505" s="20"/>
      <c r="H505" s="20"/>
      <c r="I505" s="20"/>
      <c r="J505" s="20"/>
      <c r="K505" s="20"/>
      <c r="L505" s="22">
        <f t="shared" si="4"/>
        <v>-1583</v>
      </c>
      <c r="M505" s="38">
        <f t="shared" si="5"/>
        <v>3.103921569</v>
      </c>
      <c r="N505" s="22">
        <f t="shared" si="6"/>
        <v>2505889</v>
      </c>
      <c r="O505" s="20"/>
      <c r="P505" s="22">
        <f t="shared" si="7"/>
        <v>-1156</v>
      </c>
      <c r="Q505" s="38">
        <f t="shared" si="8"/>
        <v>2.266666667</v>
      </c>
      <c r="R505" s="22">
        <f t="shared" si="9"/>
        <v>1336336</v>
      </c>
      <c r="S505" s="20"/>
      <c r="T505" s="22">
        <f t="shared" si="10"/>
        <v>-1091</v>
      </c>
      <c r="U505" s="38">
        <f t="shared" si="11"/>
        <v>2.139215686</v>
      </c>
      <c r="V505" s="22">
        <f t="shared" si="12"/>
        <v>1190281</v>
      </c>
    </row>
    <row r="506">
      <c r="A506" s="2">
        <v>41271.0</v>
      </c>
      <c r="B506" s="5">
        <v>84.0</v>
      </c>
      <c r="C506" s="22">
        <f t="shared" si="2"/>
        <v>821</v>
      </c>
      <c r="D506" s="22">
        <f t="shared" si="3"/>
        <v>1664</v>
      </c>
      <c r="E506" s="22">
        <f t="shared" si="1"/>
        <v>946</v>
      </c>
      <c r="F506" s="20"/>
      <c r="G506" s="20"/>
      <c r="H506" s="20"/>
      <c r="I506" s="20"/>
      <c r="J506" s="20"/>
      <c r="K506" s="20"/>
      <c r="L506" s="22">
        <f t="shared" si="4"/>
        <v>-737</v>
      </c>
      <c r="M506" s="38">
        <f t="shared" si="5"/>
        <v>8.773809524</v>
      </c>
      <c r="N506" s="22">
        <f t="shared" si="6"/>
        <v>543169</v>
      </c>
      <c r="O506" s="20"/>
      <c r="P506" s="22">
        <f t="shared" si="7"/>
        <v>-1580</v>
      </c>
      <c r="Q506" s="38">
        <f t="shared" si="8"/>
        <v>18.80952381</v>
      </c>
      <c r="R506" s="22">
        <f t="shared" si="9"/>
        <v>2496400</v>
      </c>
      <c r="S506" s="20"/>
      <c r="T506" s="22">
        <f t="shared" si="10"/>
        <v>-862</v>
      </c>
      <c r="U506" s="38">
        <f t="shared" si="11"/>
        <v>10.26190476</v>
      </c>
      <c r="V506" s="22">
        <f t="shared" si="12"/>
        <v>743044</v>
      </c>
    </row>
    <row r="507">
      <c r="A507" s="2">
        <v>41274.0</v>
      </c>
      <c r="B507" s="5">
        <v>12.0</v>
      </c>
      <c r="C507" s="22">
        <f t="shared" si="2"/>
        <v>727</v>
      </c>
      <c r="D507" s="22">
        <f t="shared" si="3"/>
        <v>1661</v>
      </c>
      <c r="E507" s="22">
        <f t="shared" si="1"/>
        <v>429</v>
      </c>
      <c r="F507" s="20"/>
      <c r="G507" s="20"/>
      <c r="H507" s="20"/>
      <c r="I507" s="20"/>
      <c r="J507" s="20"/>
      <c r="K507" s="20"/>
      <c r="L507" s="22">
        <f t="shared" si="4"/>
        <v>-715</v>
      </c>
      <c r="M507" s="38">
        <f t="shared" si="5"/>
        <v>59.58333333</v>
      </c>
      <c r="N507" s="22">
        <f t="shared" si="6"/>
        <v>511225</v>
      </c>
      <c r="O507" s="20"/>
      <c r="P507" s="22">
        <f t="shared" si="7"/>
        <v>-1649</v>
      </c>
      <c r="Q507" s="38">
        <f t="shared" si="8"/>
        <v>137.4166667</v>
      </c>
      <c r="R507" s="22">
        <f t="shared" si="9"/>
        <v>2719201</v>
      </c>
      <c r="S507" s="20"/>
      <c r="T507" s="22">
        <f t="shared" si="10"/>
        <v>-417</v>
      </c>
      <c r="U507" s="38">
        <f t="shared" si="11"/>
        <v>34.75</v>
      </c>
      <c r="V507" s="22">
        <f t="shared" si="12"/>
        <v>173889</v>
      </c>
    </row>
    <row r="508">
      <c r="A508" s="2">
        <v>41276.0</v>
      </c>
      <c r="B508" s="5">
        <v>4320.0</v>
      </c>
      <c r="C508" s="22">
        <f t="shared" si="2"/>
        <v>584</v>
      </c>
      <c r="D508" s="22">
        <f t="shared" si="3"/>
        <v>1657</v>
      </c>
      <c r="E508" s="22">
        <f t="shared" si="1"/>
        <v>179</v>
      </c>
      <c r="F508" s="20"/>
      <c r="G508" s="20"/>
      <c r="H508" s="20"/>
      <c r="I508" s="20"/>
      <c r="J508" s="20"/>
      <c r="K508" s="20"/>
      <c r="L508" s="22">
        <f t="shared" si="4"/>
        <v>3736</v>
      </c>
      <c r="M508" s="38">
        <f t="shared" si="5"/>
        <v>0.8648148148</v>
      </c>
      <c r="N508" s="22">
        <f t="shared" si="6"/>
        <v>13957696</v>
      </c>
      <c r="O508" s="20"/>
      <c r="P508" s="22">
        <f t="shared" si="7"/>
        <v>2663</v>
      </c>
      <c r="Q508" s="38">
        <f t="shared" si="8"/>
        <v>0.6164351852</v>
      </c>
      <c r="R508" s="22">
        <f t="shared" si="9"/>
        <v>7091569</v>
      </c>
      <c r="S508" s="20"/>
      <c r="T508" s="22">
        <f t="shared" si="10"/>
        <v>4141</v>
      </c>
      <c r="U508" s="38">
        <f t="shared" si="11"/>
        <v>0.9585648148</v>
      </c>
      <c r="V508" s="22">
        <f t="shared" si="12"/>
        <v>17147881</v>
      </c>
    </row>
    <row r="509">
      <c r="A509" s="2">
        <v>41277.0</v>
      </c>
      <c r="B509" s="5">
        <v>318.0</v>
      </c>
      <c r="C509" s="22">
        <f t="shared" si="2"/>
        <v>1446</v>
      </c>
      <c r="D509" s="22">
        <f t="shared" si="3"/>
        <v>1663</v>
      </c>
      <c r="E509" s="22">
        <f t="shared" si="1"/>
        <v>2664</v>
      </c>
      <c r="F509" s="20"/>
      <c r="G509" s="20"/>
      <c r="H509" s="20"/>
      <c r="I509" s="20"/>
      <c r="J509" s="20"/>
      <c r="K509" s="20"/>
      <c r="L509" s="22">
        <f t="shared" si="4"/>
        <v>-1128</v>
      </c>
      <c r="M509" s="38">
        <f t="shared" si="5"/>
        <v>3.547169811</v>
      </c>
      <c r="N509" s="22">
        <f t="shared" si="6"/>
        <v>1272384</v>
      </c>
      <c r="O509" s="20"/>
      <c r="P509" s="22">
        <f t="shared" si="7"/>
        <v>-1345</v>
      </c>
      <c r="Q509" s="38">
        <f t="shared" si="8"/>
        <v>4.229559748</v>
      </c>
      <c r="R509" s="22">
        <f t="shared" si="9"/>
        <v>1809025</v>
      </c>
      <c r="S509" s="20"/>
      <c r="T509" s="22">
        <f t="shared" si="10"/>
        <v>-2346</v>
      </c>
      <c r="U509" s="38">
        <f t="shared" si="11"/>
        <v>7.377358491</v>
      </c>
      <c r="V509" s="22">
        <f t="shared" si="12"/>
        <v>5503716</v>
      </c>
    </row>
    <row r="510">
      <c r="A510" s="2">
        <v>41278.0</v>
      </c>
      <c r="B510" s="5">
        <v>96.0</v>
      </c>
      <c r="C510" s="22">
        <f t="shared" si="2"/>
        <v>1049</v>
      </c>
      <c r="D510" s="22">
        <f t="shared" si="3"/>
        <v>1660</v>
      </c>
      <c r="E510" s="22">
        <f t="shared" si="1"/>
        <v>1256</v>
      </c>
      <c r="F510" s="20"/>
      <c r="G510" s="20"/>
      <c r="H510" s="20"/>
      <c r="I510" s="20"/>
      <c r="J510" s="20"/>
      <c r="K510" s="20"/>
      <c r="L510" s="22">
        <f t="shared" si="4"/>
        <v>-953</v>
      </c>
      <c r="M510" s="38">
        <f t="shared" si="5"/>
        <v>9.927083333</v>
      </c>
      <c r="N510" s="22">
        <f t="shared" si="6"/>
        <v>908209</v>
      </c>
      <c r="O510" s="20"/>
      <c r="P510" s="22">
        <f t="shared" si="7"/>
        <v>-1564</v>
      </c>
      <c r="Q510" s="38">
        <f t="shared" si="8"/>
        <v>16.29166667</v>
      </c>
      <c r="R510" s="22">
        <f t="shared" si="9"/>
        <v>2446096</v>
      </c>
      <c r="S510" s="20"/>
      <c r="T510" s="22">
        <f t="shared" si="10"/>
        <v>-1160</v>
      </c>
      <c r="U510" s="38">
        <f t="shared" si="11"/>
        <v>12.08333333</v>
      </c>
      <c r="V510" s="22">
        <f t="shared" si="12"/>
        <v>1345600</v>
      </c>
    </row>
    <row r="511">
      <c r="A511" s="2">
        <v>41281.0</v>
      </c>
      <c r="B511" s="5">
        <v>180.0</v>
      </c>
      <c r="C511" s="22">
        <f t="shared" si="2"/>
        <v>966</v>
      </c>
      <c r="D511" s="22">
        <f t="shared" si="3"/>
        <v>1657</v>
      </c>
      <c r="E511" s="22">
        <f t="shared" si="1"/>
        <v>560</v>
      </c>
      <c r="F511" s="20"/>
      <c r="G511" s="20"/>
      <c r="H511" s="20"/>
      <c r="I511" s="20"/>
      <c r="J511" s="20"/>
      <c r="K511" s="20"/>
      <c r="L511" s="22">
        <f t="shared" si="4"/>
        <v>-786</v>
      </c>
      <c r="M511" s="38">
        <f t="shared" si="5"/>
        <v>4.366666667</v>
      </c>
      <c r="N511" s="22">
        <f t="shared" si="6"/>
        <v>617796</v>
      </c>
      <c r="O511" s="20"/>
      <c r="P511" s="22">
        <f t="shared" si="7"/>
        <v>-1477</v>
      </c>
      <c r="Q511" s="38">
        <f t="shared" si="8"/>
        <v>8.205555556</v>
      </c>
      <c r="R511" s="22">
        <f t="shared" si="9"/>
        <v>2181529</v>
      </c>
      <c r="S511" s="20"/>
      <c r="T511" s="22">
        <f t="shared" si="10"/>
        <v>-380</v>
      </c>
      <c r="U511" s="38">
        <f t="shared" si="11"/>
        <v>2.111111111</v>
      </c>
      <c r="V511" s="22">
        <f t="shared" si="12"/>
        <v>144400</v>
      </c>
    </row>
    <row r="512">
      <c r="A512" s="2">
        <v>41282.0</v>
      </c>
      <c r="B512" s="5">
        <v>2076.0</v>
      </c>
      <c r="C512" s="22">
        <f t="shared" si="2"/>
        <v>985</v>
      </c>
      <c r="D512" s="22">
        <f t="shared" si="3"/>
        <v>1654</v>
      </c>
      <c r="E512" s="22">
        <f t="shared" si="1"/>
        <v>332</v>
      </c>
      <c r="F512" s="20"/>
      <c r="G512" s="20"/>
      <c r="H512" s="20"/>
      <c r="I512" s="20"/>
      <c r="J512" s="20"/>
      <c r="K512" s="20"/>
      <c r="L512" s="22">
        <f t="shared" si="4"/>
        <v>1091</v>
      </c>
      <c r="M512" s="38">
        <f t="shared" si="5"/>
        <v>0.5255298651</v>
      </c>
      <c r="N512" s="22">
        <f t="shared" si="6"/>
        <v>1190281</v>
      </c>
      <c r="O512" s="20"/>
      <c r="P512" s="22">
        <f t="shared" si="7"/>
        <v>422</v>
      </c>
      <c r="Q512" s="38">
        <f t="shared" si="8"/>
        <v>0.2032755299</v>
      </c>
      <c r="R512" s="22">
        <f t="shared" si="9"/>
        <v>178084</v>
      </c>
      <c r="S512" s="20"/>
      <c r="T512" s="22">
        <f t="shared" si="10"/>
        <v>1744</v>
      </c>
      <c r="U512" s="38">
        <f t="shared" si="11"/>
        <v>0.8400770713</v>
      </c>
      <c r="V512" s="22">
        <f t="shared" si="12"/>
        <v>3041536</v>
      </c>
    </row>
    <row r="513">
      <c r="A513" s="2">
        <v>41283.0</v>
      </c>
      <c r="B513" s="5">
        <v>2754.0</v>
      </c>
      <c r="C513" s="22">
        <f t="shared" si="2"/>
        <v>1398</v>
      </c>
      <c r="D513" s="22">
        <f t="shared" si="3"/>
        <v>1655</v>
      </c>
      <c r="E513" s="22">
        <f t="shared" si="1"/>
        <v>1378</v>
      </c>
      <c r="F513" s="20"/>
      <c r="G513" s="20"/>
      <c r="H513" s="20"/>
      <c r="I513" s="20"/>
      <c r="J513" s="20"/>
      <c r="K513" s="20"/>
      <c r="L513" s="22">
        <f t="shared" si="4"/>
        <v>1356</v>
      </c>
      <c r="M513" s="38">
        <f t="shared" si="5"/>
        <v>0.4923747277</v>
      </c>
      <c r="N513" s="22">
        <f t="shared" si="6"/>
        <v>1838736</v>
      </c>
      <c r="O513" s="20"/>
      <c r="P513" s="22">
        <f t="shared" si="7"/>
        <v>1099</v>
      </c>
      <c r="Q513" s="38">
        <f t="shared" si="8"/>
        <v>0.3990559187</v>
      </c>
      <c r="R513" s="22">
        <f t="shared" si="9"/>
        <v>1207801</v>
      </c>
      <c r="S513" s="20"/>
      <c r="T513" s="22">
        <f t="shared" si="10"/>
        <v>1376</v>
      </c>
      <c r="U513" s="38">
        <f t="shared" si="11"/>
        <v>0.4996368918</v>
      </c>
      <c r="V513" s="22">
        <f t="shared" si="12"/>
        <v>1893376</v>
      </c>
    </row>
    <row r="514">
      <c r="A514" s="2">
        <v>41284.0</v>
      </c>
      <c r="B514" s="5">
        <v>702.0</v>
      </c>
      <c r="C514" s="22">
        <f t="shared" si="2"/>
        <v>1085</v>
      </c>
      <c r="D514" s="22">
        <f t="shared" si="3"/>
        <v>1657</v>
      </c>
      <c r="E514" s="22">
        <f t="shared" si="1"/>
        <v>2204</v>
      </c>
      <c r="F514" s="20"/>
      <c r="G514" s="20"/>
      <c r="H514" s="20"/>
      <c r="I514" s="20"/>
      <c r="J514" s="20"/>
      <c r="K514" s="20"/>
      <c r="L514" s="22">
        <f t="shared" si="4"/>
        <v>-383</v>
      </c>
      <c r="M514" s="38">
        <f t="shared" si="5"/>
        <v>0.5455840456</v>
      </c>
      <c r="N514" s="22">
        <f t="shared" si="6"/>
        <v>146689</v>
      </c>
      <c r="O514" s="20"/>
      <c r="P514" s="22">
        <f t="shared" si="7"/>
        <v>-955</v>
      </c>
      <c r="Q514" s="38">
        <f t="shared" si="8"/>
        <v>1.36039886</v>
      </c>
      <c r="R514" s="22">
        <f t="shared" si="9"/>
        <v>912025</v>
      </c>
      <c r="S514" s="20"/>
      <c r="T514" s="22">
        <f t="shared" si="10"/>
        <v>-1502</v>
      </c>
      <c r="U514" s="38">
        <f t="shared" si="11"/>
        <v>2.13960114</v>
      </c>
      <c r="V514" s="22">
        <f t="shared" si="12"/>
        <v>2256004</v>
      </c>
    </row>
    <row r="515">
      <c r="A515" s="2">
        <v>41285.0</v>
      </c>
      <c r="B515" s="5">
        <v>72.0</v>
      </c>
      <c r="C515" s="22">
        <f t="shared" si="2"/>
        <v>1162</v>
      </c>
      <c r="D515" s="22">
        <f t="shared" si="3"/>
        <v>1655</v>
      </c>
      <c r="E515" s="22">
        <f t="shared" si="1"/>
        <v>1303</v>
      </c>
      <c r="F515" s="20"/>
      <c r="G515" s="20"/>
      <c r="H515" s="20"/>
      <c r="I515" s="20"/>
      <c r="J515" s="20"/>
      <c r="K515" s="20"/>
      <c r="L515" s="22">
        <f t="shared" si="4"/>
        <v>-1090</v>
      </c>
      <c r="M515" s="38">
        <f t="shared" si="5"/>
        <v>15.13888889</v>
      </c>
      <c r="N515" s="22">
        <f t="shared" si="6"/>
        <v>1188100</v>
      </c>
      <c r="O515" s="20"/>
      <c r="P515" s="22">
        <f t="shared" si="7"/>
        <v>-1583</v>
      </c>
      <c r="Q515" s="38">
        <f t="shared" si="8"/>
        <v>21.98611111</v>
      </c>
      <c r="R515" s="22">
        <f t="shared" si="9"/>
        <v>2505889</v>
      </c>
      <c r="S515" s="20"/>
      <c r="T515" s="22">
        <f t="shared" si="10"/>
        <v>-1231</v>
      </c>
      <c r="U515" s="38">
        <f t="shared" si="11"/>
        <v>17.09722222</v>
      </c>
      <c r="V515" s="22">
        <f t="shared" si="12"/>
        <v>1515361</v>
      </c>
    </row>
    <row r="516">
      <c r="A516" s="2">
        <v>41288.0</v>
      </c>
      <c r="B516" s="5">
        <v>312.0</v>
      </c>
      <c r="C516" s="22">
        <f t="shared" si="2"/>
        <v>1157</v>
      </c>
      <c r="D516" s="22">
        <f t="shared" si="3"/>
        <v>1652</v>
      </c>
      <c r="E516" s="22">
        <f t="shared" si="1"/>
        <v>564</v>
      </c>
      <c r="F516" s="20"/>
      <c r="G516" s="20"/>
      <c r="H516" s="20"/>
      <c r="I516" s="20"/>
      <c r="J516" s="20"/>
      <c r="K516" s="20"/>
      <c r="L516" s="22">
        <f t="shared" si="4"/>
        <v>-845</v>
      </c>
      <c r="M516" s="38">
        <f t="shared" si="5"/>
        <v>2.708333333</v>
      </c>
      <c r="N516" s="22">
        <f t="shared" si="6"/>
        <v>714025</v>
      </c>
      <c r="O516" s="20"/>
      <c r="P516" s="22">
        <f t="shared" si="7"/>
        <v>-1340</v>
      </c>
      <c r="Q516" s="38">
        <f t="shared" si="8"/>
        <v>4.294871795</v>
      </c>
      <c r="R516" s="22">
        <f t="shared" si="9"/>
        <v>1795600</v>
      </c>
      <c r="S516" s="20"/>
      <c r="T516" s="22">
        <f t="shared" si="10"/>
        <v>-252</v>
      </c>
      <c r="U516" s="38">
        <f t="shared" si="11"/>
        <v>0.8076923077</v>
      </c>
      <c r="V516" s="22">
        <f t="shared" si="12"/>
        <v>63504</v>
      </c>
    </row>
    <row r="517">
      <c r="A517" s="2">
        <v>41289.0</v>
      </c>
      <c r="B517" s="5">
        <v>2130.0</v>
      </c>
      <c r="C517" s="22">
        <f t="shared" si="2"/>
        <v>1183</v>
      </c>
      <c r="D517" s="22">
        <f t="shared" si="3"/>
        <v>1649</v>
      </c>
      <c r="E517" s="22">
        <f t="shared" si="1"/>
        <v>413</v>
      </c>
      <c r="F517" s="20"/>
      <c r="G517" s="20"/>
      <c r="H517" s="20"/>
      <c r="I517" s="20"/>
      <c r="J517" s="20"/>
      <c r="K517" s="20"/>
      <c r="L517" s="22">
        <f t="shared" si="4"/>
        <v>947</v>
      </c>
      <c r="M517" s="38">
        <f t="shared" si="5"/>
        <v>0.444600939</v>
      </c>
      <c r="N517" s="22">
        <f t="shared" si="6"/>
        <v>896809</v>
      </c>
      <c r="O517" s="20"/>
      <c r="P517" s="22">
        <f t="shared" si="7"/>
        <v>481</v>
      </c>
      <c r="Q517" s="38">
        <f t="shared" si="8"/>
        <v>0.2258215962</v>
      </c>
      <c r="R517" s="22">
        <f t="shared" si="9"/>
        <v>231361</v>
      </c>
      <c r="S517" s="20"/>
      <c r="T517" s="22">
        <f t="shared" si="10"/>
        <v>1717</v>
      </c>
      <c r="U517" s="38">
        <f t="shared" si="11"/>
        <v>0.8061032864</v>
      </c>
      <c r="V517" s="22">
        <f t="shared" si="12"/>
        <v>2948089</v>
      </c>
    </row>
    <row r="518">
      <c r="A518" s="2">
        <v>41290.0</v>
      </c>
      <c r="B518" s="5">
        <v>3720.0</v>
      </c>
      <c r="C518" s="22">
        <f t="shared" si="2"/>
        <v>1194</v>
      </c>
      <c r="D518" s="22">
        <f t="shared" si="3"/>
        <v>1650</v>
      </c>
      <c r="E518" s="22">
        <f t="shared" si="1"/>
        <v>1443</v>
      </c>
      <c r="F518" s="20"/>
      <c r="G518" s="20"/>
      <c r="H518" s="20"/>
      <c r="I518" s="20"/>
      <c r="J518" s="20"/>
      <c r="K518" s="20"/>
      <c r="L518" s="22">
        <f t="shared" si="4"/>
        <v>2526</v>
      </c>
      <c r="M518" s="38">
        <f t="shared" si="5"/>
        <v>0.6790322581</v>
      </c>
      <c r="N518" s="22">
        <f t="shared" si="6"/>
        <v>6380676</v>
      </c>
      <c r="O518" s="20"/>
      <c r="P518" s="22">
        <f t="shared" si="7"/>
        <v>2070</v>
      </c>
      <c r="Q518" s="38">
        <f t="shared" si="8"/>
        <v>0.5564516129</v>
      </c>
      <c r="R518" s="22">
        <f t="shared" si="9"/>
        <v>4284900</v>
      </c>
      <c r="S518" s="20"/>
      <c r="T518" s="22">
        <f t="shared" si="10"/>
        <v>2277</v>
      </c>
      <c r="U518" s="38">
        <f t="shared" si="11"/>
        <v>0.6120967742</v>
      </c>
      <c r="V518" s="22">
        <f t="shared" si="12"/>
        <v>5184729</v>
      </c>
    </row>
    <row r="519">
      <c r="A519" s="2">
        <v>41291.0</v>
      </c>
      <c r="B519" s="5">
        <v>588.0</v>
      </c>
      <c r="C519" s="22">
        <f t="shared" si="2"/>
        <v>1387</v>
      </c>
      <c r="D519" s="22">
        <f t="shared" si="3"/>
        <v>1654</v>
      </c>
      <c r="E519" s="22">
        <f t="shared" si="1"/>
        <v>2809</v>
      </c>
      <c r="F519" s="20"/>
      <c r="G519" s="20"/>
      <c r="H519" s="20"/>
      <c r="I519" s="20"/>
      <c r="J519" s="20"/>
      <c r="K519" s="20"/>
      <c r="L519" s="22">
        <f t="shared" si="4"/>
        <v>-799</v>
      </c>
      <c r="M519" s="38">
        <f t="shared" si="5"/>
        <v>1.358843537</v>
      </c>
      <c r="N519" s="22">
        <f t="shared" si="6"/>
        <v>638401</v>
      </c>
      <c r="O519" s="20"/>
      <c r="P519" s="22">
        <f t="shared" si="7"/>
        <v>-1066</v>
      </c>
      <c r="Q519" s="38">
        <f t="shared" si="8"/>
        <v>1.81292517</v>
      </c>
      <c r="R519" s="22">
        <f t="shared" si="9"/>
        <v>1136356</v>
      </c>
      <c r="S519" s="20"/>
      <c r="T519" s="22">
        <f t="shared" si="10"/>
        <v>-2221</v>
      </c>
      <c r="U519" s="38">
        <f t="shared" si="11"/>
        <v>3.777210884</v>
      </c>
      <c r="V519" s="22">
        <f t="shared" si="12"/>
        <v>4932841</v>
      </c>
    </row>
    <row r="520">
      <c r="A520" s="2">
        <v>41292.0</v>
      </c>
      <c r="B520" s="5">
        <v>168.0</v>
      </c>
      <c r="C520" s="22">
        <f t="shared" si="2"/>
        <v>1364</v>
      </c>
      <c r="D520" s="22">
        <f t="shared" si="3"/>
        <v>1652</v>
      </c>
      <c r="E520" s="22">
        <f t="shared" si="1"/>
        <v>1476</v>
      </c>
      <c r="F520" s="20"/>
      <c r="G520" s="20"/>
      <c r="H520" s="20"/>
      <c r="I520" s="20"/>
      <c r="J520" s="20"/>
      <c r="K520" s="20"/>
      <c r="L520" s="22">
        <f t="shared" si="4"/>
        <v>-1196</v>
      </c>
      <c r="M520" s="38">
        <f t="shared" si="5"/>
        <v>7.119047619</v>
      </c>
      <c r="N520" s="22">
        <f t="shared" si="6"/>
        <v>1430416</v>
      </c>
      <c r="O520" s="20"/>
      <c r="P520" s="22">
        <f t="shared" si="7"/>
        <v>-1484</v>
      </c>
      <c r="Q520" s="38">
        <f t="shared" si="8"/>
        <v>8.833333333</v>
      </c>
      <c r="R520" s="22">
        <f t="shared" si="9"/>
        <v>2202256</v>
      </c>
      <c r="S520" s="20"/>
      <c r="T520" s="22">
        <f t="shared" si="10"/>
        <v>-1308</v>
      </c>
      <c r="U520" s="38">
        <f t="shared" si="11"/>
        <v>7.785714286</v>
      </c>
      <c r="V520" s="22">
        <f t="shared" si="12"/>
        <v>1710864</v>
      </c>
    </row>
    <row r="521">
      <c r="A521" s="2">
        <v>41295.0</v>
      </c>
      <c r="B521" s="5">
        <v>120.0</v>
      </c>
      <c r="C521" s="22">
        <f t="shared" si="2"/>
        <v>1384</v>
      </c>
      <c r="D521" s="22">
        <f t="shared" si="3"/>
        <v>1649</v>
      </c>
      <c r="E521" s="22">
        <f t="shared" si="1"/>
        <v>691</v>
      </c>
      <c r="F521" s="20"/>
      <c r="G521" s="20"/>
      <c r="H521" s="20"/>
      <c r="I521" s="20"/>
      <c r="J521" s="20"/>
      <c r="K521" s="20"/>
      <c r="L521" s="22">
        <f t="shared" si="4"/>
        <v>-1264</v>
      </c>
      <c r="M521" s="38">
        <f t="shared" si="5"/>
        <v>10.53333333</v>
      </c>
      <c r="N521" s="22">
        <f t="shared" si="6"/>
        <v>1597696</v>
      </c>
      <c r="O521" s="20"/>
      <c r="P521" s="22">
        <f t="shared" si="7"/>
        <v>-1529</v>
      </c>
      <c r="Q521" s="38">
        <f t="shared" si="8"/>
        <v>12.74166667</v>
      </c>
      <c r="R521" s="22">
        <f t="shared" si="9"/>
        <v>2337841</v>
      </c>
      <c r="S521" s="20"/>
      <c r="T521" s="22">
        <f t="shared" si="10"/>
        <v>-571</v>
      </c>
      <c r="U521" s="38">
        <f t="shared" si="11"/>
        <v>4.758333333</v>
      </c>
      <c r="V521" s="22">
        <f t="shared" si="12"/>
        <v>326041</v>
      </c>
    </row>
    <row r="522">
      <c r="A522" s="2">
        <v>41296.0</v>
      </c>
      <c r="B522" s="5">
        <v>2076.0</v>
      </c>
      <c r="C522" s="22">
        <f t="shared" si="2"/>
        <v>1345</v>
      </c>
      <c r="D522" s="22">
        <f t="shared" si="3"/>
        <v>1646</v>
      </c>
      <c r="E522" s="22">
        <f t="shared" si="1"/>
        <v>348</v>
      </c>
      <c r="F522" s="20"/>
      <c r="G522" s="20"/>
      <c r="H522" s="20"/>
      <c r="I522" s="20"/>
      <c r="J522" s="20"/>
      <c r="K522" s="20"/>
      <c r="L522" s="22">
        <f t="shared" si="4"/>
        <v>731</v>
      </c>
      <c r="M522" s="38">
        <f t="shared" si="5"/>
        <v>0.3521194605</v>
      </c>
      <c r="N522" s="22">
        <f t="shared" si="6"/>
        <v>534361</v>
      </c>
      <c r="O522" s="20"/>
      <c r="P522" s="22">
        <f t="shared" si="7"/>
        <v>430</v>
      </c>
      <c r="Q522" s="38">
        <f t="shared" si="8"/>
        <v>0.2071290944</v>
      </c>
      <c r="R522" s="22">
        <f t="shared" si="9"/>
        <v>184900</v>
      </c>
      <c r="S522" s="20"/>
      <c r="T522" s="22">
        <f t="shared" si="10"/>
        <v>1728</v>
      </c>
      <c r="U522" s="38">
        <f t="shared" si="11"/>
        <v>0.8323699422</v>
      </c>
      <c r="V522" s="22">
        <f t="shared" si="12"/>
        <v>2985984</v>
      </c>
    </row>
    <row r="523">
      <c r="A523" s="2">
        <v>41297.0</v>
      </c>
      <c r="B523" s="5">
        <v>1902.0</v>
      </c>
      <c r="C523" s="22">
        <f t="shared" si="2"/>
        <v>1334</v>
      </c>
      <c r="D523" s="22">
        <f t="shared" si="3"/>
        <v>1647</v>
      </c>
      <c r="E523" s="22">
        <f t="shared" si="1"/>
        <v>1385</v>
      </c>
      <c r="F523" s="20"/>
      <c r="G523" s="20"/>
      <c r="H523" s="20"/>
      <c r="I523" s="20"/>
      <c r="J523" s="20"/>
      <c r="K523" s="20"/>
      <c r="L523" s="22">
        <f t="shared" si="4"/>
        <v>568</v>
      </c>
      <c r="M523" s="38">
        <f t="shared" si="5"/>
        <v>0.2986330179</v>
      </c>
      <c r="N523" s="22">
        <f t="shared" si="6"/>
        <v>322624</v>
      </c>
      <c r="O523" s="20"/>
      <c r="P523" s="22">
        <f t="shared" si="7"/>
        <v>255</v>
      </c>
      <c r="Q523" s="38">
        <f t="shared" si="8"/>
        <v>0.1340694006</v>
      </c>
      <c r="R523" s="22">
        <f t="shared" si="9"/>
        <v>65025</v>
      </c>
      <c r="S523" s="20"/>
      <c r="T523" s="22">
        <f t="shared" si="10"/>
        <v>517</v>
      </c>
      <c r="U523" s="38">
        <f t="shared" si="11"/>
        <v>0.2718191377</v>
      </c>
      <c r="V523" s="22">
        <f t="shared" si="12"/>
        <v>267289</v>
      </c>
    </row>
    <row r="524">
      <c r="A524" s="2">
        <v>41298.0</v>
      </c>
      <c r="B524" s="5">
        <v>324.0</v>
      </c>
      <c r="C524" s="22">
        <f t="shared" si="2"/>
        <v>971</v>
      </c>
      <c r="D524" s="22">
        <f t="shared" si="3"/>
        <v>1648</v>
      </c>
      <c r="E524" s="22">
        <f t="shared" si="1"/>
        <v>1695</v>
      </c>
      <c r="F524" s="20"/>
      <c r="G524" s="20"/>
      <c r="H524" s="20"/>
      <c r="I524" s="20"/>
      <c r="J524" s="20"/>
      <c r="K524" s="20"/>
      <c r="L524" s="22">
        <f t="shared" si="4"/>
        <v>-647</v>
      </c>
      <c r="M524" s="38">
        <f t="shared" si="5"/>
        <v>1.99691358</v>
      </c>
      <c r="N524" s="22">
        <f t="shared" si="6"/>
        <v>418609</v>
      </c>
      <c r="O524" s="20"/>
      <c r="P524" s="22">
        <f t="shared" si="7"/>
        <v>-1324</v>
      </c>
      <c r="Q524" s="38">
        <f t="shared" si="8"/>
        <v>4.086419753</v>
      </c>
      <c r="R524" s="22">
        <f t="shared" si="9"/>
        <v>1752976</v>
      </c>
      <c r="S524" s="20"/>
      <c r="T524" s="22">
        <f t="shared" si="10"/>
        <v>-1371</v>
      </c>
      <c r="U524" s="38">
        <f t="shared" si="11"/>
        <v>4.231481481</v>
      </c>
      <c r="V524" s="22">
        <f t="shared" si="12"/>
        <v>1879641</v>
      </c>
    </row>
    <row r="525">
      <c r="A525" s="2">
        <v>41299.0</v>
      </c>
      <c r="B525" s="5">
        <v>60.0</v>
      </c>
      <c r="C525" s="22">
        <f t="shared" si="2"/>
        <v>918</v>
      </c>
      <c r="D525" s="22">
        <f t="shared" si="3"/>
        <v>1645</v>
      </c>
      <c r="E525" s="22">
        <f t="shared" si="1"/>
        <v>872</v>
      </c>
      <c r="F525" s="20"/>
      <c r="G525" s="20"/>
      <c r="H525" s="20"/>
      <c r="I525" s="20"/>
      <c r="J525" s="20"/>
      <c r="K525" s="20"/>
      <c r="L525" s="22">
        <f t="shared" si="4"/>
        <v>-858</v>
      </c>
      <c r="M525" s="38">
        <f t="shared" si="5"/>
        <v>14.3</v>
      </c>
      <c r="N525" s="22">
        <f t="shared" si="6"/>
        <v>736164</v>
      </c>
      <c r="O525" s="20"/>
      <c r="P525" s="22">
        <f t="shared" si="7"/>
        <v>-1585</v>
      </c>
      <c r="Q525" s="38">
        <f t="shared" si="8"/>
        <v>26.41666667</v>
      </c>
      <c r="R525" s="22">
        <f t="shared" si="9"/>
        <v>2512225</v>
      </c>
      <c r="S525" s="20"/>
      <c r="T525" s="22">
        <f t="shared" si="10"/>
        <v>-812</v>
      </c>
      <c r="U525" s="38">
        <f t="shared" si="11"/>
        <v>13.53333333</v>
      </c>
      <c r="V525" s="22">
        <f t="shared" si="12"/>
        <v>659344</v>
      </c>
    </row>
    <row r="526">
      <c r="A526" s="2">
        <v>41302.0</v>
      </c>
      <c r="B526" s="5">
        <v>378.0</v>
      </c>
      <c r="C526" s="22">
        <f t="shared" si="2"/>
        <v>896</v>
      </c>
      <c r="D526" s="22">
        <f t="shared" si="3"/>
        <v>1642</v>
      </c>
      <c r="E526" s="22">
        <f t="shared" si="1"/>
        <v>385</v>
      </c>
      <c r="F526" s="20"/>
      <c r="G526" s="20"/>
      <c r="H526" s="20"/>
      <c r="I526" s="20"/>
      <c r="J526" s="20"/>
      <c r="K526" s="20"/>
      <c r="L526" s="22">
        <f t="shared" si="4"/>
        <v>-518</v>
      </c>
      <c r="M526" s="38">
        <f t="shared" si="5"/>
        <v>1.37037037</v>
      </c>
      <c r="N526" s="22">
        <f t="shared" si="6"/>
        <v>268324</v>
      </c>
      <c r="O526" s="20"/>
      <c r="P526" s="22">
        <f t="shared" si="7"/>
        <v>-1264</v>
      </c>
      <c r="Q526" s="38">
        <f t="shared" si="8"/>
        <v>3.343915344</v>
      </c>
      <c r="R526" s="22">
        <f t="shared" si="9"/>
        <v>1597696</v>
      </c>
      <c r="S526" s="20"/>
      <c r="T526" s="22">
        <f t="shared" si="10"/>
        <v>-7</v>
      </c>
      <c r="U526" s="38">
        <f t="shared" si="11"/>
        <v>0.01851851852</v>
      </c>
      <c r="V526" s="22">
        <f t="shared" si="12"/>
        <v>49</v>
      </c>
    </row>
    <row r="527">
      <c r="A527" s="2">
        <v>41303.0</v>
      </c>
      <c r="B527" s="5">
        <v>1836.0</v>
      </c>
      <c r="C527" s="22">
        <f t="shared" si="2"/>
        <v>948</v>
      </c>
      <c r="D527" s="22">
        <f t="shared" si="3"/>
        <v>1640</v>
      </c>
      <c r="E527" s="22">
        <f t="shared" si="1"/>
        <v>381</v>
      </c>
      <c r="F527" s="20"/>
      <c r="G527" s="20"/>
      <c r="H527" s="20"/>
      <c r="I527" s="20"/>
      <c r="J527" s="20"/>
      <c r="K527" s="20"/>
      <c r="L527" s="22">
        <f t="shared" si="4"/>
        <v>888</v>
      </c>
      <c r="M527" s="38">
        <f t="shared" si="5"/>
        <v>0.4836601307</v>
      </c>
      <c r="N527" s="22">
        <f t="shared" si="6"/>
        <v>788544</v>
      </c>
      <c r="O527" s="20"/>
      <c r="P527" s="22">
        <f t="shared" si="7"/>
        <v>196</v>
      </c>
      <c r="Q527" s="38">
        <f t="shared" si="8"/>
        <v>0.1067538126</v>
      </c>
      <c r="R527" s="22">
        <f t="shared" si="9"/>
        <v>38416</v>
      </c>
      <c r="S527" s="20"/>
      <c r="T527" s="22">
        <f t="shared" si="10"/>
        <v>1455</v>
      </c>
      <c r="U527" s="38">
        <f t="shared" si="11"/>
        <v>0.7924836601</v>
      </c>
      <c r="V527" s="22">
        <f t="shared" si="12"/>
        <v>2117025</v>
      </c>
    </row>
    <row r="528">
      <c r="A528" s="2">
        <v>41304.0</v>
      </c>
      <c r="B528" s="5">
        <v>1848.0</v>
      </c>
      <c r="C528" s="22">
        <f t="shared" si="2"/>
        <v>900</v>
      </c>
      <c r="D528" s="22">
        <f t="shared" si="3"/>
        <v>1640</v>
      </c>
      <c r="E528" s="22">
        <f t="shared" si="1"/>
        <v>1254</v>
      </c>
      <c r="F528" s="20"/>
      <c r="G528" s="20"/>
      <c r="H528" s="20"/>
      <c r="I528" s="20"/>
      <c r="J528" s="20"/>
      <c r="K528" s="20"/>
      <c r="L528" s="22">
        <f t="shared" si="4"/>
        <v>948</v>
      </c>
      <c r="M528" s="38">
        <f t="shared" si="5"/>
        <v>0.512987013</v>
      </c>
      <c r="N528" s="22">
        <f t="shared" si="6"/>
        <v>898704</v>
      </c>
      <c r="O528" s="20"/>
      <c r="P528" s="22">
        <f t="shared" si="7"/>
        <v>208</v>
      </c>
      <c r="Q528" s="38">
        <f t="shared" si="8"/>
        <v>0.1125541126</v>
      </c>
      <c r="R528" s="22">
        <f t="shared" si="9"/>
        <v>43264</v>
      </c>
      <c r="S528" s="20"/>
      <c r="T528" s="22">
        <f t="shared" si="10"/>
        <v>594</v>
      </c>
      <c r="U528" s="38">
        <f t="shared" si="11"/>
        <v>0.3214285714</v>
      </c>
      <c r="V528" s="22">
        <f t="shared" si="12"/>
        <v>352836</v>
      </c>
    </row>
    <row r="529">
      <c r="A529" s="2">
        <v>41305.0</v>
      </c>
      <c r="B529" s="5">
        <v>54.0</v>
      </c>
      <c r="C529" s="22">
        <f t="shared" si="2"/>
        <v>889</v>
      </c>
      <c r="D529" s="22">
        <f t="shared" si="3"/>
        <v>1640</v>
      </c>
      <c r="E529" s="22">
        <f t="shared" si="1"/>
        <v>1610</v>
      </c>
      <c r="F529" s="20"/>
      <c r="G529" s="20"/>
      <c r="H529" s="20"/>
      <c r="I529" s="20"/>
      <c r="J529" s="20"/>
      <c r="K529" s="20"/>
      <c r="L529" s="22">
        <f t="shared" si="4"/>
        <v>-835</v>
      </c>
      <c r="M529" s="38">
        <f t="shared" si="5"/>
        <v>15.46296296</v>
      </c>
      <c r="N529" s="22">
        <f t="shared" si="6"/>
        <v>697225</v>
      </c>
      <c r="O529" s="20"/>
      <c r="P529" s="22">
        <f t="shared" si="7"/>
        <v>-1586</v>
      </c>
      <c r="Q529" s="38">
        <f t="shared" si="8"/>
        <v>29.37037037</v>
      </c>
      <c r="R529" s="22">
        <f t="shared" si="9"/>
        <v>2515396</v>
      </c>
      <c r="S529" s="20"/>
      <c r="T529" s="22">
        <f t="shared" si="10"/>
        <v>-1556</v>
      </c>
      <c r="U529" s="38">
        <f t="shared" si="11"/>
        <v>28.81481481</v>
      </c>
      <c r="V529" s="22">
        <f t="shared" si="12"/>
        <v>2421136</v>
      </c>
    </row>
    <row r="530">
      <c r="A530" s="2">
        <v>41306.0</v>
      </c>
      <c r="B530" s="5">
        <v>732.0</v>
      </c>
      <c r="C530" s="22">
        <f t="shared" si="2"/>
        <v>835</v>
      </c>
      <c r="D530" s="22">
        <f t="shared" si="3"/>
        <v>1637</v>
      </c>
      <c r="E530" s="22">
        <f t="shared" si="1"/>
        <v>676</v>
      </c>
      <c r="F530" s="20"/>
      <c r="G530" s="20"/>
      <c r="H530" s="20"/>
      <c r="I530" s="20"/>
      <c r="J530" s="20"/>
      <c r="K530" s="20"/>
      <c r="L530" s="22">
        <f t="shared" si="4"/>
        <v>-103</v>
      </c>
      <c r="M530" s="38">
        <f t="shared" si="5"/>
        <v>0.1407103825</v>
      </c>
      <c r="N530" s="22">
        <f t="shared" si="6"/>
        <v>10609</v>
      </c>
      <c r="O530" s="20"/>
      <c r="P530" s="22">
        <f t="shared" si="7"/>
        <v>-905</v>
      </c>
      <c r="Q530" s="38">
        <f t="shared" si="8"/>
        <v>1.236338798</v>
      </c>
      <c r="R530" s="22">
        <f t="shared" si="9"/>
        <v>819025</v>
      </c>
      <c r="S530" s="20"/>
      <c r="T530" s="22">
        <f t="shared" si="10"/>
        <v>56</v>
      </c>
      <c r="U530" s="38">
        <f t="shared" si="11"/>
        <v>0.07650273224</v>
      </c>
      <c r="V530" s="22">
        <f t="shared" si="12"/>
        <v>3136</v>
      </c>
    </row>
    <row r="531">
      <c r="A531" s="2">
        <v>41309.0</v>
      </c>
      <c r="B531" s="5">
        <v>264.0</v>
      </c>
      <c r="C531" s="22">
        <f t="shared" si="2"/>
        <v>970</v>
      </c>
      <c r="D531" s="22">
        <f t="shared" si="3"/>
        <v>1636</v>
      </c>
      <c r="E531" s="22">
        <f t="shared" si="1"/>
        <v>710</v>
      </c>
      <c r="F531" s="20"/>
      <c r="G531" s="20"/>
      <c r="H531" s="20"/>
      <c r="I531" s="20"/>
      <c r="J531" s="20"/>
      <c r="K531" s="20"/>
      <c r="L531" s="22">
        <f t="shared" si="4"/>
        <v>-706</v>
      </c>
      <c r="M531" s="38">
        <f t="shared" si="5"/>
        <v>2.674242424</v>
      </c>
      <c r="N531" s="22">
        <f t="shared" si="6"/>
        <v>498436</v>
      </c>
      <c r="O531" s="20"/>
      <c r="P531" s="22">
        <f t="shared" si="7"/>
        <v>-1372</v>
      </c>
      <c r="Q531" s="38">
        <f t="shared" si="8"/>
        <v>5.196969697</v>
      </c>
      <c r="R531" s="22">
        <f t="shared" si="9"/>
        <v>1882384</v>
      </c>
      <c r="S531" s="20"/>
      <c r="T531" s="22">
        <f t="shared" si="10"/>
        <v>-446</v>
      </c>
      <c r="U531" s="38">
        <f t="shared" si="11"/>
        <v>1.689393939</v>
      </c>
      <c r="V531" s="22">
        <f t="shared" si="12"/>
        <v>198916</v>
      </c>
    </row>
    <row r="532">
      <c r="A532" s="2">
        <v>41310.0</v>
      </c>
      <c r="B532" s="5">
        <v>66.0</v>
      </c>
      <c r="C532" s="22">
        <f t="shared" si="2"/>
        <v>947</v>
      </c>
      <c r="D532" s="22">
        <f t="shared" si="3"/>
        <v>1633</v>
      </c>
      <c r="E532" s="22">
        <f t="shared" si="1"/>
        <v>442</v>
      </c>
      <c r="F532" s="20"/>
      <c r="G532" s="20"/>
      <c r="H532" s="20"/>
      <c r="I532" s="20"/>
      <c r="J532" s="20"/>
      <c r="K532" s="20"/>
      <c r="L532" s="22">
        <f t="shared" si="4"/>
        <v>-881</v>
      </c>
      <c r="M532" s="38">
        <f t="shared" si="5"/>
        <v>13.34848485</v>
      </c>
      <c r="N532" s="22">
        <f t="shared" si="6"/>
        <v>776161</v>
      </c>
      <c r="O532" s="20"/>
      <c r="P532" s="22">
        <f t="shared" si="7"/>
        <v>-1567</v>
      </c>
      <c r="Q532" s="38">
        <f t="shared" si="8"/>
        <v>23.74242424</v>
      </c>
      <c r="R532" s="22">
        <f t="shared" si="9"/>
        <v>2455489</v>
      </c>
      <c r="S532" s="20"/>
      <c r="T532" s="22">
        <f t="shared" si="10"/>
        <v>-376</v>
      </c>
      <c r="U532" s="38">
        <f t="shared" si="11"/>
        <v>5.696969697</v>
      </c>
      <c r="V532" s="22">
        <f t="shared" si="12"/>
        <v>141376</v>
      </c>
    </row>
    <row r="533">
      <c r="A533" s="2">
        <v>41311.0</v>
      </c>
      <c r="B533" s="5">
        <v>1878.0</v>
      </c>
      <c r="C533" s="22">
        <f t="shared" si="2"/>
        <v>593</v>
      </c>
      <c r="D533" s="22">
        <f t="shared" si="3"/>
        <v>1630</v>
      </c>
      <c r="E533" s="22">
        <f t="shared" si="1"/>
        <v>216</v>
      </c>
      <c r="F533" s="20"/>
      <c r="G533" s="20"/>
      <c r="H533" s="20"/>
      <c r="I533" s="20"/>
      <c r="J533" s="20"/>
      <c r="K533" s="20"/>
      <c r="L533" s="22">
        <f t="shared" si="4"/>
        <v>1285</v>
      </c>
      <c r="M533" s="38">
        <f t="shared" si="5"/>
        <v>0.6842385517</v>
      </c>
      <c r="N533" s="22">
        <f t="shared" si="6"/>
        <v>1651225</v>
      </c>
      <c r="O533" s="20"/>
      <c r="P533" s="22">
        <f t="shared" si="7"/>
        <v>248</v>
      </c>
      <c r="Q533" s="38">
        <f t="shared" si="8"/>
        <v>0.1320553781</v>
      </c>
      <c r="R533" s="22">
        <f t="shared" si="9"/>
        <v>61504</v>
      </c>
      <c r="S533" s="20"/>
      <c r="T533" s="22">
        <f t="shared" si="10"/>
        <v>1662</v>
      </c>
      <c r="U533" s="38">
        <f t="shared" si="11"/>
        <v>0.8849840256</v>
      </c>
      <c r="V533" s="22">
        <f t="shared" si="12"/>
        <v>2762244</v>
      </c>
    </row>
    <row r="534">
      <c r="A534" s="2">
        <v>41312.0</v>
      </c>
      <c r="B534" s="5">
        <v>342.0</v>
      </c>
      <c r="C534" s="22">
        <f t="shared" si="2"/>
        <v>599</v>
      </c>
      <c r="D534" s="22">
        <f t="shared" si="3"/>
        <v>1631</v>
      </c>
      <c r="E534" s="22">
        <f t="shared" si="1"/>
        <v>1213</v>
      </c>
      <c r="F534" s="20"/>
      <c r="G534" s="20"/>
      <c r="H534" s="20"/>
      <c r="I534" s="20"/>
      <c r="J534" s="20"/>
      <c r="K534" s="20"/>
      <c r="L534" s="22">
        <f t="shared" si="4"/>
        <v>-257</v>
      </c>
      <c r="M534" s="38">
        <f t="shared" si="5"/>
        <v>0.7514619883</v>
      </c>
      <c r="N534" s="22">
        <f t="shared" si="6"/>
        <v>66049</v>
      </c>
      <c r="O534" s="20"/>
      <c r="P534" s="22">
        <f t="shared" si="7"/>
        <v>-1289</v>
      </c>
      <c r="Q534" s="38">
        <f t="shared" si="8"/>
        <v>3.769005848</v>
      </c>
      <c r="R534" s="22">
        <f t="shared" si="9"/>
        <v>1661521</v>
      </c>
      <c r="S534" s="20"/>
      <c r="T534" s="22">
        <f t="shared" si="10"/>
        <v>-871</v>
      </c>
      <c r="U534" s="38">
        <f t="shared" si="11"/>
        <v>2.546783626</v>
      </c>
      <c r="V534" s="22">
        <f t="shared" si="12"/>
        <v>758641</v>
      </c>
    </row>
    <row r="535">
      <c r="A535" s="2">
        <v>41313.0</v>
      </c>
      <c r="B535" s="5">
        <v>120.0</v>
      </c>
      <c r="C535" s="22">
        <f t="shared" si="2"/>
        <v>656</v>
      </c>
      <c r="D535" s="22">
        <f t="shared" si="3"/>
        <v>1628</v>
      </c>
      <c r="E535" s="22">
        <f t="shared" si="1"/>
        <v>690</v>
      </c>
      <c r="F535" s="20"/>
      <c r="G535" s="20"/>
      <c r="H535" s="20"/>
      <c r="I535" s="20"/>
      <c r="J535" s="20"/>
      <c r="K535" s="20"/>
      <c r="L535" s="22">
        <f t="shared" si="4"/>
        <v>-536</v>
      </c>
      <c r="M535" s="38">
        <f t="shared" si="5"/>
        <v>4.466666667</v>
      </c>
      <c r="N535" s="22">
        <f t="shared" si="6"/>
        <v>287296</v>
      </c>
      <c r="O535" s="20"/>
      <c r="P535" s="22">
        <f t="shared" si="7"/>
        <v>-1508</v>
      </c>
      <c r="Q535" s="38">
        <f t="shared" si="8"/>
        <v>12.56666667</v>
      </c>
      <c r="R535" s="22">
        <f t="shared" si="9"/>
        <v>2274064</v>
      </c>
      <c r="S535" s="20"/>
      <c r="T535" s="22">
        <f t="shared" si="10"/>
        <v>-570</v>
      </c>
      <c r="U535" s="38">
        <f t="shared" si="11"/>
        <v>4.75</v>
      </c>
      <c r="V535" s="22">
        <f t="shared" si="12"/>
        <v>324900</v>
      </c>
    </row>
    <row r="536">
      <c r="A536" s="2">
        <v>41316.0</v>
      </c>
      <c r="B536" s="5">
        <v>354.0</v>
      </c>
      <c r="C536" s="22">
        <f t="shared" si="2"/>
        <v>534</v>
      </c>
      <c r="D536" s="22">
        <f t="shared" si="3"/>
        <v>1625</v>
      </c>
      <c r="E536" s="22">
        <f t="shared" si="1"/>
        <v>348</v>
      </c>
      <c r="F536" s="20"/>
      <c r="G536" s="20"/>
      <c r="H536" s="20"/>
      <c r="I536" s="20"/>
      <c r="J536" s="20"/>
      <c r="K536" s="20"/>
      <c r="L536" s="22">
        <f t="shared" si="4"/>
        <v>-180</v>
      </c>
      <c r="M536" s="38">
        <f t="shared" si="5"/>
        <v>0.5084745763</v>
      </c>
      <c r="N536" s="22">
        <f t="shared" si="6"/>
        <v>32400</v>
      </c>
      <c r="O536" s="20"/>
      <c r="P536" s="22">
        <f t="shared" si="7"/>
        <v>-1271</v>
      </c>
      <c r="Q536" s="38">
        <f t="shared" si="8"/>
        <v>3.59039548</v>
      </c>
      <c r="R536" s="22">
        <f t="shared" si="9"/>
        <v>1615441</v>
      </c>
      <c r="S536" s="20"/>
      <c r="T536" s="22">
        <f t="shared" si="10"/>
        <v>6</v>
      </c>
      <c r="U536" s="38">
        <f t="shared" si="11"/>
        <v>0.01694915254</v>
      </c>
      <c r="V536" s="22">
        <f t="shared" si="12"/>
        <v>36</v>
      </c>
    </row>
    <row r="537">
      <c r="A537" s="2">
        <v>41317.0</v>
      </c>
      <c r="B537" s="5">
        <v>2100.0</v>
      </c>
      <c r="C537" s="22">
        <f t="shared" si="2"/>
        <v>552</v>
      </c>
      <c r="D537" s="22">
        <f t="shared" si="3"/>
        <v>1623</v>
      </c>
      <c r="E537" s="22">
        <f t="shared" si="1"/>
        <v>352</v>
      </c>
      <c r="F537" s="20"/>
      <c r="G537" s="20"/>
      <c r="H537" s="20"/>
      <c r="I537" s="20"/>
      <c r="J537" s="20"/>
      <c r="K537" s="20"/>
      <c r="L537" s="22">
        <f t="shared" si="4"/>
        <v>1548</v>
      </c>
      <c r="M537" s="38">
        <f t="shared" si="5"/>
        <v>0.7371428571</v>
      </c>
      <c r="N537" s="22">
        <f t="shared" si="6"/>
        <v>2396304</v>
      </c>
      <c r="O537" s="20"/>
      <c r="P537" s="22">
        <f t="shared" si="7"/>
        <v>477</v>
      </c>
      <c r="Q537" s="38">
        <f t="shared" si="8"/>
        <v>0.2271428571</v>
      </c>
      <c r="R537" s="22">
        <f t="shared" si="9"/>
        <v>227529</v>
      </c>
      <c r="S537" s="20"/>
      <c r="T537" s="22">
        <f t="shared" si="10"/>
        <v>1748</v>
      </c>
      <c r="U537" s="38">
        <f t="shared" si="11"/>
        <v>0.8323809524</v>
      </c>
      <c r="V537" s="22">
        <f t="shared" si="12"/>
        <v>3055504</v>
      </c>
    </row>
    <row r="538">
      <c r="A538" s="2">
        <v>41318.0</v>
      </c>
      <c r="B538" s="5">
        <v>2790.0</v>
      </c>
      <c r="C538" s="22">
        <f t="shared" si="2"/>
        <v>959</v>
      </c>
      <c r="D538" s="22">
        <f t="shared" si="3"/>
        <v>1624</v>
      </c>
      <c r="E538" s="22">
        <f t="shared" si="1"/>
        <v>1401</v>
      </c>
      <c r="F538" s="20"/>
      <c r="G538" s="20"/>
      <c r="H538" s="20"/>
      <c r="I538" s="20"/>
      <c r="J538" s="20"/>
      <c r="K538" s="20"/>
      <c r="L538" s="22">
        <f t="shared" si="4"/>
        <v>1831</v>
      </c>
      <c r="M538" s="38">
        <f t="shared" si="5"/>
        <v>0.6562724014</v>
      </c>
      <c r="N538" s="22">
        <f t="shared" si="6"/>
        <v>3352561</v>
      </c>
      <c r="O538" s="20"/>
      <c r="P538" s="22">
        <f t="shared" si="7"/>
        <v>1166</v>
      </c>
      <c r="Q538" s="38">
        <f t="shared" si="8"/>
        <v>0.417921147</v>
      </c>
      <c r="R538" s="22">
        <f t="shared" si="9"/>
        <v>1359556</v>
      </c>
      <c r="S538" s="20"/>
      <c r="T538" s="22">
        <f t="shared" si="10"/>
        <v>1389</v>
      </c>
      <c r="U538" s="38">
        <f t="shared" si="11"/>
        <v>0.4978494624</v>
      </c>
      <c r="V538" s="22">
        <f t="shared" si="12"/>
        <v>1929321</v>
      </c>
    </row>
    <row r="539">
      <c r="A539" s="2">
        <v>41319.0</v>
      </c>
      <c r="B539" s="5">
        <v>474.0</v>
      </c>
      <c r="C539" s="22">
        <f t="shared" si="2"/>
        <v>1141</v>
      </c>
      <c r="D539" s="22">
        <f t="shared" si="3"/>
        <v>1626</v>
      </c>
      <c r="E539" s="22">
        <f t="shared" si="1"/>
        <v>2234</v>
      </c>
      <c r="F539" s="20"/>
      <c r="G539" s="20"/>
      <c r="H539" s="20"/>
      <c r="I539" s="20"/>
      <c r="J539" s="20"/>
      <c r="K539" s="20"/>
      <c r="L539" s="22">
        <f t="shared" si="4"/>
        <v>-667</v>
      </c>
      <c r="M539" s="38">
        <f t="shared" si="5"/>
        <v>1.407172996</v>
      </c>
      <c r="N539" s="22">
        <f t="shared" si="6"/>
        <v>444889</v>
      </c>
      <c r="O539" s="20"/>
      <c r="P539" s="22">
        <f t="shared" si="7"/>
        <v>-1152</v>
      </c>
      <c r="Q539" s="38">
        <f t="shared" si="8"/>
        <v>2.430379747</v>
      </c>
      <c r="R539" s="22">
        <f t="shared" si="9"/>
        <v>1327104</v>
      </c>
      <c r="S539" s="20"/>
      <c r="T539" s="22">
        <f t="shared" si="10"/>
        <v>-1760</v>
      </c>
      <c r="U539" s="38">
        <f t="shared" si="11"/>
        <v>3.713080169</v>
      </c>
      <c r="V539" s="22">
        <f t="shared" si="12"/>
        <v>3097600</v>
      </c>
    </row>
    <row r="540">
      <c r="A540" s="2">
        <v>41320.0</v>
      </c>
      <c r="B540" s="5">
        <v>114.0</v>
      </c>
      <c r="C540" s="22">
        <f t="shared" si="2"/>
        <v>1168</v>
      </c>
      <c r="D540" s="22">
        <f t="shared" si="3"/>
        <v>1624</v>
      </c>
      <c r="E540" s="22">
        <f t="shared" si="1"/>
        <v>1178</v>
      </c>
      <c r="F540" s="20"/>
      <c r="G540" s="20"/>
      <c r="H540" s="20"/>
      <c r="I540" s="20"/>
      <c r="J540" s="20"/>
      <c r="K540" s="20"/>
      <c r="L540" s="22">
        <f t="shared" si="4"/>
        <v>-1054</v>
      </c>
      <c r="M540" s="38">
        <f t="shared" si="5"/>
        <v>9.245614035</v>
      </c>
      <c r="N540" s="22">
        <f t="shared" si="6"/>
        <v>1110916</v>
      </c>
      <c r="O540" s="20"/>
      <c r="P540" s="22">
        <f t="shared" si="7"/>
        <v>-1510</v>
      </c>
      <c r="Q540" s="38">
        <f t="shared" si="8"/>
        <v>13.24561404</v>
      </c>
      <c r="R540" s="22">
        <f t="shared" si="9"/>
        <v>2280100</v>
      </c>
      <c r="S540" s="20"/>
      <c r="T540" s="22">
        <f t="shared" si="10"/>
        <v>-1064</v>
      </c>
      <c r="U540" s="38">
        <f t="shared" si="11"/>
        <v>9.333333333</v>
      </c>
      <c r="V540" s="22">
        <f t="shared" si="12"/>
        <v>1132096</v>
      </c>
    </row>
    <row r="541">
      <c r="A541" s="2">
        <v>41323.0</v>
      </c>
      <c r="B541" s="5">
        <v>114.0</v>
      </c>
      <c r="C541" s="22">
        <f t="shared" si="2"/>
        <v>1166</v>
      </c>
      <c r="D541" s="22">
        <f t="shared" si="3"/>
        <v>1621</v>
      </c>
      <c r="E541" s="22">
        <f t="shared" si="1"/>
        <v>540</v>
      </c>
      <c r="F541" s="20"/>
      <c r="G541" s="20"/>
      <c r="H541" s="20"/>
      <c r="I541" s="20"/>
      <c r="J541" s="20"/>
      <c r="K541" s="20"/>
      <c r="L541" s="22">
        <f t="shared" si="4"/>
        <v>-1052</v>
      </c>
      <c r="M541" s="38">
        <f t="shared" si="5"/>
        <v>9.228070175</v>
      </c>
      <c r="N541" s="22">
        <f t="shared" si="6"/>
        <v>1106704</v>
      </c>
      <c r="O541" s="20"/>
      <c r="P541" s="22">
        <f t="shared" si="7"/>
        <v>-1507</v>
      </c>
      <c r="Q541" s="38">
        <f t="shared" si="8"/>
        <v>13.21929825</v>
      </c>
      <c r="R541" s="22">
        <f t="shared" si="9"/>
        <v>2271049</v>
      </c>
      <c r="S541" s="20"/>
      <c r="T541" s="22">
        <f t="shared" si="10"/>
        <v>-426</v>
      </c>
      <c r="U541" s="38">
        <f t="shared" si="11"/>
        <v>3.736842105</v>
      </c>
      <c r="V541" s="22">
        <f t="shared" si="12"/>
        <v>181476</v>
      </c>
    </row>
    <row r="542">
      <c r="A542" s="2">
        <v>41324.0</v>
      </c>
      <c r="B542" s="5">
        <v>78.0</v>
      </c>
      <c r="C542" s="22">
        <f t="shared" si="2"/>
        <v>1118</v>
      </c>
      <c r="D542" s="22">
        <f t="shared" si="3"/>
        <v>1618</v>
      </c>
      <c r="E542" s="22">
        <f t="shared" si="1"/>
        <v>284</v>
      </c>
      <c r="F542" s="20"/>
      <c r="G542" s="20"/>
      <c r="H542" s="20"/>
      <c r="I542" s="20"/>
      <c r="J542" s="20"/>
      <c r="K542" s="20"/>
      <c r="L542" s="22">
        <f t="shared" si="4"/>
        <v>-1040</v>
      </c>
      <c r="M542" s="38">
        <f t="shared" si="5"/>
        <v>13.33333333</v>
      </c>
      <c r="N542" s="22">
        <f t="shared" si="6"/>
        <v>1081600</v>
      </c>
      <c r="O542" s="20"/>
      <c r="P542" s="22">
        <f t="shared" si="7"/>
        <v>-1540</v>
      </c>
      <c r="Q542" s="38">
        <f t="shared" si="8"/>
        <v>19.74358974</v>
      </c>
      <c r="R542" s="22">
        <f t="shared" si="9"/>
        <v>2371600</v>
      </c>
      <c r="S542" s="20"/>
      <c r="T542" s="22">
        <f t="shared" si="10"/>
        <v>-206</v>
      </c>
      <c r="U542" s="38">
        <f t="shared" si="11"/>
        <v>2.641025641</v>
      </c>
      <c r="V542" s="22">
        <f t="shared" si="12"/>
        <v>42436</v>
      </c>
    </row>
    <row r="543">
      <c r="A543" s="2">
        <v>41325.0</v>
      </c>
      <c r="B543" s="5">
        <v>1878.0</v>
      </c>
      <c r="C543" s="22">
        <f t="shared" si="2"/>
        <v>714</v>
      </c>
      <c r="D543" s="22">
        <f t="shared" si="3"/>
        <v>1616</v>
      </c>
      <c r="E543" s="22">
        <f t="shared" si="1"/>
        <v>160</v>
      </c>
      <c r="F543" s="20"/>
      <c r="G543" s="20"/>
      <c r="H543" s="20"/>
      <c r="I543" s="20"/>
      <c r="J543" s="20"/>
      <c r="K543" s="20"/>
      <c r="L543" s="22">
        <f t="shared" si="4"/>
        <v>1164</v>
      </c>
      <c r="M543" s="38">
        <f t="shared" si="5"/>
        <v>0.6198083067</v>
      </c>
      <c r="N543" s="22">
        <f t="shared" si="6"/>
        <v>1354896</v>
      </c>
      <c r="O543" s="20"/>
      <c r="P543" s="22">
        <f t="shared" si="7"/>
        <v>262</v>
      </c>
      <c r="Q543" s="38">
        <f t="shared" si="8"/>
        <v>0.1395101171</v>
      </c>
      <c r="R543" s="22">
        <f t="shared" si="9"/>
        <v>68644</v>
      </c>
      <c r="S543" s="20"/>
      <c r="T543" s="22">
        <f t="shared" si="10"/>
        <v>1718</v>
      </c>
      <c r="U543" s="38">
        <f t="shared" si="11"/>
        <v>0.9148029819</v>
      </c>
      <c r="V543" s="22">
        <f t="shared" si="12"/>
        <v>2951524</v>
      </c>
    </row>
    <row r="544">
      <c r="A544" s="2">
        <v>41326.0</v>
      </c>
      <c r="B544" s="5">
        <v>414.0</v>
      </c>
      <c r="C544" s="22">
        <f t="shared" si="2"/>
        <v>532</v>
      </c>
      <c r="D544" s="22">
        <f t="shared" si="3"/>
        <v>1616</v>
      </c>
      <c r="E544" s="22">
        <f t="shared" si="1"/>
        <v>1191</v>
      </c>
      <c r="F544" s="20"/>
      <c r="G544" s="20"/>
      <c r="H544" s="20"/>
      <c r="I544" s="20"/>
      <c r="J544" s="20"/>
      <c r="K544" s="20"/>
      <c r="L544" s="22">
        <f t="shared" si="4"/>
        <v>-118</v>
      </c>
      <c r="M544" s="38">
        <f t="shared" si="5"/>
        <v>0.2850241546</v>
      </c>
      <c r="N544" s="22">
        <f t="shared" si="6"/>
        <v>13924</v>
      </c>
      <c r="O544" s="20"/>
      <c r="P544" s="22">
        <f t="shared" si="7"/>
        <v>-1202</v>
      </c>
      <c r="Q544" s="38">
        <f t="shared" si="8"/>
        <v>2.903381643</v>
      </c>
      <c r="R544" s="22">
        <f t="shared" si="9"/>
        <v>1444804</v>
      </c>
      <c r="S544" s="20"/>
      <c r="T544" s="22">
        <f t="shared" si="10"/>
        <v>-777</v>
      </c>
      <c r="U544" s="38">
        <f t="shared" si="11"/>
        <v>1.876811594</v>
      </c>
      <c r="V544" s="22">
        <f t="shared" si="12"/>
        <v>603729</v>
      </c>
    </row>
    <row r="545">
      <c r="A545" s="2">
        <v>41327.0</v>
      </c>
      <c r="B545" s="5">
        <v>108.0</v>
      </c>
      <c r="C545" s="22">
        <f t="shared" si="2"/>
        <v>520</v>
      </c>
      <c r="D545" s="22">
        <f t="shared" si="3"/>
        <v>1614</v>
      </c>
      <c r="E545" s="22">
        <f t="shared" si="1"/>
        <v>725</v>
      </c>
      <c r="F545" s="20"/>
      <c r="G545" s="20"/>
      <c r="H545" s="20"/>
      <c r="I545" s="20"/>
      <c r="J545" s="20"/>
      <c r="K545" s="20"/>
      <c r="L545" s="22">
        <f t="shared" si="4"/>
        <v>-412</v>
      </c>
      <c r="M545" s="38">
        <f t="shared" si="5"/>
        <v>3.814814815</v>
      </c>
      <c r="N545" s="22">
        <f t="shared" si="6"/>
        <v>169744</v>
      </c>
      <c r="O545" s="20"/>
      <c r="P545" s="22">
        <f t="shared" si="7"/>
        <v>-1506</v>
      </c>
      <c r="Q545" s="38">
        <f t="shared" si="8"/>
        <v>13.94444444</v>
      </c>
      <c r="R545" s="22">
        <f t="shared" si="9"/>
        <v>2268036</v>
      </c>
      <c r="S545" s="20"/>
      <c r="T545" s="22">
        <f t="shared" si="10"/>
        <v>-617</v>
      </c>
      <c r="U545" s="38">
        <f t="shared" si="11"/>
        <v>5.712962963</v>
      </c>
      <c r="V545" s="22">
        <f t="shared" si="12"/>
        <v>380689</v>
      </c>
    </row>
    <row r="546">
      <c r="A546" s="2">
        <v>41330.0</v>
      </c>
      <c r="B546" s="5">
        <v>366.0</v>
      </c>
      <c r="C546" s="22">
        <f t="shared" si="2"/>
        <v>518</v>
      </c>
      <c r="D546" s="22">
        <f t="shared" si="3"/>
        <v>1611</v>
      </c>
      <c r="E546" s="22">
        <f t="shared" si="1"/>
        <v>355</v>
      </c>
      <c r="F546" s="20"/>
      <c r="G546" s="20"/>
      <c r="H546" s="20"/>
      <c r="I546" s="20"/>
      <c r="J546" s="20"/>
      <c r="K546" s="20"/>
      <c r="L546" s="22">
        <f t="shared" si="4"/>
        <v>-152</v>
      </c>
      <c r="M546" s="38">
        <f t="shared" si="5"/>
        <v>0.4153005464</v>
      </c>
      <c r="N546" s="22">
        <f t="shared" si="6"/>
        <v>23104</v>
      </c>
      <c r="O546" s="20"/>
      <c r="P546" s="22">
        <f t="shared" si="7"/>
        <v>-1245</v>
      </c>
      <c r="Q546" s="38">
        <f t="shared" si="8"/>
        <v>3.401639344</v>
      </c>
      <c r="R546" s="22">
        <f t="shared" si="9"/>
        <v>1550025</v>
      </c>
      <c r="S546" s="20"/>
      <c r="T546" s="22">
        <f t="shared" si="10"/>
        <v>11</v>
      </c>
      <c r="U546" s="38">
        <f t="shared" si="11"/>
        <v>0.03005464481</v>
      </c>
      <c r="V546" s="22">
        <f t="shared" si="12"/>
        <v>121</v>
      </c>
    </row>
    <row r="547">
      <c r="A547" s="2">
        <v>41331.0</v>
      </c>
      <c r="B547" s="5">
        <v>1434.0</v>
      </c>
      <c r="C547" s="22">
        <f t="shared" si="2"/>
        <v>569</v>
      </c>
      <c r="D547" s="22">
        <f t="shared" si="3"/>
        <v>1609</v>
      </c>
      <c r="E547" s="22">
        <f t="shared" si="1"/>
        <v>362</v>
      </c>
      <c r="F547" s="20"/>
      <c r="G547" s="20"/>
      <c r="H547" s="20"/>
      <c r="I547" s="20"/>
      <c r="J547" s="20"/>
      <c r="K547" s="20"/>
      <c r="L547" s="22">
        <f t="shared" si="4"/>
        <v>865</v>
      </c>
      <c r="M547" s="38">
        <f t="shared" si="5"/>
        <v>0.6032078103</v>
      </c>
      <c r="N547" s="22">
        <f t="shared" si="6"/>
        <v>748225</v>
      </c>
      <c r="O547" s="20"/>
      <c r="P547" s="22">
        <f t="shared" si="7"/>
        <v>-175</v>
      </c>
      <c r="Q547" s="38">
        <f t="shared" si="8"/>
        <v>0.1220362622</v>
      </c>
      <c r="R547" s="22">
        <f t="shared" si="9"/>
        <v>30625</v>
      </c>
      <c r="S547" s="20"/>
      <c r="T547" s="22">
        <f t="shared" si="10"/>
        <v>1072</v>
      </c>
      <c r="U547" s="38">
        <f t="shared" si="11"/>
        <v>0.7475592748</v>
      </c>
      <c r="V547" s="22">
        <f t="shared" si="12"/>
        <v>1149184</v>
      </c>
    </row>
    <row r="548">
      <c r="A548" s="2">
        <v>41332.0</v>
      </c>
      <c r="B548" s="5">
        <v>2802.0</v>
      </c>
      <c r="C548" s="22">
        <f t="shared" si="2"/>
        <v>840</v>
      </c>
      <c r="D548" s="22">
        <f t="shared" si="3"/>
        <v>1608</v>
      </c>
      <c r="E548" s="22">
        <f t="shared" si="1"/>
        <v>1005</v>
      </c>
      <c r="F548" s="20"/>
      <c r="G548" s="20"/>
      <c r="H548" s="20"/>
      <c r="I548" s="20"/>
      <c r="J548" s="20"/>
      <c r="K548" s="20"/>
      <c r="L548" s="22">
        <f t="shared" si="4"/>
        <v>1962</v>
      </c>
      <c r="M548" s="38">
        <f t="shared" si="5"/>
        <v>0.7002141328</v>
      </c>
      <c r="N548" s="22">
        <f t="shared" si="6"/>
        <v>3849444</v>
      </c>
      <c r="O548" s="20"/>
      <c r="P548" s="22">
        <f t="shared" si="7"/>
        <v>1194</v>
      </c>
      <c r="Q548" s="38">
        <f t="shared" si="8"/>
        <v>0.426124197</v>
      </c>
      <c r="R548" s="22">
        <f t="shared" si="9"/>
        <v>1425636</v>
      </c>
      <c r="S548" s="20"/>
      <c r="T548" s="22">
        <f t="shared" si="10"/>
        <v>1797</v>
      </c>
      <c r="U548" s="38">
        <f t="shared" si="11"/>
        <v>0.6413276231</v>
      </c>
      <c r="V548" s="22">
        <f t="shared" si="12"/>
        <v>3229209</v>
      </c>
    </row>
    <row r="549">
      <c r="A549" s="2">
        <v>41333.0</v>
      </c>
      <c r="B549" s="5">
        <v>654.0</v>
      </c>
      <c r="C549" s="22">
        <f t="shared" si="2"/>
        <v>1025</v>
      </c>
      <c r="D549" s="22">
        <f t="shared" si="3"/>
        <v>1611</v>
      </c>
      <c r="E549" s="22">
        <f t="shared" si="1"/>
        <v>2083</v>
      </c>
      <c r="F549" s="20"/>
      <c r="G549" s="20"/>
      <c r="H549" s="20"/>
      <c r="I549" s="20"/>
      <c r="J549" s="20"/>
      <c r="K549" s="20"/>
      <c r="L549" s="22">
        <f t="shared" si="4"/>
        <v>-371</v>
      </c>
      <c r="M549" s="38">
        <f t="shared" si="5"/>
        <v>0.5672782875</v>
      </c>
      <c r="N549" s="22">
        <f t="shared" si="6"/>
        <v>137641</v>
      </c>
      <c r="O549" s="20"/>
      <c r="P549" s="22">
        <f t="shared" si="7"/>
        <v>-957</v>
      </c>
      <c r="Q549" s="38">
        <f t="shared" si="8"/>
        <v>1.463302752</v>
      </c>
      <c r="R549" s="22">
        <f t="shared" si="9"/>
        <v>915849</v>
      </c>
      <c r="S549" s="20"/>
      <c r="T549" s="22">
        <f t="shared" si="10"/>
        <v>-1429</v>
      </c>
      <c r="U549" s="38">
        <f t="shared" si="11"/>
        <v>2.185015291</v>
      </c>
      <c r="V549" s="22">
        <f t="shared" si="12"/>
        <v>2042041</v>
      </c>
    </row>
    <row r="550">
      <c r="A550" s="2">
        <v>41334.0</v>
      </c>
      <c r="B550" s="5">
        <v>48.0</v>
      </c>
      <c r="C550" s="22">
        <f t="shared" si="2"/>
        <v>1073</v>
      </c>
      <c r="D550" s="22">
        <f t="shared" si="3"/>
        <v>1609</v>
      </c>
      <c r="E550" s="22">
        <f t="shared" si="1"/>
        <v>1226</v>
      </c>
      <c r="F550" s="20"/>
      <c r="G550" s="20"/>
      <c r="H550" s="20"/>
      <c r="I550" s="20"/>
      <c r="J550" s="20"/>
      <c r="K550" s="20"/>
      <c r="L550" s="22">
        <f t="shared" si="4"/>
        <v>-1025</v>
      </c>
      <c r="M550" s="38">
        <f t="shared" si="5"/>
        <v>21.35416667</v>
      </c>
      <c r="N550" s="22">
        <f t="shared" si="6"/>
        <v>1050625</v>
      </c>
      <c r="O550" s="20"/>
      <c r="P550" s="22">
        <f t="shared" si="7"/>
        <v>-1561</v>
      </c>
      <c r="Q550" s="38">
        <f t="shared" si="8"/>
        <v>32.52083333</v>
      </c>
      <c r="R550" s="22">
        <f t="shared" si="9"/>
        <v>2436721</v>
      </c>
      <c r="S550" s="20"/>
      <c r="T550" s="22">
        <f t="shared" si="10"/>
        <v>-1178</v>
      </c>
      <c r="U550" s="38">
        <f t="shared" si="11"/>
        <v>24.54166667</v>
      </c>
      <c r="V550" s="22">
        <f t="shared" si="12"/>
        <v>1387684</v>
      </c>
    </row>
    <row r="551">
      <c r="A551" s="2">
        <v>41337.0</v>
      </c>
      <c r="B551" s="5">
        <v>264.0</v>
      </c>
      <c r="C551" s="22">
        <f t="shared" si="2"/>
        <v>1061</v>
      </c>
      <c r="D551" s="22">
        <f t="shared" si="3"/>
        <v>1606</v>
      </c>
      <c r="E551" s="22">
        <f t="shared" si="1"/>
        <v>519</v>
      </c>
      <c r="F551" s="20"/>
      <c r="G551" s="20"/>
      <c r="H551" s="20"/>
      <c r="I551" s="20"/>
      <c r="J551" s="20"/>
      <c r="K551" s="20"/>
      <c r="L551" s="22">
        <f t="shared" si="4"/>
        <v>-797</v>
      </c>
      <c r="M551" s="38">
        <f t="shared" si="5"/>
        <v>3.018939394</v>
      </c>
      <c r="N551" s="22">
        <f t="shared" si="6"/>
        <v>635209</v>
      </c>
      <c r="O551" s="20"/>
      <c r="P551" s="22">
        <f t="shared" si="7"/>
        <v>-1342</v>
      </c>
      <c r="Q551" s="38">
        <f t="shared" si="8"/>
        <v>5.083333333</v>
      </c>
      <c r="R551" s="22">
        <f t="shared" si="9"/>
        <v>1800964</v>
      </c>
      <c r="S551" s="20"/>
      <c r="T551" s="22">
        <f t="shared" si="10"/>
        <v>-255</v>
      </c>
      <c r="U551" s="38">
        <f t="shared" si="11"/>
        <v>0.9659090909</v>
      </c>
      <c r="V551" s="22">
        <f t="shared" si="12"/>
        <v>65025</v>
      </c>
    </row>
    <row r="552">
      <c r="A552" s="2">
        <v>41338.0</v>
      </c>
      <c r="B552" s="5">
        <v>2100.0</v>
      </c>
      <c r="C552" s="22">
        <f t="shared" si="2"/>
        <v>1040</v>
      </c>
      <c r="D552" s="22">
        <f t="shared" si="3"/>
        <v>1604</v>
      </c>
      <c r="E552" s="22">
        <f t="shared" si="1"/>
        <v>366</v>
      </c>
      <c r="F552" s="20"/>
      <c r="G552" s="20"/>
      <c r="H552" s="20"/>
      <c r="I552" s="20"/>
      <c r="J552" s="20"/>
      <c r="K552" s="20"/>
      <c r="L552" s="22">
        <f t="shared" si="4"/>
        <v>1060</v>
      </c>
      <c r="M552" s="38">
        <f t="shared" si="5"/>
        <v>0.5047619048</v>
      </c>
      <c r="N552" s="22">
        <f t="shared" si="6"/>
        <v>1123600</v>
      </c>
      <c r="O552" s="20"/>
      <c r="P552" s="22">
        <f t="shared" si="7"/>
        <v>496</v>
      </c>
      <c r="Q552" s="38">
        <f t="shared" si="8"/>
        <v>0.2361904762</v>
      </c>
      <c r="R552" s="22">
        <f t="shared" si="9"/>
        <v>246016</v>
      </c>
      <c r="S552" s="20"/>
      <c r="T552" s="22">
        <f t="shared" si="10"/>
        <v>1734</v>
      </c>
      <c r="U552" s="38">
        <f t="shared" si="11"/>
        <v>0.8257142857</v>
      </c>
      <c r="V552" s="22">
        <f t="shared" si="12"/>
        <v>3006756</v>
      </c>
    </row>
    <row r="553">
      <c r="A553" s="2">
        <v>41339.0</v>
      </c>
      <c r="B553" s="5">
        <v>2004.0</v>
      </c>
      <c r="C553" s="22">
        <f t="shared" si="2"/>
        <v>1174</v>
      </c>
      <c r="D553" s="22">
        <f t="shared" si="3"/>
        <v>1604</v>
      </c>
      <c r="E553" s="22">
        <f t="shared" si="1"/>
        <v>1406</v>
      </c>
      <c r="F553" s="20"/>
      <c r="G553" s="20"/>
      <c r="H553" s="20"/>
      <c r="I553" s="20"/>
      <c r="J553" s="20"/>
      <c r="K553" s="20"/>
      <c r="L553" s="22">
        <f t="shared" si="4"/>
        <v>830</v>
      </c>
      <c r="M553" s="38">
        <f t="shared" si="5"/>
        <v>0.4141716567</v>
      </c>
      <c r="N553" s="22">
        <f t="shared" si="6"/>
        <v>688900</v>
      </c>
      <c r="O553" s="20"/>
      <c r="P553" s="22">
        <f t="shared" si="7"/>
        <v>400</v>
      </c>
      <c r="Q553" s="38">
        <f t="shared" si="8"/>
        <v>0.1996007984</v>
      </c>
      <c r="R553" s="22">
        <f t="shared" si="9"/>
        <v>160000</v>
      </c>
      <c r="S553" s="20"/>
      <c r="T553" s="22">
        <f t="shared" si="10"/>
        <v>598</v>
      </c>
      <c r="U553" s="38">
        <f t="shared" si="11"/>
        <v>0.2984031936</v>
      </c>
      <c r="V553" s="22">
        <f t="shared" si="12"/>
        <v>357604</v>
      </c>
    </row>
    <row r="554">
      <c r="A554" s="2">
        <v>41340.0</v>
      </c>
      <c r="B554" s="5">
        <v>186.0</v>
      </c>
      <c r="C554" s="22">
        <f t="shared" si="2"/>
        <v>1014</v>
      </c>
      <c r="D554" s="22">
        <f t="shared" si="3"/>
        <v>1605</v>
      </c>
      <c r="E554" s="22">
        <f t="shared" si="1"/>
        <v>1765</v>
      </c>
      <c r="F554" s="20"/>
      <c r="G554" s="20"/>
      <c r="H554" s="20"/>
      <c r="I554" s="20"/>
      <c r="J554" s="20"/>
      <c r="K554" s="20"/>
      <c r="L554" s="22">
        <f t="shared" si="4"/>
        <v>-828</v>
      </c>
      <c r="M554" s="38">
        <f t="shared" si="5"/>
        <v>4.451612903</v>
      </c>
      <c r="N554" s="22">
        <f t="shared" si="6"/>
        <v>685584</v>
      </c>
      <c r="O554" s="20"/>
      <c r="P554" s="22">
        <f t="shared" si="7"/>
        <v>-1419</v>
      </c>
      <c r="Q554" s="38">
        <f t="shared" si="8"/>
        <v>7.629032258</v>
      </c>
      <c r="R554" s="22">
        <f t="shared" si="9"/>
        <v>2013561</v>
      </c>
      <c r="S554" s="20"/>
      <c r="T554" s="22">
        <f t="shared" si="10"/>
        <v>-1579</v>
      </c>
      <c r="U554" s="38">
        <f t="shared" si="11"/>
        <v>8.489247312</v>
      </c>
      <c r="V554" s="22">
        <f t="shared" si="12"/>
        <v>2493241</v>
      </c>
    </row>
    <row r="555">
      <c r="A555" s="2">
        <v>41341.0</v>
      </c>
      <c r="B555" s="5">
        <v>48.0</v>
      </c>
      <c r="C555" s="22">
        <f t="shared" si="2"/>
        <v>920</v>
      </c>
      <c r="D555" s="22">
        <f t="shared" si="3"/>
        <v>1603</v>
      </c>
      <c r="E555" s="22">
        <f t="shared" si="1"/>
        <v>818</v>
      </c>
      <c r="F555" s="20"/>
      <c r="G555" s="20"/>
      <c r="H555" s="20"/>
      <c r="I555" s="20"/>
      <c r="J555" s="20"/>
      <c r="K555" s="20"/>
      <c r="L555" s="22">
        <f t="shared" si="4"/>
        <v>-872</v>
      </c>
      <c r="M555" s="38">
        <f t="shared" si="5"/>
        <v>18.16666667</v>
      </c>
      <c r="N555" s="22">
        <f t="shared" si="6"/>
        <v>760384</v>
      </c>
      <c r="O555" s="20"/>
      <c r="P555" s="22">
        <f t="shared" si="7"/>
        <v>-1555</v>
      </c>
      <c r="Q555" s="38">
        <f t="shared" si="8"/>
        <v>32.39583333</v>
      </c>
      <c r="R555" s="22">
        <f t="shared" si="9"/>
        <v>2418025</v>
      </c>
      <c r="S555" s="20"/>
      <c r="T555" s="22">
        <f t="shared" si="10"/>
        <v>-770</v>
      </c>
      <c r="U555" s="38">
        <f t="shared" si="11"/>
        <v>16.04166667</v>
      </c>
      <c r="V555" s="22">
        <f t="shared" si="12"/>
        <v>592900</v>
      </c>
    </row>
    <row r="556">
      <c r="A556" s="2">
        <v>41344.0</v>
      </c>
      <c r="B556" s="5">
        <v>336.0</v>
      </c>
      <c r="C556" s="22">
        <f t="shared" si="2"/>
        <v>920</v>
      </c>
      <c r="D556" s="22">
        <f t="shared" si="3"/>
        <v>1600</v>
      </c>
      <c r="E556" s="22">
        <f t="shared" si="1"/>
        <v>356</v>
      </c>
      <c r="F556" s="20"/>
      <c r="G556" s="20"/>
      <c r="H556" s="20"/>
      <c r="I556" s="20"/>
      <c r="J556" s="20"/>
      <c r="K556" s="20"/>
      <c r="L556" s="22">
        <f t="shared" si="4"/>
        <v>-584</v>
      </c>
      <c r="M556" s="38">
        <f t="shared" si="5"/>
        <v>1.738095238</v>
      </c>
      <c r="N556" s="22">
        <f t="shared" si="6"/>
        <v>341056</v>
      </c>
      <c r="O556" s="20"/>
      <c r="P556" s="22">
        <f t="shared" si="7"/>
        <v>-1264</v>
      </c>
      <c r="Q556" s="38">
        <f t="shared" si="8"/>
        <v>3.761904762</v>
      </c>
      <c r="R556" s="22">
        <f t="shared" si="9"/>
        <v>1597696</v>
      </c>
      <c r="S556" s="20"/>
      <c r="T556" s="22">
        <f t="shared" si="10"/>
        <v>-20</v>
      </c>
      <c r="U556" s="38">
        <f t="shared" si="11"/>
        <v>0.05952380952</v>
      </c>
      <c r="V556" s="22">
        <f t="shared" si="12"/>
        <v>400</v>
      </c>
    </row>
    <row r="557">
      <c r="A557" s="2">
        <v>41345.0</v>
      </c>
      <c r="B557" s="5">
        <v>2004.0</v>
      </c>
      <c r="C557" s="22">
        <f t="shared" si="2"/>
        <v>935</v>
      </c>
      <c r="D557" s="22">
        <f t="shared" si="3"/>
        <v>1598</v>
      </c>
      <c r="E557" s="22">
        <f t="shared" si="1"/>
        <v>344</v>
      </c>
      <c r="F557" s="20"/>
      <c r="G557" s="20"/>
      <c r="H557" s="20"/>
      <c r="I557" s="20"/>
      <c r="J557" s="20"/>
      <c r="K557" s="20"/>
      <c r="L557" s="22">
        <f t="shared" si="4"/>
        <v>1069</v>
      </c>
      <c r="M557" s="38">
        <f t="shared" si="5"/>
        <v>0.5334331337</v>
      </c>
      <c r="N557" s="22">
        <f t="shared" si="6"/>
        <v>1142761</v>
      </c>
      <c r="O557" s="20"/>
      <c r="P557" s="22">
        <f t="shared" si="7"/>
        <v>406</v>
      </c>
      <c r="Q557" s="38">
        <f t="shared" si="8"/>
        <v>0.2025948104</v>
      </c>
      <c r="R557" s="22">
        <f t="shared" si="9"/>
        <v>164836</v>
      </c>
      <c r="S557" s="20"/>
      <c r="T557" s="22">
        <f t="shared" si="10"/>
        <v>1660</v>
      </c>
      <c r="U557" s="38">
        <f t="shared" si="11"/>
        <v>0.8283433134</v>
      </c>
      <c r="V557" s="22">
        <f t="shared" si="12"/>
        <v>2755600</v>
      </c>
    </row>
    <row r="558">
      <c r="A558" s="2">
        <v>41346.0</v>
      </c>
      <c r="B558" s="5">
        <v>3018.0</v>
      </c>
      <c r="C558" s="22">
        <f t="shared" si="2"/>
        <v>916</v>
      </c>
      <c r="D558" s="22">
        <f t="shared" si="3"/>
        <v>1598</v>
      </c>
      <c r="E558" s="22">
        <f t="shared" si="1"/>
        <v>1340</v>
      </c>
      <c r="F558" s="20"/>
      <c r="G558" s="20"/>
      <c r="H558" s="20"/>
      <c r="I558" s="20"/>
      <c r="J558" s="20"/>
      <c r="K558" s="20"/>
      <c r="L558" s="22">
        <f t="shared" si="4"/>
        <v>2102</v>
      </c>
      <c r="M558" s="38">
        <f t="shared" si="5"/>
        <v>0.6964877402</v>
      </c>
      <c r="N558" s="22">
        <f t="shared" si="6"/>
        <v>4418404</v>
      </c>
      <c r="O558" s="20"/>
      <c r="P558" s="22">
        <f t="shared" si="7"/>
        <v>1420</v>
      </c>
      <c r="Q558" s="38">
        <f t="shared" si="8"/>
        <v>0.4705102717</v>
      </c>
      <c r="R558" s="22">
        <f t="shared" si="9"/>
        <v>2016400</v>
      </c>
      <c r="S558" s="20"/>
      <c r="T558" s="22">
        <f t="shared" si="10"/>
        <v>1678</v>
      </c>
      <c r="U558" s="38">
        <f t="shared" si="11"/>
        <v>0.5559973492</v>
      </c>
      <c r="V558" s="22">
        <f t="shared" si="12"/>
        <v>2815684</v>
      </c>
    </row>
    <row r="559">
      <c r="A559" s="2">
        <v>41347.0</v>
      </c>
      <c r="B559" s="5">
        <v>378.0</v>
      </c>
      <c r="C559" s="22">
        <f t="shared" si="2"/>
        <v>1118</v>
      </c>
      <c r="D559" s="22">
        <f t="shared" si="3"/>
        <v>1601</v>
      </c>
      <c r="E559" s="22">
        <f t="shared" si="1"/>
        <v>2347</v>
      </c>
      <c r="F559" s="20"/>
      <c r="G559" s="20"/>
      <c r="H559" s="20"/>
      <c r="I559" s="20"/>
      <c r="J559" s="20"/>
      <c r="K559" s="20"/>
      <c r="L559" s="22">
        <f t="shared" si="4"/>
        <v>-740</v>
      </c>
      <c r="M559" s="38">
        <f t="shared" si="5"/>
        <v>1.957671958</v>
      </c>
      <c r="N559" s="22">
        <f t="shared" si="6"/>
        <v>547600</v>
      </c>
      <c r="O559" s="20"/>
      <c r="P559" s="22">
        <f t="shared" si="7"/>
        <v>-1223</v>
      </c>
      <c r="Q559" s="38">
        <f t="shared" si="8"/>
        <v>3.235449735</v>
      </c>
      <c r="R559" s="22">
        <f t="shared" si="9"/>
        <v>1495729</v>
      </c>
      <c r="S559" s="20"/>
      <c r="T559" s="22">
        <f t="shared" si="10"/>
        <v>-1969</v>
      </c>
      <c r="U559" s="38">
        <f t="shared" si="11"/>
        <v>5.208994709</v>
      </c>
      <c r="V559" s="22">
        <f t="shared" si="12"/>
        <v>3876961</v>
      </c>
    </row>
    <row r="560">
      <c r="A560" s="2">
        <v>41348.0</v>
      </c>
      <c r="B560" s="5">
        <v>72.0</v>
      </c>
      <c r="C560" s="22">
        <f t="shared" si="2"/>
        <v>1157</v>
      </c>
      <c r="D560" s="22">
        <f t="shared" si="3"/>
        <v>1599</v>
      </c>
      <c r="E560" s="22">
        <f t="shared" si="1"/>
        <v>1166</v>
      </c>
      <c r="F560" s="20"/>
      <c r="G560" s="20"/>
      <c r="H560" s="20"/>
      <c r="I560" s="20"/>
      <c r="J560" s="20"/>
      <c r="K560" s="20"/>
      <c r="L560" s="22">
        <f t="shared" si="4"/>
        <v>-1085</v>
      </c>
      <c r="M560" s="38">
        <f t="shared" si="5"/>
        <v>15.06944444</v>
      </c>
      <c r="N560" s="22">
        <f t="shared" si="6"/>
        <v>1177225</v>
      </c>
      <c r="O560" s="20"/>
      <c r="P560" s="22">
        <f t="shared" si="7"/>
        <v>-1527</v>
      </c>
      <c r="Q560" s="38">
        <f t="shared" si="8"/>
        <v>21.20833333</v>
      </c>
      <c r="R560" s="22">
        <f t="shared" si="9"/>
        <v>2331729</v>
      </c>
      <c r="S560" s="20"/>
      <c r="T560" s="22">
        <f t="shared" si="10"/>
        <v>-1094</v>
      </c>
      <c r="U560" s="38">
        <f t="shared" si="11"/>
        <v>15.19444444</v>
      </c>
      <c r="V560" s="22">
        <f t="shared" si="12"/>
        <v>1196836</v>
      </c>
    </row>
    <row r="561">
      <c r="A561" s="2">
        <v>41351.0</v>
      </c>
      <c r="B561" s="5">
        <v>12.0</v>
      </c>
      <c r="C561" s="22">
        <f t="shared" si="2"/>
        <v>1162</v>
      </c>
      <c r="D561" s="22">
        <f t="shared" si="3"/>
        <v>1596</v>
      </c>
      <c r="E561" s="22">
        <f t="shared" si="1"/>
        <v>510</v>
      </c>
      <c r="F561" s="20"/>
      <c r="G561" s="20"/>
      <c r="H561" s="20"/>
      <c r="I561" s="20"/>
      <c r="J561" s="20"/>
      <c r="K561" s="20"/>
      <c r="L561" s="22">
        <f t="shared" si="4"/>
        <v>-1150</v>
      </c>
      <c r="M561" s="38">
        <f t="shared" si="5"/>
        <v>95.83333333</v>
      </c>
      <c r="N561" s="22">
        <f t="shared" si="6"/>
        <v>1322500</v>
      </c>
      <c r="O561" s="20"/>
      <c r="P561" s="22">
        <f t="shared" si="7"/>
        <v>-1584</v>
      </c>
      <c r="Q561" s="38">
        <f t="shared" si="8"/>
        <v>132</v>
      </c>
      <c r="R561" s="22">
        <f t="shared" si="9"/>
        <v>2509056</v>
      </c>
      <c r="S561" s="20"/>
      <c r="T561" s="22">
        <f t="shared" si="10"/>
        <v>-498</v>
      </c>
      <c r="U561" s="38">
        <f t="shared" si="11"/>
        <v>41.5</v>
      </c>
      <c r="V561" s="22">
        <f t="shared" si="12"/>
        <v>248004</v>
      </c>
    </row>
    <row r="562">
      <c r="A562" s="2">
        <v>41352.0</v>
      </c>
      <c r="B562" s="5">
        <v>2184.0</v>
      </c>
      <c r="C562" s="22">
        <f t="shared" si="2"/>
        <v>1097</v>
      </c>
      <c r="D562" s="22">
        <f t="shared" si="3"/>
        <v>1593</v>
      </c>
      <c r="E562" s="22">
        <f t="shared" si="1"/>
        <v>211</v>
      </c>
      <c r="F562" s="20"/>
      <c r="G562" s="20"/>
      <c r="H562" s="20"/>
      <c r="I562" s="20"/>
      <c r="J562" s="20"/>
      <c r="K562" s="20"/>
      <c r="L562" s="22">
        <f t="shared" si="4"/>
        <v>1087</v>
      </c>
      <c r="M562" s="38">
        <f t="shared" si="5"/>
        <v>0.4977106227</v>
      </c>
      <c r="N562" s="22">
        <f t="shared" si="6"/>
        <v>1181569</v>
      </c>
      <c r="O562" s="20"/>
      <c r="P562" s="22">
        <f t="shared" si="7"/>
        <v>591</v>
      </c>
      <c r="Q562" s="38">
        <f t="shared" si="8"/>
        <v>0.2706043956</v>
      </c>
      <c r="R562" s="22">
        <f t="shared" si="9"/>
        <v>349281</v>
      </c>
      <c r="S562" s="20"/>
      <c r="T562" s="22">
        <f t="shared" si="10"/>
        <v>1973</v>
      </c>
      <c r="U562" s="38">
        <f t="shared" si="11"/>
        <v>0.9033882784</v>
      </c>
      <c r="V562" s="22">
        <f t="shared" si="12"/>
        <v>3892729</v>
      </c>
    </row>
    <row r="563">
      <c r="A563" s="2">
        <v>41353.0</v>
      </c>
      <c r="B563" s="5">
        <v>2148.0</v>
      </c>
      <c r="C563" s="22">
        <f t="shared" si="2"/>
        <v>1133</v>
      </c>
      <c r="D563" s="22">
        <f t="shared" si="3"/>
        <v>1594</v>
      </c>
      <c r="E563" s="22">
        <f t="shared" si="1"/>
        <v>1395</v>
      </c>
      <c r="F563" s="20"/>
      <c r="G563" s="20"/>
      <c r="H563" s="20"/>
      <c r="I563" s="20"/>
      <c r="J563" s="20"/>
      <c r="K563" s="20"/>
      <c r="L563" s="22">
        <f t="shared" si="4"/>
        <v>1015</v>
      </c>
      <c r="M563" s="38">
        <f t="shared" si="5"/>
        <v>0.4725325885</v>
      </c>
      <c r="N563" s="22">
        <f t="shared" si="6"/>
        <v>1030225</v>
      </c>
      <c r="O563" s="20"/>
      <c r="P563" s="22">
        <f t="shared" si="7"/>
        <v>554</v>
      </c>
      <c r="Q563" s="38">
        <f t="shared" si="8"/>
        <v>0.2579143389</v>
      </c>
      <c r="R563" s="22">
        <f t="shared" si="9"/>
        <v>306916</v>
      </c>
      <c r="S563" s="20"/>
      <c r="T563" s="22">
        <f t="shared" si="10"/>
        <v>753</v>
      </c>
      <c r="U563" s="38">
        <f t="shared" si="11"/>
        <v>0.3505586592</v>
      </c>
      <c r="V563" s="22">
        <f t="shared" si="12"/>
        <v>567009</v>
      </c>
    </row>
    <row r="564">
      <c r="A564" s="2">
        <v>41354.0</v>
      </c>
      <c r="B564" s="5">
        <v>336.0</v>
      </c>
      <c r="C564" s="22">
        <f t="shared" si="2"/>
        <v>959</v>
      </c>
      <c r="D564" s="22">
        <f t="shared" si="3"/>
        <v>1595</v>
      </c>
      <c r="E564" s="22">
        <f t="shared" si="1"/>
        <v>1847</v>
      </c>
      <c r="F564" s="20"/>
      <c r="G564" s="20"/>
      <c r="H564" s="20"/>
      <c r="I564" s="20"/>
      <c r="J564" s="20"/>
      <c r="K564" s="20"/>
      <c r="L564" s="22">
        <f t="shared" si="4"/>
        <v>-623</v>
      </c>
      <c r="M564" s="38">
        <f t="shared" si="5"/>
        <v>1.854166667</v>
      </c>
      <c r="N564" s="22">
        <f t="shared" si="6"/>
        <v>388129</v>
      </c>
      <c r="O564" s="20"/>
      <c r="P564" s="22">
        <f t="shared" si="7"/>
        <v>-1259</v>
      </c>
      <c r="Q564" s="38">
        <f t="shared" si="8"/>
        <v>3.74702381</v>
      </c>
      <c r="R564" s="22">
        <f t="shared" si="9"/>
        <v>1585081</v>
      </c>
      <c r="S564" s="20"/>
      <c r="T564" s="22">
        <f t="shared" si="10"/>
        <v>-1511</v>
      </c>
      <c r="U564" s="38">
        <f t="shared" si="11"/>
        <v>4.49702381</v>
      </c>
      <c r="V564" s="22">
        <f t="shared" si="12"/>
        <v>2283121</v>
      </c>
    </row>
    <row r="565">
      <c r="A565" s="2">
        <v>41355.0</v>
      </c>
      <c r="B565" s="5">
        <v>48.0</v>
      </c>
      <c r="C565" s="22">
        <f t="shared" si="2"/>
        <v>950</v>
      </c>
      <c r="D565" s="22">
        <f t="shared" si="3"/>
        <v>1593</v>
      </c>
      <c r="E565" s="22">
        <f t="shared" si="1"/>
        <v>940</v>
      </c>
      <c r="F565" s="20"/>
      <c r="G565" s="20"/>
      <c r="H565" s="20"/>
      <c r="I565" s="20"/>
      <c r="J565" s="20"/>
      <c r="K565" s="20"/>
      <c r="L565" s="22">
        <f t="shared" si="4"/>
        <v>-902</v>
      </c>
      <c r="M565" s="38">
        <f t="shared" si="5"/>
        <v>18.79166667</v>
      </c>
      <c r="N565" s="22">
        <f t="shared" si="6"/>
        <v>813604</v>
      </c>
      <c r="O565" s="20"/>
      <c r="P565" s="22">
        <f t="shared" si="7"/>
        <v>-1545</v>
      </c>
      <c r="Q565" s="38">
        <f t="shared" si="8"/>
        <v>32.1875</v>
      </c>
      <c r="R565" s="22">
        <f t="shared" si="9"/>
        <v>2387025</v>
      </c>
      <c r="S565" s="20"/>
      <c r="T565" s="22">
        <f t="shared" si="10"/>
        <v>-892</v>
      </c>
      <c r="U565" s="38">
        <f t="shared" si="11"/>
        <v>18.58333333</v>
      </c>
      <c r="V565" s="22">
        <f t="shared" si="12"/>
        <v>795664</v>
      </c>
    </row>
    <row r="566">
      <c r="A566" s="2">
        <v>41358.0</v>
      </c>
      <c r="B566" s="5">
        <v>168.0</v>
      </c>
      <c r="C566" s="22">
        <f t="shared" si="2"/>
        <v>946</v>
      </c>
      <c r="D566" s="22">
        <f t="shared" si="3"/>
        <v>1590</v>
      </c>
      <c r="E566" s="22">
        <f t="shared" si="1"/>
        <v>405</v>
      </c>
      <c r="F566" s="20"/>
      <c r="G566" s="20"/>
      <c r="H566" s="20"/>
      <c r="I566" s="20"/>
      <c r="J566" s="20"/>
      <c r="K566" s="20"/>
      <c r="L566" s="22">
        <f t="shared" si="4"/>
        <v>-778</v>
      </c>
      <c r="M566" s="38">
        <f t="shared" si="5"/>
        <v>4.630952381</v>
      </c>
      <c r="N566" s="22">
        <f t="shared" si="6"/>
        <v>605284</v>
      </c>
      <c r="O566" s="20"/>
      <c r="P566" s="22">
        <f t="shared" si="7"/>
        <v>-1422</v>
      </c>
      <c r="Q566" s="38">
        <f t="shared" si="8"/>
        <v>8.464285714</v>
      </c>
      <c r="R566" s="22">
        <f t="shared" si="9"/>
        <v>2022084</v>
      </c>
      <c r="S566" s="20"/>
      <c r="T566" s="22">
        <f t="shared" si="10"/>
        <v>-237</v>
      </c>
      <c r="U566" s="38">
        <f t="shared" si="11"/>
        <v>1.410714286</v>
      </c>
      <c r="V566" s="22">
        <f t="shared" si="12"/>
        <v>56169</v>
      </c>
    </row>
    <row r="567">
      <c r="A567" s="2">
        <v>41359.0</v>
      </c>
      <c r="B567" s="5">
        <v>1848.0</v>
      </c>
      <c r="C567" s="22">
        <f t="shared" si="2"/>
        <v>977</v>
      </c>
      <c r="D567" s="22">
        <f t="shared" si="3"/>
        <v>1588</v>
      </c>
      <c r="E567" s="22">
        <f t="shared" si="1"/>
        <v>263</v>
      </c>
      <c r="F567" s="20"/>
      <c r="G567" s="20"/>
      <c r="H567" s="20"/>
      <c r="I567" s="20"/>
      <c r="J567" s="20"/>
      <c r="K567" s="20"/>
      <c r="L567" s="22">
        <f t="shared" si="4"/>
        <v>871</v>
      </c>
      <c r="M567" s="38">
        <f t="shared" si="5"/>
        <v>0.4713203463</v>
      </c>
      <c r="N567" s="22">
        <f t="shared" si="6"/>
        <v>758641</v>
      </c>
      <c r="O567" s="20"/>
      <c r="P567" s="22">
        <f t="shared" si="7"/>
        <v>260</v>
      </c>
      <c r="Q567" s="38">
        <f t="shared" si="8"/>
        <v>0.1406926407</v>
      </c>
      <c r="R567" s="22">
        <f t="shared" si="9"/>
        <v>67600</v>
      </c>
      <c r="S567" s="20"/>
      <c r="T567" s="22">
        <f t="shared" si="10"/>
        <v>1585</v>
      </c>
      <c r="U567" s="38">
        <f t="shared" si="11"/>
        <v>0.8576839827</v>
      </c>
      <c r="V567" s="22">
        <f t="shared" si="12"/>
        <v>2512225</v>
      </c>
    </row>
    <row r="568">
      <c r="A568" s="2">
        <v>41360.0</v>
      </c>
      <c r="B568" s="5">
        <v>1914.0</v>
      </c>
      <c r="C568" s="22">
        <f t="shared" si="2"/>
        <v>910</v>
      </c>
      <c r="D568" s="22">
        <f t="shared" si="3"/>
        <v>1588</v>
      </c>
      <c r="E568" s="22">
        <f t="shared" si="1"/>
        <v>1214</v>
      </c>
      <c r="F568" s="20"/>
      <c r="G568" s="20"/>
      <c r="H568" s="20"/>
      <c r="I568" s="20"/>
      <c r="J568" s="20"/>
      <c r="K568" s="20"/>
      <c r="L568" s="22">
        <f t="shared" si="4"/>
        <v>1004</v>
      </c>
      <c r="M568" s="38">
        <f t="shared" si="5"/>
        <v>0.5245559039</v>
      </c>
      <c r="N568" s="22">
        <f t="shared" si="6"/>
        <v>1008016</v>
      </c>
      <c r="O568" s="20"/>
      <c r="P568" s="22">
        <f t="shared" si="7"/>
        <v>326</v>
      </c>
      <c r="Q568" s="38">
        <f t="shared" si="8"/>
        <v>0.1703239289</v>
      </c>
      <c r="R568" s="22">
        <f t="shared" si="9"/>
        <v>106276</v>
      </c>
      <c r="S568" s="20"/>
      <c r="T568" s="22">
        <f t="shared" si="10"/>
        <v>700</v>
      </c>
      <c r="U568" s="38">
        <f t="shared" si="11"/>
        <v>0.3657262278</v>
      </c>
      <c r="V568" s="22">
        <f t="shared" si="12"/>
        <v>490000</v>
      </c>
    </row>
    <row r="569">
      <c r="A569" s="2">
        <v>41361.0</v>
      </c>
      <c r="B569" s="5">
        <v>672.0</v>
      </c>
      <c r="C569" s="22">
        <f t="shared" si="2"/>
        <v>863</v>
      </c>
      <c r="D569" s="22">
        <f t="shared" si="3"/>
        <v>1589</v>
      </c>
      <c r="E569" s="22">
        <f t="shared" si="1"/>
        <v>1634</v>
      </c>
      <c r="F569" s="20"/>
      <c r="G569" s="20"/>
      <c r="H569" s="20"/>
      <c r="I569" s="20"/>
      <c r="J569" s="20"/>
      <c r="K569" s="20"/>
      <c r="L569" s="22">
        <f t="shared" si="4"/>
        <v>-191</v>
      </c>
      <c r="M569" s="38">
        <f t="shared" si="5"/>
        <v>0.2842261905</v>
      </c>
      <c r="N569" s="22">
        <f t="shared" si="6"/>
        <v>36481</v>
      </c>
      <c r="O569" s="20"/>
      <c r="P569" s="22">
        <f t="shared" si="7"/>
        <v>-917</v>
      </c>
      <c r="Q569" s="38">
        <f t="shared" si="8"/>
        <v>1.364583333</v>
      </c>
      <c r="R569" s="22">
        <f t="shared" si="9"/>
        <v>840889</v>
      </c>
      <c r="S569" s="20"/>
      <c r="T569" s="22">
        <f t="shared" si="10"/>
        <v>-962</v>
      </c>
      <c r="U569" s="38">
        <f t="shared" si="11"/>
        <v>1.431547619</v>
      </c>
      <c r="V569" s="22">
        <f t="shared" si="12"/>
        <v>925444</v>
      </c>
    </row>
    <row r="570">
      <c r="A570" s="2">
        <v>41362.0</v>
      </c>
      <c r="B570" s="5">
        <v>96.0</v>
      </c>
      <c r="C570" s="22">
        <f t="shared" si="2"/>
        <v>930</v>
      </c>
      <c r="D570" s="22">
        <f t="shared" si="3"/>
        <v>1587</v>
      </c>
      <c r="E570" s="22">
        <f t="shared" si="1"/>
        <v>1057</v>
      </c>
      <c r="F570" s="20"/>
      <c r="G570" s="20"/>
      <c r="H570" s="20"/>
      <c r="I570" s="20"/>
      <c r="J570" s="20"/>
      <c r="K570" s="20"/>
      <c r="L570" s="22">
        <f t="shared" si="4"/>
        <v>-834</v>
      </c>
      <c r="M570" s="38">
        <f t="shared" si="5"/>
        <v>8.6875</v>
      </c>
      <c r="N570" s="22">
        <f t="shared" si="6"/>
        <v>695556</v>
      </c>
      <c r="O570" s="20"/>
      <c r="P570" s="22">
        <f t="shared" si="7"/>
        <v>-1491</v>
      </c>
      <c r="Q570" s="38">
        <f t="shared" si="8"/>
        <v>15.53125</v>
      </c>
      <c r="R570" s="22">
        <f t="shared" si="9"/>
        <v>2223081</v>
      </c>
      <c r="S570" s="20"/>
      <c r="T570" s="22">
        <f t="shared" si="10"/>
        <v>-961</v>
      </c>
      <c r="U570" s="38">
        <f t="shared" si="11"/>
        <v>10.01041667</v>
      </c>
      <c r="V570" s="22">
        <f t="shared" si="12"/>
        <v>923521</v>
      </c>
    </row>
  </sheetData>
  <drawing r:id="rId1"/>
</worksheet>
</file>